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34FA8582-7378-45BE-8338-3736F4D044A4}" xr6:coauthVersionLast="47" xr6:coauthVersionMax="47" xr10:uidLastSave="{00000000-0000-0000-0000-000000000000}"/>
  <bookViews>
    <workbookView xWindow="-120" yWindow="-120" windowWidth="20730" windowHeight="11160" tabRatio="829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6" i="112"/>
  <c r="I6" i="112" s="1"/>
  <c r="G5" i="112"/>
  <c r="I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H6" i="112"/>
  <c r="J6" i="112" s="1"/>
  <c r="H5" i="112"/>
  <c r="J5" i="112" s="1"/>
  <c r="B1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<sst xmlns="http://schemas.openxmlformats.org/spreadsheetml/2006/main" count="768" uniqueCount="106">
  <si>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</si>
  <si>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</si>
  <si>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</si>
  <si>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</si>
  <si>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</si>
  <si>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</si>
  <si>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</si>
  <si>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</si>
  <si>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</si>
  <si>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</si>
  <si>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</si>
  <si>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</si>
  <si>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</si>
  <si>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</si>
  <si>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</si>
  <si>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</si>
  <si>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</si>
  <si>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</si>
  <si>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</si>
  <si>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</si>
  <si>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</si>
  <si>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</si>
  <si>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</si>
  <si>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</si>
  <si>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</si>
  <si>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</si>
  <si>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</si>
  <si>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</si>
  <si>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</si>
  <si>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</si>
  <si>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</si>
  <si>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</si>
  <si>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</si>
  <si>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</si>
  <si>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</si>
  <si>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</si>
  <si>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</si>
  <si>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</si>
  <si>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</si>
  <si>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</si>
  <si>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</si>
  <si>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</si>
  <si>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</si>
  <si>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</si>
  <si>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</si>
  <si>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</si>
  <si>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</si>
  <si>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</si>
  <si>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</si>
  <si>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</si>
  <si>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</si>
  <si>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</si>
  <si>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</si>
  <si>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</si>
  <si>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</si>
  <si>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</si>
  <si>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</si>
  <si>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</si>
  <si>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</si>
  <si>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</si>
  <si>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</si>
  <si>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</si>
  <si>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</si>
  <si>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</si>
  <si>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</si>
  <si>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</si>
  <si>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</si>
  <si>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</si>
  <si>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</si>
  <si>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</si>
  <si>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</si>
  <si>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</si>
  <si>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</si>
  <si>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</si>
  <si>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</si>
  <si>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</si>
  <si>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</si>
  <si>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</si>
  <si>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</si>
  <si>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</si>
  <si>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</si>
  <si>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</si>
  <si>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</si>
  <si>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</si>
  <si>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</si>
  <si>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</si>
  <si>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</si>
  <si>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</si>
  <si>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</si>
  <si>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</si>
  <si>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</si>
  <si>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</si>
  <si>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</si>
  <si>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</si>
  <si>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</si>
  <si>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</si>
  <si>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</si>
  <si>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</si>
  <si>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Healthcare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</si>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</sst>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02371079785279E-2"/>
          <c:y val="4.178538761704844E-2"/>
          <c:w val="0.92714762584442678"/>
          <c:h val="0.75231404904294408"/>
        </c:manualLayout>
      </c:layout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55.89</c:v>
                </c:pt>
                <c:pt idx="1">
                  <c:v>60.47</c:v>
                </c:pt>
                <c:pt idx="2">
                  <c:v>58.69</c:v>
                </c:pt>
                <c:pt idx="3">
                  <c:v>59.34</c:v>
                </c:pt>
                <c:pt idx="4">
                  <c:v>61.47</c:v>
                </c:pt>
                <c:pt idx="5">
                  <c:v>58.6</c:v>
                </c:pt>
                <c:pt idx="6">
                  <c:v>57.72</c:v>
                </c:pt>
                <c:pt idx="7">
                  <c:v>53.76</c:v>
                </c:pt>
                <c:pt idx="8">
                  <c:v>54.72</c:v>
                </c:pt>
                <c:pt idx="9">
                  <c:v>49.98</c:v>
                </c:pt>
                <c:pt idx="10">
                  <c:v>45.17</c:v>
                </c:pt>
                <c:pt idx="11">
                  <c:v>44.86</c:v>
                </c:pt>
                <c:pt idx="12">
                  <c:v>47.61</c:v>
                </c:pt>
                <c:pt idx="13">
                  <c:v>48.53</c:v>
                </c:pt>
                <c:pt idx="14">
                  <c:v>49.16</c:v>
                </c:pt>
                <c:pt idx="15">
                  <c:v>49.42</c:v>
                </c:pt>
                <c:pt idx="16">
                  <c:v>50.69</c:v>
                </c:pt>
                <c:pt idx="17">
                  <c:v>50.86</c:v>
                </c:pt>
                <c:pt idx="18">
                  <c:v>50.79</c:v>
                </c:pt>
                <c:pt idx="19">
                  <c:v>50.4</c:v>
                </c:pt>
                <c:pt idx="20">
                  <c:v>52.12</c:v>
                </c:pt>
                <c:pt idx="21">
                  <c:v>54.04</c:v>
                </c:pt>
                <c:pt idx="22">
                  <c:v>53.01</c:v>
                </c:pt>
                <c:pt idx="23">
                  <c:v>54.79</c:v>
                </c:pt>
                <c:pt idx="24">
                  <c:v>50.95</c:v>
                </c:pt>
                <c:pt idx="25">
                  <c:v>49.5</c:v>
                </c:pt>
                <c:pt idx="26">
                  <c:v>49.8</c:v>
                </c:pt>
                <c:pt idx="27">
                  <c:v>49.77</c:v>
                </c:pt>
                <c:pt idx="28">
                  <c:v>51.32</c:v>
                </c:pt>
                <c:pt idx="29">
                  <c:v>50.51</c:v>
                </c:pt>
                <c:pt idx="30">
                  <c:v>49.04</c:v>
                </c:pt>
                <c:pt idx="31">
                  <c:v>50.44</c:v>
                </c:pt>
                <c:pt idx="32">
                  <c:v>51.75</c:v>
                </c:pt>
                <c:pt idx="33">
                  <c:v>50.1</c:v>
                </c:pt>
                <c:pt idx="34">
                  <c:v>51.42</c:v>
                </c:pt>
                <c:pt idx="35">
                  <c:v>50.11</c:v>
                </c:pt>
                <c:pt idx="36">
                  <c:v>47.86</c:v>
                </c:pt>
                <c:pt idx="37">
                  <c:v>47.56</c:v>
                </c:pt>
                <c:pt idx="38">
                  <c:v>44.8</c:v>
                </c:pt>
                <c:pt idx="39">
                  <c:v>46.15</c:v>
                </c:pt>
                <c:pt idx="40">
                  <c:v>45.99</c:v>
                </c:pt>
                <c:pt idx="41">
                  <c:v>49.1</c:v>
                </c:pt>
                <c:pt idx="42">
                  <c:v>49.3</c:v>
                </c:pt>
                <c:pt idx="43">
                  <c:v>49.56</c:v>
                </c:pt>
                <c:pt idx="44">
                  <c:v>50.26</c:v>
                </c:pt>
                <c:pt idx="45">
                  <c:v>48.12</c:v>
                </c:pt>
                <c:pt idx="46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65"/>
          <c:min val="4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Healthcare%20sector%20index%20-%20pre%20struct%20break.xlsx" TargetMode="External"/><Relationship Id="rId1" Type="http://schemas.openxmlformats.org/officeDocument/2006/relationships/externalLinkPath" Target="Healthcare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42.34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55.89</v>
      </c>
      <c r="C2" s="16">
        <v>-7.574003638167684E-2</v>
      </c>
      <c r="D2" s="17">
        <v>-0.24457772169262171</v>
      </c>
      <c r="F2" s="16">
        <v>-8.7672213276078371E-3</v>
      </c>
      <c r="G2" s="16">
        <v>-7.574003638167684E-2</v>
      </c>
      <c r="H2" s="16">
        <v>3.0328846481513055E-2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60.47</v>
      </c>
      <c r="C3" s="16">
        <v>3.0328846481513055E-2</v>
      </c>
      <c r="D3" s="17">
        <v>6.2640197575092316E-3</v>
      </c>
      <c r="F3" s="16">
        <v>-7.574003638167684E-2</v>
      </c>
      <c r="G3" s="16">
        <v>3.0328846481513055E-2</v>
      </c>
      <c r="H3" s="16">
        <v>-1.0953825412875052E-2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58.69</v>
      </c>
      <c r="C4" s="16">
        <v>-1.0953825412875052E-2</v>
      </c>
      <c r="D4" s="17">
        <v>-0.23609326717754206</v>
      </c>
      <c r="F4" s="16">
        <v>3.0328846481513055E-2</v>
      </c>
      <c r="G4" s="16">
        <v>-1.0953825412875052E-2</v>
      </c>
      <c r="H4" s="16">
        <v>-3.465104929233765E-2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59.34</v>
      </c>
      <c r="C5" s="16">
        <v>-3.465104929233765E-2</v>
      </c>
      <c r="D5" s="17">
        <v>0.13119693499590671</v>
      </c>
      <c r="F5" s="16">
        <v>-1.0953825412875052E-2</v>
      </c>
      <c r="G5" s="16">
        <v>-3.465104929233765E-2</v>
      </c>
      <c r="H5" s="16">
        <v>4.8976109215017022E-2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61.47</v>
      </c>
      <c r="C6" s="16">
        <v>4.8976109215017022E-2</v>
      </c>
      <c r="D6" s="17">
        <v>-0.66873623467981813</v>
      </c>
      <c r="F6" s="16">
        <v>-3.465104929233765E-2</v>
      </c>
      <c r="G6" s="16">
        <v>4.8976109215017022E-2</v>
      </c>
      <c r="H6" s="16">
        <v>1.5246015246015291E-2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58.6</v>
      </c>
      <c r="C7" s="16">
        <v>1.5246015246015291E-2</v>
      </c>
      <c r="D7" s="17">
        <v>5.5399095018704735E-2</v>
      </c>
      <c r="F7" s="16">
        <v>4.8976109215017022E-2</v>
      </c>
      <c r="G7" s="16">
        <v>1.5246015246015291E-2</v>
      </c>
      <c r="H7" s="16">
        <v>7.3660714285714302E-2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57.72</v>
      </c>
      <c r="C8" s="16">
        <v>7.3660714285714302E-2</v>
      </c>
      <c r="D8" s="17">
        <v>9.735283938546975E-2</v>
      </c>
      <c r="F8" s="16">
        <v>1.5246015246015291E-2</v>
      </c>
      <c r="G8" s="16">
        <v>7.3660714285714302E-2</v>
      </c>
      <c r="H8" s="16">
        <v>-1.7543859649122823E-2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53.76</v>
      </c>
      <c r="C9" s="16">
        <v>-1.7543859649122823E-2</v>
      </c>
      <c r="D9" s="17">
        <v>0.49790565359095734</v>
      </c>
      <c r="F9" s="16">
        <v>7.3660714285714302E-2</v>
      </c>
      <c r="G9" s="16">
        <v>-1.7543859649122823E-2</v>
      </c>
      <c r="H9" s="16">
        <v>9.4837935174069674E-2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54.72</v>
      </c>
      <c r="C10" s="16">
        <v>9.4837935174069674E-2</v>
      </c>
      <c r="D10" s="17">
        <v>0.48645331314764917</v>
      </c>
      <c r="F10" s="16">
        <v>-1.7543859649122823E-2</v>
      </c>
      <c r="G10" s="16">
        <v>9.4837935174069674E-2</v>
      </c>
      <c r="H10" s="16">
        <v>0.10648660615452724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49.98</v>
      </c>
      <c r="C11" s="16">
        <v>0.10648660615452724</v>
      </c>
      <c r="D11" s="17">
        <v>-0.19248065624672633</v>
      </c>
      <c r="F11" s="16">
        <v>9.4837935174069674E-2</v>
      </c>
      <c r="G11" s="16">
        <v>0.10648660615452724</v>
      </c>
      <c r="H11" s="16">
        <v>6.9103878733839117E-3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45.17</v>
      </c>
      <c r="C12" s="16">
        <v>6.9103878733839117E-3</v>
      </c>
      <c r="D12" s="17">
        <v>0.27620824612677097</v>
      </c>
      <c r="F12" s="16">
        <v>0.10648660615452724</v>
      </c>
      <c r="G12" s="16">
        <v>6.9103878733839117E-3</v>
      </c>
      <c r="H12" s="16">
        <v>-5.7760974585171182E-2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44.86</v>
      </c>
      <c r="C13" s="16">
        <v>-5.7760974585171182E-2</v>
      </c>
      <c r="D13" s="17">
        <v>0.1164589305408299</v>
      </c>
      <c r="F13" s="16">
        <v>6.9103878733839117E-3</v>
      </c>
      <c r="G13" s="16">
        <v>-5.7760974585171182E-2</v>
      </c>
      <c r="H13" s="16">
        <v>-1.8957345971564017E-2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47.61</v>
      </c>
      <c r="C14" s="16">
        <v>-1.8957345971564017E-2</v>
      </c>
      <c r="D14" s="17">
        <v>-0.15498585706915369</v>
      </c>
      <c r="F14" s="16">
        <v>-5.7760974585171182E-2</v>
      </c>
      <c r="G14" s="16">
        <v>-1.8957345971564017E-2</v>
      </c>
      <c r="H14" s="16">
        <v>-1.2815296989422202E-2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48.53</v>
      </c>
      <c r="C15" s="16">
        <v>-1.2815296989422202E-2</v>
      </c>
      <c r="D15" s="17">
        <v>9.5311682671308517E-2</v>
      </c>
      <c r="F15" s="16">
        <v>-1.8957345971564017E-2</v>
      </c>
      <c r="G15" s="16">
        <v>-1.2815296989422202E-2</v>
      </c>
      <c r="H15" s="16">
        <v>-5.2610279239175455E-3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49.16</v>
      </c>
      <c r="C16" s="16">
        <v>-5.2610279239175455E-3</v>
      </c>
      <c r="D16" s="17">
        <v>0.29172629743282286</v>
      </c>
      <c r="F16" s="16">
        <v>-1.2815296989422202E-2</v>
      </c>
      <c r="G16" s="16">
        <v>-5.2610279239175455E-3</v>
      </c>
      <c r="H16" s="16">
        <v>-2.5054251331623516E-2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49.42</v>
      </c>
      <c r="C17" s="16">
        <v>-2.5054251331623516E-2</v>
      </c>
      <c r="D17" s="17">
        <v>-0.23442382345508253</v>
      </c>
      <c r="F17" s="16">
        <v>-5.2610279239175455E-3</v>
      </c>
      <c r="G17" s="16">
        <v>-2.5054251331623516E-2</v>
      </c>
      <c r="H17" s="16">
        <v>-3.3425088478175719E-3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50.69</v>
      </c>
      <c r="C18" s="16">
        <v>-3.3425088478175719E-3</v>
      </c>
      <c r="D18" s="17">
        <v>-2.1146204477796953E-2</v>
      </c>
      <c r="F18" s="16">
        <v>-2.5054251331623516E-2</v>
      </c>
      <c r="G18" s="16">
        <v>-3.3425088478175719E-3</v>
      </c>
      <c r="H18" s="16">
        <v>1.3782240598543077E-3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50.86</v>
      </c>
      <c r="C19" s="16">
        <v>1.3782240598543077E-3</v>
      </c>
      <c r="D19" s="17">
        <v>0.23377028697480759</v>
      </c>
      <c r="F19" s="16">
        <v>-3.3425088478175719E-3</v>
      </c>
      <c r="G19" s="16">
        <v>1.3782240598543077E-3</v>
      </c>
      <c r="H19" s="16">
        <v>7.7380952380952496E-3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50.79</v>
      </c>
      <c r="C20" s="16">
        <v>7.7380952380952496E-3</v>
      </c>
      <c r="D20" s="17">
        <v>-0.15081174378948553</v>
      </c>
      <c r="F20" s="16">
        <v>1.3782240598543077E-3</v>
      </c>
      <c r="G20" s="16">
        <v>7.7380952380952496E-3</v>
      </c>
      <c r="H20" s="16">
        <v>-3.3000767459708348E-2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50.4</v>
      </c>
      <c r="C21" s="16">
        <v>-3.3000767459708348E-2</v>
      </c>
      <c r="D21" s="17">
        <v>-0.15819044224917889</v>
      </c>
      <c r="F21" s="16">
        <v>7.7380952380952496E-3</v>
      </c>
      <c r="G21" s="16">
        <v>-3.3000767459708348E-2</v>
      </c>
      <c r="H21" s="16">
        <v>-3.5529237601776495E-2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52.12</v>
      </c>
      <c r="C22" s="16">
        <v>-3.5529237601776495E-2</v>
      </c>
      <c r="D22" s="17">
        <v>-0.11695043928921223</v>
      </c>
      <c r="F22" s="16">
        <v>-3.3000767459708348E-2</v>
      </c>
      <c r="G22" s="16">
        <v>-3.5529237601776495E-2</v>
      </c>
      <c r="H22" s="16">
        <v>1.9430296170533885E-2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54.04</v>
      </c>
      <c r="C23" s="16">
        <v>1.9430296170533885E-2</v>
      </c>
      <c r="D23" s="17">
        <v>6.6089130705222487E-3</v>
      </c>
      <c r="F23" s="16">
        <v>-3.5529237601776495E-2</v>
      </c>
      <c r="G23" s="16">
        <v>1.9430296170533885E-2</v>
      </c>
      <c r="H23" s="16">
        <v>-3.2487680233619295E-2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53.01</v>
      </c>
      <c r="C24" s="16">
        <v>-3.2487680233619295E-2</v>
      </c>
      <c r="D24" s="17">
        <v>-0.16266929442062975</v>
      </c>
      <c r="F24" s="16">
        <v>1.9430296170533885E-2</v>
      </c>
      <c r="G24" s="16">
        <v>-3.2487680233619295E-2</v>
      </c>
      <c r="H24" s="16">
        <v>7.5368007850834071E-2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54.79</v>
      </c>
      <c r="C25" s="16">
        <v>7.5368007850834071E-2</v>
      </c>
      <c r="D25" s="17">
        <v>-0.43920171571274597</v>
      </c>
      <c r="F25" s="16">
        <v>-3.2487680233619295E-2</v>
      </c>
      <c r="G25" s="16">
        <v>7.5368007850834071E-2</v>
      </c>
      <c r="H25" s="16">
        <v>2.929292929292935E-2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50.95</v>
      </c>
      <c r="C26" s="16">
        <v>2.929292929292935E-2</v>
      </c>
      <c r="D26" s="17">
        <v>-2.0552382688038051E-2</v>
      </c>
      <c r="F26" s="16">
        <v>7.5368007850834071E-2</v>
      </c>
      <c r="G26" s="16">
        <v>2.929292929292935E-2</v>
      </c>
      <c r="H26" s="16">
        <v>-6.0240963855421117E-3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49.5</v>
      </c>
      <c r="C27" s="16">
        <v>-6.0240963855421117E-3</v>
      </c>
      <c r="D27" s="17">
        <v>-0.44359970150981098</v>
      </c>
      <c r="F27" s="16">
        <v>2.929292929292935E-2</v>
      </c>
      <c r="G27" s="16">
        <v>-6.0240963855421117E-3</v>
      </c>
      <c r="H27" s="16">
        <v>6.0277275467136892E-4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49.8</v>
      </c>
      <c r="C28" s="16">
        <v>6.0277275467136892E-4</v>
      </c>
      <c r="D28" s="17">
        <v>7.0537303773952384E-2</v>
      </c>
      <c r="F28" s="16">
        <v>-6.0240963855421117E-3</v>
      </c>
      <c r="G28" s="16">
        <v>6.0277275467136892E-4</v>
      </c>
      <c r="H28" s="16">
        <v>-3.0202650038971105E-2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49.77</v>
      </c>
      <c r="C29" s="16">
        <v>-3.0202650038971105E-2</v>
      </c>
      <c r="D29" s="17">
        <v>6.1557356500998139E-2</v>
      </c>
      <c r="F29" s="16">
        <v>6.0277275467136892E-4</v>
      </c>
      <c r="G29" s="16">
        <v>-3.0202650038971105E-2</v>
      </c>
      <c r="H29" s="16">
        <v>1.6036428430013905E-2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51.32</v>
      </c>
      <c r="C30" s="16">
        <v>1.6036428430013905E-2</v>
      </c>
      <c r="D30" s="17">
        <v>0.33201583579648286</v>
      </c>
      <c r="F30" s="16">
        <v>-3.0202650038971105E-2</v>
      </c>
      <c r="G30" s="16">
        <v>1.6036428430013905E-2</v>
      </c>
      <c r="H30" s="16">
        <v>2.9975530179445327E-2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50.51</v>
      </c>
      <c r="C31" s="16">
        <v>2.9975530179445327E-2</v>
      </c>
      <c r="D31" s="17">
        <v>-1.0891216807067394E-2</v>
      </c>
      <c r="F31" s="16">
        <v>1.6036428430013905E-2</v>
      </c>
      <c r="G31" s="16">
        <v>2.9975530179445327E-2</v>
      </c>
      <c r="H31" s="16">
        <v>-2.7755749405233916E-2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49.04</v>
      </c>
      <c r="C32" s="16">
        <v>-2.7755749405233916E-2</v>
      </c>
      <c r="D32" s="17">
        <v>-1.8410735170949589E-2</v>
      </c>
      <c r="F32" s="16">
        <v>2.9975530179445327E-2</v>
      </c>
      <c r="G32" s="16">
        <v>-2.7755749405233916E-2</v>
      </c>
      <c r="H32" s="16">
        <v>-2.5314009661835793E-2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50.44</v>
      </c>
      <c r="C33" s="16">
        <v>-2.5314009661835793E-2</v>
      </c>
      <c r="D33" s="17">
        <v>-0.32017184949169558</v>
      </c>
      <c r="F33" s="16">
        <v>-2.7755749405233916E-2</v>
      </c>
      <c r="G33" s="16">
        <v>-2.5314009661835793E-2</v>
      </c>
      <c r="H33" s="16">
        <v>3.2934131736526914E-2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51.75</v>
      </c>
      <c r="C34" s="16">
        <v>3.2934131736526914E-2</v>
      </c>
      <c r="D34" s="17">
        <v>0.10925812500395946</v>
      </c>
      <c r="F34" s="16">
        <v>-2.5314009661835793E-2</v>
      </c>
      <c r="G34" s="16">
        <v>3.2934131736526914E-2</v>
      </c>
      <c r="H34" s="16">
        <v>-2.567094515752626E-2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50.1</v>
      </c>
      <c r="C35" s="16">
        <v>-2.567094515752626E-2</v>
      </c>
      <c r="D35" s="17">
        <v>-0.32851240194092196</v>
      </c>
      <c r="F35" s="16">
        <v>3.2934131736526914E-2</v>
      </c>
      <c r="G35" s="16">
        <v>-2.567094515752626E-2</v>
      </c>
      <c r="H35" s="16">
        <v>2.6142486529634849E-2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51.42</v>
      </c>
      <c r="C36" s="16">
        <v>2.6142486529634849E-2</v>
      </c>
      <c r="D36" s="17">
        <v>8.9164984819944948E-2</v>
      </c>
      <c r="F36" s="16">
        <v>-2.567094515752626E-2</v>
      </c>
      <c r="G36" s="16">
        <v>2.6142486529634849E-2</v>
      </c>
      <c r="H36" s="16">
        <v>4.7012118679481824E-2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50.11</v>
      </c>
      <c r="C37" s="16">
        <v>4.7012118679481824E-2</v>
      </c>
      <c r="D37" s="17">
        <v>-7.3048542439937594E-2</v>
      </c>
      <c r="F37" s="16">
        <v>2.6142486529634849E-2</v>
      </c>
      <c r="G37" s="16">
        <v>4.7012118679481824E-2</v>
      </c>
      <c r="H37" s="16">
        <v>6.3078216989065844E-3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47.86</v>
      </c>
      <c r="C38" s="16">
        <v>6.3078216989065844E-3</v>
      </c>
      <c r="D38" s="17">
        <v>-0.50390593466969824</v>
      </c>
      <c r="F38" s="16">
        <v>4.7012118679481824E-2</v>
      </c>
      <c r="G38" s="16">
        <v>6.3078216989065844E-3</v>
      </c>
      <c r="H38" s="16">
        <v>6.1607142857142978E-2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47.56</v>
      </c>
      <c r="C39" s="16">
        <v>6.1607142857142978E-2</v>
      </c>
      <c r="D39" s="17">
        <v>-2.5256967595355076E-2</v>
      </c>
      <c r="F39" s="16">
        <v>6.3078216989065844E-3</v>
      </c>
      <c r="G39" s="16">
        <v>6.1607142857142978E-2</v>
      </c>
      <c r="H39" s="16">
        <v>-2.9252437703141961E-2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44.8</v>
      </c>
      <c r="C40" s="16">
        <v>-2.9252437703141961E-2</v>
      </c>
      <c r="D40" s="17">
        <v>-0.62750590592622757</v>
      </c>
      <c r="F40" s="16">
        <v>6.1607142857142978E-2</v>
      </c>
      <c r="G40" s="16">
        <v>-2.9252437703141961E-2</v>
      </c>
      <c r="H40" s="16">
        <v>3.4790171776472403E-3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46.15</v>
      </c>
      <c r="C41" s="16">
        <v>3.4790171776472403E-3</v>
      </c>
      <c r="D41" s="17">
        <v>-0.28957627939858605</v>
      </c>
      <c r="F41" s="16">
        <v>-2.9252437703141961E-2</v>
      </c>
      <c r="G41" s="16">
        <v>3.4790171776472403E-3</v>
      </c>
      <c r="H41" s="16">
        <v>-6.3340122199592661E-2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45.99</v>
      </c>
      <c r="C42" s="16">
        <v>-6.3340122199592661E-2</v>
      </c>
      <c r="D42" s="17">
        <v>7.8005850501358512E-2</v>
      </c>
      <c r="F42" s="16">
        <v>3.4790171776472403E-3</v>
      </c>
      <c r="G42" s="16">
        <v>-6.3340122199592661E-2</v>
      </c>
      <c r="H42" s="16">
        <v>-4.0567951318457559E-3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49.1</v>
      </c>
      <c r="C43" s="16">
        <v>-4.0567951318457559E-3</v>
      </c>
      <c r="D43" s="17">
        <v>-5.0065291579812765E-2</v>
      </c>
      <c r="F43" s="16">
        <v>-6.3340122199592661E-2</v>
      </c>
      <c r="G43" s="16">
        <v>-4.0567951318457559E-3</v>
      </c>
      <c r="H43" s="16">
        <v>-5.246166263115519E-3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49.3</v>
      </c>
      <c r="C44" s="16">
        <v>-5.246166263115519E-3</v>
      </c>
      <c r="D44" s="17">
        <v>6.451272894628346E-2</v>
      </c>
      <c r="F44" s="16">
        <v>-4.0567951318457559E-3</v>
      </c>
      <c r="G44" s="16">
        <v>-5.246166263115519E-3</v>
      </c>
      <c r="H44" s="16">
        <v>-1.3927576601671226E-2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49.56</v>
      </c>
      <c r="C45" s="16">
        <v>-1.3927576601671226E-2</v>
      </c>
      <c r="D45" s="17">
        <v>-0.43549962999531999</v>
      </c>
      <c r="F45" s="16">
        <v>-5.246166263115519E-3</v>
      </c>
      <c r="G45" s="16">
        <v>-1.3927576601671226E-2</v>
      </c>
      <c r="H45" s="16">
        <v>4.4472152950955961E-2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50.26</v>
      </c>
      <c r="C46" s="16">
        <v>4.4472152950955961E-2</v>
      </c>
      <c r="D46" s="17">
        <v>-0.35762683051871136</v>
      </c>
      <c r="F46" s="16">
        <v>-1.3927576601671226E-2</v>
      </c>
      <c r="G46" s="16">
        <v>4.4472152950955961E-2</v>
      </c>
      <c r="H46" s="16">
        <v>6.2251655629139084E-2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48.12</v>
      </c>
      <c r="C47" s="16">
        <v>6.2251655629139084E-2</v>
      </c>
      <c r="D47" s="17">
        <v>6.999037426430732E-2</v>
      </c>
      <c r="F47" s="16">
        <v>4.4472152950955961E-2</v>
      </c>
      <c r="G47" s="16">
        <v>6.2251655629139084E-2</v>
      </c>
      <c r="H47" s="16">
        <v>6.9910250354274769E-2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45.3</v>
      </c>
      <c r="C48" s="16">
        <v>6.9910250354274769E-2</v>
      </c>
      <c r="D48" s="17">
        <v>-0.11966689694672823</v>
      </c>
      <c r="F48" s="16">
        <v>6.2251655629139084E-2</v>
      </c>
      <c r="G48" s="16">
        <v>6.9910250354274769E-2</v>
      </c>
      <c r="H48" s="16">
        <v>-1.5119795301232811E-2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55.89</v>
      </c>
    </row>
    <row r="3" spans="1:2" x14ac:dyDescent="0.25">
      <c r="A3" s="4">
        <f>'ALL VARS'!A3</f>
        <v>43979</v>
      </c>
      <c r="B3" s="5">
        <f>'ALL VARS'!B3</f>
        <v>60.47</v>
      </c>
    </row>
    <row r="4" spans="1:2" x14ac:dyDescent="0.25">
      <c r="A4" s="4">
        <f>'ALL VARS'!A4</f>
        <v>43978</v>
      </c>
      <c r="B4" s="5">
        <f>'ALL VARS'!B4</f>
        <v>58.69</v>
      </c>
    </row>
    <row r="5" spans="1:2" x14ac:dyDescent="0.25">
      <c r="A5" s="4">
        <f>'ALL VARS'!A5</f>
        <v>43977</v>
      </c>
      <c r="B5" s="5">
        <f>'ALL VARS'!B5</f>
        <v>59.34</v>
      </c>
    </row>
    <row r="6" spans="1:2" x14ac:dyDescent="0.25">
      <c r="A6" s="4">
        <f>'ALL VARS'!A6</f>
        <v>43976</v>
      </c>
      <c r="B6" s="5">
        <f>'ALL VARS'!B6</f>
        <v>61.47</v>
      </c>
    </row>
    <row r="7" spans="1:2" x14ac:dyDescent="0.25">
      <c r="A7" s="4">
        <f>'ALL VARS'!A7</f>
        <v>43973</v>
      </c>
      <c r="B7" s="5">
        <f>'ALL VARS'!B7</f>
        <v>58.6</v>
      </c>
    </row>
    <row r="8" spans="1:2" x14ac:dyDescent="0.25">
      <c r="A8" s="4">
        <f>'ALL VARS'!A8</f>
        <v>43972</v>
      </c>
      <c r="B8" s="5">
        <f>'ALL VARS'!B8</f>
        <v>57.72</v>
      </c>
    </row>
    <row r="9" spans="1:2" x14ac:dyDescent="0.25">
      <c r="A9" s="4">
        <f>'ALL VARS'!A9</f>
        <v>43971</v>
      </c>
      <c r="B9" s="5">
        <f>'ALL VARS'!B9</f>
        <v>53.76</v>
      </c>
    </row>
    <row r="10" spans="1:2" x14ac:dyDescent="0.25">
      <c r="A10" s="4">
        <f>'ALL VARS'!A10</f>
        <v>43970</v>
      </c>
      <c r="B10" s="5">
        <f>'ALL VARS'!B10</f>
        <v>54.72</v>
      </c>
    </row>
    <row r="11" spans="1:2" x14ac:dyDescent="0.25">
      <c r="A11" s="4">
        <f>'ALL VARS'!A11</f>
        <v>43966</v>
      </c>
      <c r="B11" s="5">
        <f>'ALL VARS'!B11</f>
        <v>49.98</v>
      </c>
    </row>
    <row r="12" spans="1:2" x14ac:dyDescent="0.25">
      <c r="A12" s="4">
        <f>'ALL VARS'!A12</f>
        <v>43965</v>
      </c>
      <c r="B12" s="5">
        <f>'ALL VARS'!B12</f>
        <v>45.17</v>
      </c>
    </row>
    <row r="13" spans="1:2" x14ac:dyDescent="0.25">
      <c r="A13" s="4">
        <f>'ALL VARS'!A13</f>
        <v>43964</v>
      </c>
      <c r="B13" s="5">
        <f>'ALL VARS'!B13</f>
        <v>44.86</v>
      </c>
    </row>
    <row r="14" spans="1:2" x14ac:dyDescent="0.25">
      <c r="A14" s="4">
        <f>'ALL VARS'!A14</f>
        <v>43963</v>
      </c>
      <c r="B14" s="5">
        <f>'ALL VARS'!B14</f>
        <v>47.61</v>
      </c>
    </row>
    <row r="15" spans="1:2" x14ac:dyDescent="0.25">
      <c r="A15" s="4">
        <f>'ALL VARS'!A15</f>
        <v>43962</v>
      </c>
      <c r="B15" s="5">
        <f>'ALL VARS'!B15</f>
        <v>48.53</v>
      </c>
    </row>
    <row r="16" spans="1:2" x14ac:dyDescent="0.25">
      <c r="A16" s="4">
        <f>'ALL VARS'!A16</f>
        <v>43959</v>
      </c>
      <c r="B16" s="5">
        <f>'ALL VARS'!B16</f>
        <v>49.16</v>
      </c>
    </row>
    <row r="17" spans="1:7" x14ac:dyDescent="0.25">
      <c r="A17" s="4">
        <f>'ALL VARS'!A17</f>
        <v>43958</v>
      </c>
      <c r="B17" s="5">
        <f>'ALL VARS'!B17</f>
        <v>49.42</v>
      </c>
    </row>
    <row r="18" spans="1:7" x14ac:dyDescent="0.25">
      <c r="A18" s="4">
        <f>'ALL VARS'!A18</f>
        <v>43957</v>
      </c>
      <c r="B18" s="5">
        <f>'ALL VARS'!B18</f>
        <v>50.69</v>
      </c>
    </row>
    <row r="19" spans="1:7" x14ac:dyDescent="0.25">
      <c r="A19" s="4">
        <f>'ALL VARS'!A19</f>
        <v>43956</v>
      </c>
      <c r="B19" s="5">
        <f>'ALL VARS'!B19</f>
        <v>50.86</v>
      </c>
    </row>
    <row r="20" spans="1:7" x14ac:dyDescent="0.25">
      <c r="A20" s="4">
        <f>'ALL VARS'!A20</f>
        <v>43955</v>
      </c>
      <c r="B20" s="5">
        <f>'ALL VARS'!B20</f>
        <v>50.79</v>
      </c>
      <c r="D20" s="4" t="s">
        <v>104</v>
      </c>
      <c r="E20" s="5">
        <f>MAX(B2:B48)</f>
        <v>61.47</v>
      </c>
      <c r="G20" s="6"/>
    </row>
    <row r="21" spans="1:7" x14ac:dyDescent="0.25">
      <c r="A21" s="4">
        <f>'ALL VARS'!A21</f>
        <v>43952</v>
      </c>
      <c r="B21" s="5">
        <f>'ALL VARS'!B21</f>
        <v>50.4</v>
      </c>
      <c r="D21" s="4" t="s">
        <v>31</v>
      </c>
      <c r="E21" s="5">
        <f>QUARTILE(B2:B48, 3)</f>
        <v>52.564999999999998</v>
      </c>
    </row>
    <row r="22" spans="1:7" x14ac:dyDescent="0.25">
      <c r="A22" s="4">
        <f>'ALL VARS'!A22</f>
        <v>43951</v>
      </c>
      <c r="B22" s="5">
        <f>'ALL VARS'!B22</f>
        <v>52.12</v>
      </c>
      <c r="D22" s="4" t="s">
        <v>32</v>
      </c>
      <c r="E22" s="5">
        <f>MEDIAN(B2:B48)</f>
        <v>50.26</v>
      </c>
    </row>
    <row r="23" spans="1:7" x14ac:dyDescent="0.25">
      <c r="A23" s="4">
        <f>'ALL VARS'!A23</f>
        <v>43950</v>
      </c>
      <c r="B23" s="5">
        <f>'ALL VARS'!B23</f>
        <v>54.04</v>
      </c>
      <c r="D23" s="4" t="s">
        <v>33</v>
      </c>
      <c r="E23" s="5">
        <f>QUARTILE(B2:B48, 1)</f>
        <v>49.07</v>
      </c>
    </row>
    <row r="24" spans="1:7" x14ac:dyDescent="0.25">
      <c r="A24" s="4">
        <f>'ALL VARS'!A24</f>
        <v>43949</v>
      </c>
      <c r="B24" s="5">
        <f>'ALL VARS'!B24</f>
        <v>53.01</v>
      </c>
      <c r="D24" s="4" t="s">
        <v>105</v>
      </c>
      <c r="E24" s="5">
        <f>MIN(B2:B48)</f>
        <v>44.8</v>
      </c>
    </row>
    <row r="25" spans="1:7" x14ac:dyDescent="0.25">
      <c r="A25" s="4">
        <f>'ALL VARS'!A25</f>
        <v>43948</v>
      </c>
      <c r="B25" s="5">
        <f>'ALL VARS'!B25</f>
        <v>54.79</v>
      </c>
    </row>
    <row r="26" spans="1:7" x14ac:dyDescent="0.25">
      <c r="A26" s="4">
        <f>'ALL VARS'!A26</f>
        <v>43945</v>
      </c>
      <c r="B26" s="5">
        <f>'ALL VARS'!B26</f>
        <v>50.95</v>
      </c>
    </row>
    <row r="27" spans="1:7" x14ac:dyDescent="0.25">
      <c r="A27" s="4">
        <f>'ALL VARS'!A27</f>
        <v>43944</v>
      </c>
      <c r="B27" s="5">
        <f>'ALL VARS'!B27</f>
        <v>49.5</v>
      </c>
    </row>
    <row r="28" spans="1:7" x14ac:dyDescent="0.25">
      <c r="A28" s="4">
        <f>'ALL VARS'!A28</f>
        <v>43943</v>
      </c>
      <c r="B28" s="5">
        <f>'ALL VARS'!B28</f>
        <v>49.8</v>
      </c>
    </row>
    <row r="29" spans="1:7" x14ac:dyDescent="0.25">
      <c r="A29" s="4">
        <f>'ALL VARS'!A29</f>
        <v>43942</v>
      </c>
      <c r="B29" s="5">
        <f>'ALL VARS'!B29</f>
        <v>49.77</v>
      </c>
    </row>
    <row r="30" spans="1:7" x14ac:dyDescent="0.25">
      <c r="A30" s="4">
        <f>'ALL VARS'!A30</f>
        <v>43941</v>
      </c>
      <c r="B30" s="5">
        <f>'ALL VARS'!B30</f>
        <v>51.32</v>
      </c>
    </row>
    <row r="31" spans="1:7" x14ac:dyDescent="0.25">
      <c r="A31" s="4">
        <f>'ALL VARS'!A31</f>
        <v>43938</v>
      </c>
      <c r="B31" s="5">
        <f>'ALL VARS'!B31</f>
        <v>50.51</v>
      </c>
    </row>
    <row r="32" spans="1:7" x14ac:dyDescent="0.25">
      <c r="A32" s="4">
        <f>'ALL VARS'!A32</f>
        <v>43937</v>
      </c>
      <c r="B32" s="5">
        <f>'ALL VARS'!B32</f>
        <v>49.04</v>
      </c>
    </row>
    <row r="33" spans="1:2" x14ac:dyDescent="0.25">
      <c r="A33" s="4">
        <f>'ALL VARS'!A33</f>
        <v>43936</v>
      </c>
      <c r="B33" s="5">
        <f>'ALL VARS'!B33</f>
        <v>50.44</v>
      </c>
    </row>
    <row r="34" spans="1:2" x14ac:dyDescent="0.25">
      <c r="A34" s="4">
        <f>'ALL VARS'!A34</f>
        <v>43935</v>
      </c>
      <c r="B34" s="5">
        <f>'ALL VARS'!B34</f>
        <v>51.75</v>
      </c>
    </row>
    <row r="35" spans="1:2" x14ac:dyDescent="0.25">
      <c r="A35" s="4">
        <f>'ALL VARS'!A35</f>
        <v>43934</v>
      </c>
      <c r="B35" s="5">
        <f>'ALL VARS'!B35</f>
        <v>50.1</v>
      </c>
    </row>
    <row r="36" spans="1:2" x14ac:dyDescent="0.25">
      <c r="A36" s="4">
        <f>'ALL VARS'!A36</f>
        <v>43930</v>
      </c>
      <c r="B36" s="5">
        <f>'ALL VARS'!B36</f>
        <v>51.42</v>
      </c>
    </row>
    <row r="37" spans="1:2" x14ac:dyDescent="0.25">
      <c r="A37" s="4">
        <f>'ALL VARS'!A37</f>
        <v>43929</v>
      </c>
      <c r="B37" s="5">
        <f>'ALL VARS'!B37</f>
        <v>50.11</v>
      </c>
    </row>
    <row r="38" spans="1:2" x14ac:dyDescent="0.25">
      <c r="A38" s="4">
        <f>'ALL VARS'!A38</f>
        <v>43928</v>
      </c>
      <c r="B38" s="5">
        <f>'ALL VARS'!B38</f>
        <v>47.86</v>
      </c>
    </row>
    <row r="39" spans="1:2" x14ac:dyDescent="0.25">
      <c r="A39" s="4">
        <f>'ALL VARS'!A39</f>
        <v>43927</v>
      </c>
      <c r="B39" s="5">
        <f>'ALL VARS'!B39</f>
        <v>47.56</v>
      </c>
    </row>
    <row r="40" spans="1:2" x14ac:dyDescent="0.25">
      <c r="A40" s="4">
        <f>'ALL VARS'!A40</f>
        <v>43924</v>
      </c>
      <c r="B40" s="5">
        <f>'ALL VARS'!B40</f>
        <v>44.8</v>
      </c>
    </row>
    <row r="41" spans="1:2" x14ac:dyDescent="0.25">
      <c r="A41" s="4">
        <f>'ALL VARS'!A41</f>
        <v>43923</v>
      </c>
      <c r="B41" s="5">
        <f>'ALL VARS'!B41</f>
        <v>46.15</v>
      </c>
    </row>
    <row r="42" spans="1:2" x14ac:dyDescent="0.25">
      <c r="A42" s="4">
        <f>'ALL VARS'!A42</f>
        <v>43922</v>
      </c>
      <c r="B42" s="5">
        <f>'ALL VARS'!B42</f>
        <v>45.99</v>
      </c>
    </row>
    <row r="43" spans="1:2" x14ac:dyDescent="0.25">
      <c r="A43" s="4">
        <f>'ALL VARS'!A43</f>
        <v>43921</v>
      </c>
      <c r="B43" s="5">
        <f>'ALL VARS'!B43</f>
        <v>49.1</v>
      </c>
    </row>
    <row r="44" spans="1:2" x14ac:dyDescent="0.25">
      <c r="A44" s="4">
        <f>'ALL VARS'!A44</f>
        <v>43920</v>
      </c>
      <c r="B44" s="5">
        <f>'ALL VARS'!B44</f>
        <v>49.3</v>
      </c>
    </row>
    <row r="45" spans="1:2" x14ac:dyDescent="0.25">
      <c r="A45" s="4">
        <f>'ALL VARS'!A45</f>
        <v>43917</v>
      </c>
      <c r="B45" s="5">
        <f>'ALL VARS'!B45</f>
        <v>49.56</v>
      </c>
    </row>
    <row r="46" spans="1:2" x14ac:dyDescent="0.25">
      <c r="A46" s="4">
        <f>'ALL VARS'!A46</f>
        <v>43916</v>
      </c>
      <c r="B46" s="5">
        <f>'ALL VARS'!B46</f>
        <v>50.26</v>
      </c>
    </row>
    <row r="47" spans="1:2" x14ac:dyDescent="0.25">
      <c r="A47" s="4">
        <f>'ALL VARS'!A47</f>
        <v>43915</v>
      </c>
      <c r="B47" s="5">
        <f>'ALL VARS'!B47</f>
        <v>48.12</v>
      </c>
    </row>
    <row r="48" spans="1:2" x14ac:dyDescent="0.25">
      <c r="A48" s="4">
        <f>'ALL VARS'!A48</f>
        <v>43914</v>
      </c>
      <c r="B48" s="5">
        <f>'ALL VARS'!B48</f>
        <v>45.3</v>
      </c>
    </row>
    <row r="50" spans="2:2" x14ac:dyDescent="0.25">
      <c r="B50" s="6">
        <f>(B2-'[1]Close price'!$B$2)/'[1]Close price'!$B$2</f>
        <v>0.32002834199338676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0.21742806932429412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4.7274965330090055E-2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-6.7270276067044221E-2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4.1155948511274507E-2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3.5300281005582329E-3</v>
      </c>
      <c r="L13" s="18">
        <v>7.060056201116466E-4</v>
      </c>
      <c r="M13" s="18">
        <v>0.41681460476195298</v>
      </c>
      <c r="N13" s="18">
        <v>0.83430937331874699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7.1140108110232483E-2</v>
      </c>
      <c r="L14" s="18">
        <v>1.6938120978626781E-3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0.13113425197836376</v>
      </c>
      <c r="K19" s="18">
        <v>0.15321166010718607</v>
      </c>
      <c r="L19" s="18">
        <v>0.85590255915654812</v>
      </c>
      <c r="M19" s="18">
        <v>0.39690847225335668</v>
      </c>
      <c r="N19" s="18">
        <v>-0.17805939594238729</v>
      </c>
      <c r="O19" s="18">
        <v>0.44032789989911481</v>
      </c>
      <c r="P19" s="18">
        <v>-0.17805939594238729</v>
      </c>
      <c r="Q19" s="18">
        <v>0.44032789989911481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4.6861205130287228E-2</v>
      </c>
      <c r="K20" s="18">
        <v>0.15559493638885338</v>
      </c>
      <c r="L20" s="18">
        <v>0.30117435835556089</v>
      </c>
      <c r="M20" s="18">
        <v>0.76476760052191228</v>
      </c>
      <c r="N20" s="18">
        <v>-0.26714208904725778</v>
      </c>
      <c r="O20" s="18">
        <v>0.36086449930783226</v>
      </c>
      <c r="P20" s="18">
        <v>-0.26714208904725778</v>
      </c>
      <c r="Q20" s="18">
        <v>0.36086449930783226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1.2663380627036223E-2</v>
      </c>
      <c r="K21" s="18">
        <v>2.4017271042291132E-2</v>
      </c>
      <c r="L21" s="18">
        <v>0.52726142802559628</v>
      </c>
      <c r="M21" s="18">
        <v>0.60078631685944206</v>
      </c>
      <c r="N21" s="18">
        <v>-3.5805434615042819E-2</v>
      </c>
      <c r="O21" s="18">
        <v>6.1132195869115266E-2</v>
      </c>
      <c r="P21" s="18">
        <v>-3.5805434615042819E-2</v>
      </c>
      <c r="Q21" s="18">
        <v>6.1132195869115266E-2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1.056542488752534E-3</v>
      </c>
      <c r="K22" s="18">
        <v>1.780503704305185E-3</v>
      </c>
      <c r="L22" s="18">
        <v>0.59339527696452277</v>
      </c>
      <c r="M22" s="18">
        <v>0.55609897469880931</v>
      </c>
      <c r="N22" s="18">
        <v>-2.536659458706225E-3</v>
      </c>
      <c r="O22" s="18">
        <v>4.6497444362112927E-3</v>
      </c>
      <c r="P22" s="18">
        <v>-2.536659458706225E-3</v>
      </c>
      <c r="Q22" s="18">
        <v>4.6497444362112927E-3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1.3371433277843873E-4</v>
      </c>
      <c r="K23" s="22">
        <v>1.5029523624785027E-4</v>
      </c>
      <c r="L23" s="22">
        <v>0.8896777843173409</v>
      </c>
      <c r="M23" s="22">
        <v>0.37870669816203606</v>
      </c>
      <c r="N23" s="22">
        <v>-1.695937335141236E-4</v>
      </c>
      <c r="O23" s="22">
        <v>4.3702239907100109E-4</v>
      </c>
      <c r="P23" s="22">
        <v>-1.695937335141236E-4</v>
      </c>
      <c r="Q23" s="22">
        <v>4.3702239907100109E-4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0.24670628130641881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6.0863989236041846E-2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-5.2387059408144643E-2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4.0861384100104474E-2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4.5447223665873449E-3</v>
      </c>
      <c r="L13" s="18">
        <v>9.0894447331746895E-4</v>
      </c>
      <c r="M13" s="18">
        <v>0.54439133812668872</v>
      </c>
      <c r="N13" s="18">
        <v>0.74152797110382829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7.0125413844203371E-2</v>
      </c>
      <c r="L14" s="18">
        <v>1.6696527105762708E-3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0.12562621177291938</v>
      </c>
      <c r="K19" s="18">
        <v>0.14840879676463858</v>
      </c>
      <c r="L19" s="18">
        <v>0.84648763760378642</v>
      </c>
      <c r="M19" s="18">
        <v>0.40207821332035876</v>
      </c>
      <c r="N19" s="18">
        <v>-0.17387486551509918</v>
      </c>
      <c r="O19" s="18">
        <v>0.42512728906093794</v>
      </c>
      <c r="P19" s="18">
        <v>-0.17387486551509918</v>
      </c>
      <c r="Q19" s="18">
        <v>0.42512728906093794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6.7800704453988558E-2</v>
      </c>
      <c r="K20" s="18">
        <v>0.15598524214778861</v>
      </c>
      <c r="L20" s="18">
        <v>0.43466101998130446</v>
      </c>
      <c r="M20" s="18">
        <v>0.66603367050386619</v>
      </c>
      <c r="N20" s="18">
        <v>-0.24699025863416835</v>
      </c>
      <c r="O20" s="18">
        <v>0.38259166754214546</v>
      </c>
      <c r="P20" s="18">
        <v>-0.24699025863416835</v>
      </c>
      <c r="Q20" s="18">
        <v>0.38259166754214546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0.57960150272708877</v>
      </c>
      <c r="K21" s="18">
        <v>0.54139828423685621</v>
      </c>
      <c r="L21" s="18">
        <v>1.0705639814579078</v>
      </c>
      <c r="M21" s="18">
        <v>0.29047934689117788</v>
      </c>
      <c r="N21" s="18">
        <v>-0.51298446862861102</v>
      </c>
      <c r="O21" s="18">
        <v>1.6721874740827887</v>
      </c>
      <c r="P21" s="18">
        <v>-0.51298446862861102</v>
      </c>
      <c r="Q21" s="18">
        <v>1.6721874740827887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1.5066625708726874E-2</v>
      </c>
      <c r="K22" s="18">
        <v>4.9530673096754012E-2</v>
      </c>
      <c r="L22" s="18">
        <v>0.30418778439161298</v>
      </c>
      <c r="M22" s="18">
        <v>0.76248689091554522</v>
      </c>
      <c r="N22" s="18">
        <v>-8.4890319396114258E-2</v>
      </c>
      <c r="O22" s="18">
        <v>0.115023570813568</v>
      </c>
      <c r="P22" s="18">
        <v>-8.4890319396114258E-2</v>
      </c>
      <c r="Q22" s="18">
        <v>0.115023570813568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1.1341082022653917E-4</v>
      </c>
      <c r="K23" s="22">
        <v>1.3907042507447514E-4</v>
      </c>
      <c r="L23" s="22">
        <v>0.8154920082095477</v>
      </c>
      <c r="M23" s="22">
        <v>0.41939149222573291</v>
      </c>
      <c r="N23" s="22">
        <v>-1.6724466001944273E-4</v>
      </c>
      <c r="O23" s="22">
        <v>3.940663004725211E-4</v>
      </c>
      <c r="P23" s="22">
        <v>-1.6724466001944273E-4</v>
      </c>
      <c r="Q23" s="22">
        <v>3.940663004725211E-4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0.18554185164287212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3.4425778711065572E-2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-8.1343194745023412E-2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4.1432549496073653E-2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2.5705775855178054E-3</v>
      </c>
      <c r="L13" s="18">
        <v>5.1411551710356103E-4</v>
      </c>
      <c r="M13" s="18">
        <v>0.29948660061256832</v>
      </c>
      <c r="N13" s="18">
        <v>0.91032532008916145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7.2099558625272911E-2</v>
      </c>
      <c r="L14" s="18">
        <v>1.7166561577445932E-3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0.11351042763439292</v>
      </c>
      <c r="K19" s="18">
        <v>0.15388449510301441</v>
      </c>
      <c r="L19" s="18">
        <v>0.73763394784124281</v>
      </c>
      <c r="M19" s="18">
        <v>0.46483830770640011</v>
      </c>
      <c r="N19" s="18">
        <v>-0.19704105628045523</v>
      </c>
      <c r="O19" s="18">
        <v>0.42406191154924111</v>
      </c>
      <c r="P19" s="18">
        <v>-0.19704105628045523</v>
      </c>
      <c r="Q19" s="18">
        <v>0.42406191154924111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5.4662318235349006E-2</v>
      </c>
      <c r="K20" s="18">
        <v>0.15702563881978904</v>
      </c>
      <c r="L20" s="18">
        <v>0.34811078398529799</v>
      </c>
      <c r="M20" s="18">
        <v>0.72949578599988962</v>
      </c>
      <c r="N20" s="18">
        <v>-0.26222825034024516</v>
      </c>
      <c r="O20" s="18">
        <v>0.37155288681094317</v>
      </c>
      <c r="P20" s="18">
        <v>-0.26222825034024516</v>
      </c>
      <c r="Q20" s="18">
        <v>0.37155288681094317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-1.9530164726687012E-2</v>
      </c>
      <c r="K21" s="18">
        <v>1.0191727180480061</v>
      </c>
      <c r="L21" s="18">
        <v>-1.9162762484549827E-2</v>
      </c>
      <c r="M21" s="18">
        <v>0.98480201105302956</v>
      </c>
      <c r="N21" s="18">
        <v>-2.0763039790311111</v>
      </c>
      <c r="O21" s="18">
        <v>2.0372436495777371</v>
      </c>
      <c r="P21" s="18">
        <v>-2.0763039790311111</v>
      </c>
      <c r="Q21" s="18">
        <v>2.0372436495777371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-3.7750494659357786E-3</v>
      </c>
      <c r="K22" s="18">
        <v>7.3016601145156068E-2</v>
      </c>
      <c r="L22" s="18">
        <v>-5.1701248849299747E-2</v>
      </c>
      <c r="M22" s="18">
        <v>0.95901186039887754</v>
      </c>
      <c r="N22" s="18">
        <v>-0.15112851623896761</v>
      </c>
      <c r="O22" s="18">
        <v>0.14357841730709608</v>
      </c>
      <c r="P22" s="18">
        <v>-0.15112851623896761</v>
      </c>
      <c r="Q22" s="18">
        <v>0.14357841730709608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8.4717408774199381E-5</v>
      </c>
      <c r="K23" s="22">
        <v>1.370453640266755E-4</v>
      </c>
      <c r="L23" s="22">
        <v>0.61817055524555631</v>
      </c>
      <c r="M23" s="22">
        <v>0.53980088274052318</v>
      </c>
      <c r="N23" s="22">
        <v>-1.9185133282412773E-4</v>
      </c>
      <c r="O23" s="22">
        <v>3.6128615037252649E-4</v>
      </c>
      <c r="P23" s="22">
        <v>-1.9185133282412773E-4</v>
      </c>
      <c r="Q23" s="22">
        <v>3.6128615037252649E-4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0.29704583581235267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8.8236228573459169E-2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-2.2407940133830438E-2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4.0261503829128811E-2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6.5886112063066604E-3</v>
      </c>
      <c r="L13" s="18">
        <v>1.317722241261332E-3</v>
      </c>
      <c r="M13" s="18">
        <v>0.81291266800105899</v>
      </c>
      <c r="N13" s="18">
        <v>0.5473715265842225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6.8081525004484056E-2</v>
      </c>
      <c r="L14" s="18">
        <v>1.6209886905829537E-3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7.0930732699289303E-2</v>
      </c>
      <c r="K19" s="18">
        <v>0.15089215247148899</v>
      </c>
      <c r="L19" s="18">
        <v>0.47007569007070554</v>
      </c>
      <c r="M19" s="18">
        <v>0.64073274442309147</v>
      </c>
      <c r="N19" s="18">
        <v>-0.23358195930231379</v>
      </c>
      <c r="O19" s="18">
        <v>0.37544342470089237</v>
      </c>
      <c r="P19" s="18">
        <v>-0.23358195930231379</v>
      </c>
      <c r="Q19" s="18">
        <v>0.37544342470089237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3.2894463730716972E-2</v>
      </c>
      <c r="K20" s="18">
        <v>0.15237350808864911</v>
      </c>
      <c r="L20" s="18">
        <v>0.21588046467749081</v>
      </c>
      <c r="M20" s="18">
        <v>0.83012595950964507</v>
      </c>
      <c r="N20" s="18">
        <v>-0.27460772493724428</v>
      </c>
      <c r="O20" s="18">
        <v>0.34039665239867822</v>
      </c>
      <c r="P20" s="18">
        <v>-0.27460772493724428</v>
      </c>
      <c r="Q20" s="18">
        <v>0.34039665239867822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0.12728681896080055</v>
      </c>
      <c r="K21" s="18">
        <v>0.17177273319129832</v>
      </c>
      <c r="L21" s="18">
        <v>0.74101876704171032</v>
      </c>
      <c r="M21" s="18">
        <v>0.46280522477659713</v>
      </c>
      <c r="N21" s="18">
        <v>-0.21936459093567337</v>
      </c>
      <c r="O21" s="18">
        <v>0.47393822885727444</v>
      </c>
      <c r="P21" s="18">
        <v>-0.21936459093567337</v>
      </c>
      <c r="Q21" s="18">
        <v>0.47393822885727444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-1.9066151288772332E-2</v>
      </c>
      <c r="K22" s="18">
        <v>1.710312748040595E-2</v>
      </c>
      <c r="L22" s="18">
        <v>-1.1147757221955636</v>
      </c>
      <c r="M22" s="18">
        <v>0.27128500442092551</v>
      </c>
      <c r="N22" s="18">
        <v>-5.3581659917950927E-2</v>
      </c>
      <c r="O22" s="18">
        <v>1.5449357340406266E-2</v>
      </c>
      <c r="P22" s="18">
        <v>-5.3581659917950927E-2</v>
      </c>
      <c r="Q22" s="18">
        <v>1.5449357340406266E-2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6.3951467821056387E-5</v>
      </c>
      <c r="K23" s="22">
        <v>1.3850528498245401E-4</v>
      </c>
      <c r="L23" s="22">
        <v>0.46172583110570709</v>
      </c>
      <c r="M23" s="22">
        <v>0.64666064135618317</v>
      </c>
      <c r="N23" s="22">
        <v>-2.1556351354568855E-4</v>
      </c>
      <c r="O23" s="22">
        <v>3.4346644918780133E-4</v>
      </c>
      <c r="P23" s="22">
        <v>-2.1556351354568855E-4</v>
      </c>
      <c r="Q23" s="22">
        <v>3.4346644918780133E-4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0.24105144560484998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5.810579942818795E-2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-5.5407933959603674E-2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4.0921343904772284E-2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4.3387679579396793E-3</v>
      </c>
      <c r="L13" s="18">
        <v>8.6775359158793584E-4</v>
      </c>
      <c r="M13" s="18">
        <v>0.51819908743515586</v>
      </c>
      <c r="N13" s="18">
        <v>0.7609692230265952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7.0331368252851037E-2</v>
      </c>
      <c r="L14" s="18">
        <v>1.6745563869726438E-3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0.13358326972406517</v>
      </c>
      <c r="K19" s="18">
        <v>0.1492820045708047</v>
      </c>
      <c r="L19" s="18">
        <v>0.89483839735489623</v>
      </c>
      <c r="M19" s="18">
        <v>0.37597318814154945</v>
      </c>
      <c r="N19" s="18">
        <v>-0.16768001226033544</v>
      </c>
      <c r="O19" s="18">
        <v>0.43484655170846576</v>
      </c>
      <c r="P19" s="18">
        <v>-0.16768001226033544</v>
      </c>
      <c r="Q19" s="18">
        <v>0.43484655170846576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4.4892416115257162E-2</v>
      </c>
      <c r="K20" s="18">
        <v>0.15534154581040902</v>
      </c>
      <c r="L20" s="18">
        <v>0.28899169170137767</v>
      </c>
      <c r="M20" s="18">
        <v>0.7740094111690613</v>
      </c>
      <c r="N20" s="18">
        <v>-0.26859951517226272</v>
      </c>
      <c r="O20" s="18">
        <v>0.35838434740277708</v>
      </c>
      <c r="P20" s="18">
        <v>-0.26859951517226272</v>
      </c>
      <c r="Q20" s="18">
        <v>0.35838434740277708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0.1908291648228525</v>
      </c>
      <c r="K21" s="18">
        <v>0.24925276413708877</v>
      </c>
      <c r="L21" s="18">
        <v>0.76560500937071518</v>
      </c>
      <c r="M21" s="18">
        <v>0.4481926334373918</v>
      </c>
      <c r="N21" s="18">
        <v>-0.31218327785912814</v>
      </c>
      <c r="O21" s="18">
        <v>0.69384160750483315</v>
      </c>
      <c r="P21" s="18">
        <v>-0.31218327785912814</v>
      </c>
      <c r="Q21" s="18">
        <v>0.69384160750483315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7.4395467869639255E-3</v>
      </c>
      <c r="K22" s="18">
        <v>1.8458501175951551E-2</v>
      </c>
      <c r="L22" s="18">
        <v>0.40304175924405256</v>
      </c>
      <c r="M22" s="18">
        <v>0.68896190341966057</v>
      </c>
      <c r="N22" s="18">
        <v>-2.9811216697676671E-2</v>
      </c>
      <c r="O22" s="18">
        <v>4.4690310271604521E-2</v>
      </c>
      <c r="P22" s="18">
        <v>-2.9811216697676671E-2</v>
      </c>
      <c r="Q22" s="18">
        <v>4.4690310271604521E-2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1.2404573342833974E-4</v>
      </c>
      <c r="K23" s="22">
        <v>1.4414100555239917E-4</v>
      </c>
      <c r="L23" s="22">
        <v>0.86058601404196355</v>
      </c>
      <c r="M23" s="22">
        <v>0.39435232681172427</v>
      </c>
      <c r="N23" s="22">
        <v>-1.6684259250280908E-4</v>
      </c>
      <c r="O23" s="22">
        <v>4.1493405935948857E-4</v>
      </c>
      <c r="P23" s="22">
        <v>-1.6684259250280908E-4</v>
      </c>
      <c r="Q23" s="22">
        <v>4.1493405935948857E-4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0.20033692545157428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4.0134883699389633E-2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-7.5090365472097062E-2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4.1309879764367521E-2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2.996877232637668E-3</v>
      </c>
      <c r="L13" s="18">
        <v>5.9937544652753356E-4</v>
      </c>
      <c r="M13" s="18">
        <v>0.3512295814793312</v>
      </c>
      <c r="N13" s="18">
        <v>0.87848861102188081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7.1673258978153048E-2</v>
      </c>
      <c r="L14" s="18">
        <v>1.7065061661465011E-3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0.11788430014214522</v>
      </c>
      <c r="K19" s="18">
        <v>0.15558646046442712</v>
      </c>
      <c r="L19" s="18">
        <v>0.75767711271443172</v>
      </c>
      <c r="M19" s="18">
        <v>0.45287461368172055</v>
      </c>
      <c r="N19" s="18">
        <v>-0.19610188892740066</v>
      </c>
      <c r="O19" s="18">
        <v>0.43187048921169113</v>
      </c>
      <c r="P19" s="18">
        <v>-0.19610188892740066</v>
      </c>
      <c r="Q19" s="18">
        <v>0.43187048921169113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3.3765900500455116E-2</v>
      </c>
      <c r="K20" s="18">
        <v>0.16142993872835756</v>
      </c>
      <c r="L20" s="18">
        <v>0.20916752348691584</v>
      </c>
      <c r="M20" s="18">
        <v>0.83532869055433911</v>
      </c>
      <c r="N20" s="18">
        <v>-0.29201290513434613</v>
      </c>
      <c r="O20" s="18">
        <v>0.35954470613525641</v>
      </c>
      <c r="P20" s="18">
        <v>-0.29201290513434613</v>
      </c>
      <c r="Q20" s="18">
        <v>0.35954470613525641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7.4053214624247077E-2</v>
      </c>
      <c r="K21" s="18">
        <v>0.14824688840975783</v>
      </c>
      <c r="L21" s="18">
        <v>0.49952626607286538</v>
      </c>
      <c r="M21" s="18">
        <v>0.6200155477752487</v>
      </c>
      <c r="N21" s="18">
        <v>-0.22512111837525317</v>
      </c>
      <c r="O21" s="18">
        <v>0.37322754762374732</v>
      </c>
      <c r="P21" s="18">
        <v>-0.22512111837525317</v>
      </c>
      <c r="Q21" s="18">
        <v>0.37322754762374732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-7.5454058111363247E-6</v>
      </c>
      <c r="K22" s="18">
        <v>1.1505954547069989E-2</v>
      </c>
      <c r="L22" s="18">
        <v>-6.5578268889109905E-4</v>
      </c>
      <c r="M22" s="18">
        <v>0.99947986612926565</v>
      </c>
      <c r="N22" s="18">
        <v>-2.322750175071378E-2</v>
      </c>
      <c r="O22" s="18">
        <v>2.3212410939091509E-2</v>
      </c>
      <c r="P22" s="18">
        <v>-2.322750175071378E-2</v>
      </c>
      <c r="Q22" s="18">
        <v>2.3212410939091509E-2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1.0038888888377036E-4</v>
      </c>
      <c r="K23" s="22">
        <v>1.400376830316515E-4</v>
      </c>
      <c r="L23" s="22">
        <v>0.71687053591910921</v>
      </c>
      <c r="M23" s="22">
        <v>0.47742182072268624</v>
      </c>
      <c r="N23" s="22">
        <v>-1.8221859694749471E-4</v>
      </c>
      <c r="O23" s="22">
        <v>3.829963747150354E-4</v>
      </c>
      <c r="P23" s="22">
        <v>-1.8221859694749471E-4</v>
      </c>
      <c r="Q23" s="22">
        <v>3.829963747150354E-4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0.21191760673574647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4.49090720446065E-2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-6.9861492522573829E-2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4.1207017919431814E-2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3.3533665266709811E-3</v>
      </c>
      <c r="L13" s="18">
        <v>6.7067330533419618E-4</v>
      </c>
      <c r="M13" s="18">
        <v>0.39497412668578191</v>
      </c>
      <c r="N13" s="18">
        <v>0.84940757938465672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7.1316769684119735E-2</v>
      </c>
      <c r="L14" s="18">
        <v>1.6980183258123746E-3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0.10706917191594691</v>
      </c>
      <c r="K19" s="18">
        <v>0.15139829283133208</v>
      </c>
      <c r="L19" s="18">
        <v>0.70720197641349358</v>
      </c>
      <c r="M19" s="18">
        <v>0.48334666747508626</v>
      </c>
      <c r="N19" s="18">
        <v>-0.19846495268491349</v>
      </c>
      <c r="O19" s="18">
        <v>0.41260329651680727</v>
      </c>
      <c r="P19" s="18">
        <v>-0.19846495268491349</v>
      </c>
      <c r="Q19" s="18">
        <v>0.41260329651680727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6.0976125873499619E-2</v>
      </c>
      <c r="K20" s="18">
        <v>0.15740898407616141</v>
      </c>
      <c r="L20" s="18">
        <v>0.38737386071938995</v>
      </c>
      <c r="M20" s="18">
        <v>0.7004355909222002</v>
      </c>
      <c r="N20" s="18">
        <v>-0.2566880647498419</v>
      </c>
      <c r="O20" s="18">
        <v>0.3786403164968411</v>
      </c>
      <c r="P20" s="18">
        <v>-0.2566880647498419</v>
      </c>
      <c r="Q20" s="18">
        <v>0.3786403164968411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0.12400571698043823</v>
      </c>
      <c r="K21" s="18">
        <v>0.18210726647423714</v>
      </c>
      <c r="L21" s="18">
        <v>0.68094875828571844</v>
      </c>
      <c r="M21" s="18">
        <v>0.49964119661974582</v>
      </c>
      <c r="N21" s="18">
        <v>-0.24350162544150278</v>
      </c>
      <c r="O21" s="18">
        <v>0.49151305940237922</v>
      </c>
      <c r="P21" s="18">
        <v>-0.24350162544150278</v>
      </c>
      <c r="Q21" s="18">
        <v>0.49151305940237922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4.4395902120507834E-3</v>
      </c>
      <c r="K22" s="18">
        <v>1.3438963547390301E-2</v>
      </c>
      <c r="L22" s="18">
        <v>0.33035212845062767</v>
      </c>
      <c r="M22" s="18">
        <v>0.74277619158769759</v>
      </c>
      <c r="N22" s="18">
        <v>-2.2681336227781661E-2</v>
      </c>
      <c r="O22" s="18">
        <v>3.1560516651883225E-2</v>
      </c>
      <c r="P22" s="18">
        <v>-2.2681336227781661E-2</v>
      </c>
      <c r="Q22" s="18">
        <v>3.1560516651883225E-2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1.1563063291348276E-4</v>
      </c>
      <c r="K23" s="22">
        <v>1.4531562355069662E-4</v>
      </c>
      <c r="L23" s="22">
        <v>0.79572058453262196</v>
      </c>
      <c r="M23" s="22">
        <v>0.43066891849350275</v>
      </c>
      <c r="N23" s="22">
        <v>-1.7762816810783135E-4</v>
      </c>
      <c r="O23" s="22">
        <v>4.088894339347969E-4</v>
      </c>
      <c r="P23" s="22">
        <v>-1.7762816810783135E-4</v>
      </c>
      <c r="Q23" s="22">
        <v>4.088894339347969E-4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0.30682984443651812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9.4144553436937922E-2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-1.5936917664306081E-2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4.0130842426501917E-2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7.0297866286402194E-3</v>
      </c>
      <c r="L13" s="18">
        <v>1.4059573257280439E-3</v>
      </c>
      <c r="M13" s="18">
        <v>0.87300269802509289</v>
      </c>
      <c r="N13" s="18">
        <v>0.50758766730407623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6.7640349582150497E-2</v>
      </c>
      <c r="L14" s="18">
        <v>1.610484513860726E-3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0.18904995846800551</v>
      </c>
      <c r="K19" s="18">
        <v>0.15241475706635621</v>
      </c>
      <c r="L19" s="18">
        <v>1.2403651858048075</v>
      </c>
      <c r="M19" s="18">
        <v>0.22172508552644224</v>
      </c>
      <c r="N19" s="18">
        <v>-0.11853547400712641</v>
      </c>
      <c r="O19" s="18">
        <v>0.49663539094313747</v>
      </c>
      <c r="P19" s="18">
        <v>-0.11853547400712641</v>
      </c>
      <c r="Q19" s="18">
        <v>0.49663539094313747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9.5542722788150417E-2</v>
      </c>
      <c r="K20" s="18">
        <v>0.1599194509966948</v>
      </c>
      <c r="L20" s="18">
        <v>0.59744278880825497</v>
      </c>
      <c r="M20" s="18">
        <v>0.55341945392580694</v>
      </c>
      <c r="N20" s="18">
        <v>-0.22718779519305049</v>
      </c>
      <c r="O20" s="18">
        <v>0.4182732407693513</v>
      </c>
      <c r="P20" s="18">
        <v>-0.22718779519305049</v>
      </c>
      <c r="Q20" s="18">
        <v>0.4182732407693513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1.7623331732433119E-3</v>
      </c>
      <c r="K21" s="18">
        <v>9.8063712008686521E-2</v>
      </c>
      <c r="L21" s="18">
        <v>1.7971308011338626E-2</v>
      </c>
      <c r="M21" s="18">
        <v>0.98574684612324326</v>
      </c>
      <c r="N21" s="18">
        <v>-0.19613824974194449</v>
      </c>
      <c r="O21" s="18">
        <v>0.19966291608843112</v>
      </c>
      <c r="P21" s="18">
        <v>-0.19613824974194449</v>
      </c>
      <c r="Q21" s="18">
        <v>0.19966291608843112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1.1344098222837279E-2</v>
      </c>
      <c r="K22" s="18">
        <v>6.873990617771315E-3</v>
      </c>
      <c r="L22" s="18">
        <v>1.6502929453394077</v>
      </c>
      <c r="M22" s="18">
        <v>0.10634282205310734</v>
      </c>
      <c r="N22" s="18">
        <v>-2.5281764682326784E-3</v>
      </c>
      <c r="O22" s="18">
        <v>2.5216372913907235E-2</v>
      </c>
      <c r="P22" s="18">
        <v>-2.5281764682326784E-3</v>
      </c>
      <c r="Q22" s="18">
        <v>2.5216372913907235E-2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1.3256656265683741E-4</v>
      </c>
      <c r="K23" s="22">
        <v>1.4335295168626372E-4</v>
      </c>
      <c r="L23" s="22">
        <v>0.92475642180683559</v>
      </c>
      <c r="M23" s="22">
        <v>0.36037562466287698</v>
      </c>
      <c r="N23" s="22">
        <v>-1.5673140618622814E-4</v>
      </c>
      <c r="O23" s="22">
        <v>4.2186453149990299E-4</v>
      </c>
      <c r="P23" s="22">
        <v>-1.5673140618622814E-4</v>
      </c>
      <c r="Q23" s="22">
        <v>4.2186453149990299E-4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0.20691335509718886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4.2813136517575366E-2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-7.2157040956941268E-2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4.1252207293155027E-2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3.1968627353785306E-3</v>
      </c>
      <c r="L13" s="18">
        <v>6.3937254707570616E-4</v>
      </c>
      <c r="M13" s="18">
        <v>0.37571592388891623</v>
      </c>
      <c r="N13" s="18">
        <v>0.86241901018496137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7.1473273475412186E-2</v>
      </c>
      <c r="L14" s="18">
        <v>1.701744606557433E-3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0.12483663548619751</v>
      </c>
      <c r="K19" s="18">
        <v>0.15336922116751175</v>
      </c>
      <c r="L19" s="18">
        <v>0.81396146199275143</v>
      </c>
      <c r="M19" s="18">
        <v>0.42025802671621204</v>
      </c>
      <c r="N19" s="18">
        <v>-0.18467498352747347</v>
      </c>
      <c r="O19" s="18">
        <v>0.43434825449986847</v>
      </c>
      <c r="P19" s="18">
        <v>-0.18467498352747347</v>
      </c>
      <c r="Q19" s="18">
        <v>0.43434825449986847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5.5760017251012026E-2</v>
      </c>
      <c r="K20" s="18">
        <v>0.15572471058428247</v>
      </c>
      <c r="L20" s="18">
        <v>0.35806788172409659</v>
      </c>
      <c r="M20" s="18">
        <v>0.72208591437066028</v>
      </c>
      <c r="N20" s="18">
        <v>-0.25850517185582644</v>
      </c>
      <c r="O20" s="18">
        <v>0.37002520635785052</v>
      </c>
      <c r="P20" s="18">
        <v>-0.25850517185582644</v>
      </c>
      <c r="Q20" s="18">
        <v>0.37002520635785052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4.8474896026459782E-2</v>
      </c>
      <c r="K21" s="18">
        <v>9.6794288898274836E-2</v>
      </c>
      <c r="L21" s="18">
        <v>0.50080326616587967</v>
      </c>
      <c r="M21" s="18">
        <v>0.61912410162338982</v>
      </c>
      <c r="N21" s="18">
        <v>-0.14686388733647132</v>
      </c>
      <c r="O21" s="18">
        <v>0.24381367938939086</v>
      </c>
      <c r="P21" s="18">
        <v>-0.14686388733647132</v>
      </c>
      <c r="Q21" s="18">
        <v>0.24381367938939086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3.7670169695031637E-3</v>
      </c>
      <c r="K22" s="18">
        <v>7.4321411947922003E-3</v>
      </c>
      <c r="L22" s="18">
        <v>0.50685487139867069</v>
      </c>
      <c r="M22" s="18">
        <v>0.61490751242671038</v>
      </c>
      <c r="N22" s="18">
        <v>-1.1231651188470202E-2</v>
      </c>
      <c r="O22" s="18">
        <v>1.876568512747653E-2</v>
      </c>
      <c r="P22" s="18">
        <v>-1.1231651188470202E-2</v>
      </c>
      <c r="Q22" s="18">
        <v>1.876568512747653E-2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1.2196935715201467E-4</v>
      </c>
      <c r="K23" s="22">
        <v>1.4902989189965687E-4</v>
      </c>
      <c r="L23" s="22">
        <v>0.81842210040746521</v>
      </c>
      <c r="M23" s="22">
        <v>0.41773562989233193</v>
      </c>
      <c r="N23" s="22">
        <v>-1.7878514086369385E-4</v>
      </c>
      <c r="O23" s="22">
        <v>4.2272385516772316E-4</v>
      </c>
      <c r="P23" s="22">
        <v>-1.7878514086369385E-4</v>
      </c>
      <c r="Q23" s="22">
        <v>4.2272385516772316E-4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0.22366365248563869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5.0025429443216543E-2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-6.4257862990762832E-2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4.1096498107173501E-2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3.7354056305282796E-3</v>
      </c>
      <c r="L13" s="18">
        <v>7.4708112610565589E-4</v>
      </c>
      <c r="M13" s="18">
        <v>0.44234195350800837</v>
      </c>
      <c r="N13" s="18">
        <v>0.81627323075604818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7.0934730580262437E-2</v>
      </c>
      <c r="L14" s="18">
        <v>1.6889221566729151E-3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0.11665798059201049</v>
      </c>
      <c r="K19" s="18">
        <v>0.14899048929395634</v>
      </c>
      <c r="L19" s="18">
        <v>0.78298944546618532</v>
      </c>
      <c r="M19" s="18">
        <v>0.4380261952179666</v>
      </c>
      <c r="N19" s="18">
        <v>-0.18401699974609037</v>
      </c>
      <c r="O19" s="18">
        <v>0.41733296093011135</v>
      </c>
      <c r="P19" s="18">
        <v>-0.18401699974609037</v>
      </c>
      <c r="Q19" s="18">
        <v>0.41733296093011135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3.1957480286994563E-2</v>
      </c>
      <c r="K20" s="18">
        <v>0.15712410952566916</v>
      </c>
      <c r="L20" s="18">
        <v>0.20339004869124627</v>
      </c>
      <c r="M20" s="18">
        <v>0.83981240208561947</v>
      </c>
      <c r="N20" s="18">
        <v>-0.28513181021839989</v>
      </c>
      <c r="O20" s="18">
        <v>0.34904677079238905</v>
      </c>
      <c r="P20" s="18">
        <v>-0.28513181021839989</v>
      </c>
      <c r="Q20" s="18">
        <v>0.34904677079238905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-9.0582847998430374E-2</v>
      </c>
      <c r="K21" s="18">
        <v>0.15085899786612245</v>
      </c>
      <c r="L21" s="18">
        <v>-0.60044710146369107</v>
      </c>
      <c r="M21" s="18">
        <v>0.55143479506780635</v>
      </c>
      <c r="N21" s="18">
        <v>-0.39502863129757909</v>
      </c>
      <c r="O21" s="18">
        <v>0.21386293530071837</v>
      </c>
      <c r="P21" s="18">
        <v>-0.39502863129757909</v>
      </c>
      <c r="Q21" s="18">
        <v>0.21386293530071837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3.6503532352356138E-3</v>
      </c>
      <c r="K22" s="18">
        <v>9.7323606588935047E-3</v>
      </c>
      <c r="L22" s="18">
        <v>0.37507377327821217</v>
      </c>
      <c r="M22" s="18">
        <v>0.70949306469242301</v>
      </c>
      <c r="N22" s="18">
        <v>-1.5990345735707442E-2</v>
      </c>
      <c r="O22" s="18">
        <v>2.3291052206178671E-2</v>
      </c>
      <c r="P22" s="18">
        <v>-1.5990345735707442E-2</v>
      </c>
      <c r="Q22" s="18">
        <v>2.3291052206178671E-2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6.8733612502808503E-5</v>
      </c>
      <c r="K23" s="22">
        <v>1.4484041958259708E-4</v>
      </c>
      <c r="L23" s="22">
        <v>0.47454717889444042</v>
      </c>
      <c r="M23" s="22">
        <v>0.63756795960807722</v>
      </c>
      <c r="N23" s="22">
        <v>-2.2356618808537724E-4</v>
      </c>
      <c r="O23" s="22">
        <v>3.6103341309099422E-4</v>
      </c>
      <c r="P23" s="22">
        <v>-2.2356618808537724E-4</v>
      </c>
      <c r="Q23" s="22">
        <v>3.6103341309099422E-4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0.25616748495212394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6.5621780346696648E-2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-4.7176145334570339E-2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4.0757748002507595E-2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4.8999872768824282E-3</v>
      </c>
      <c r="L13" s="18">
        <v>9.7999745537648568E-4</v>
      </c>
      <c r="M13" s="18">
        <v>0.58993557781856321</v>
      </c>
      <c r="N13" s="18">
        <v>0.70760519411125111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6.9770148933908288E-2</v>
      </c>
      <c r="L14" s="18">
        <v>1.6611940222359116E-3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9.8209462369409958E-2</v>
      </c>
      <c r="K19" s="18">
        <v>0.15120160819851342</v>
      </c>
      <c r="L19" s="18">
        <v>0.64952657276283876</v>
      </c>
      <c r="M19" s="18">
        <v>0.5195347382628106</v>
      </c>
      <c r="N19" s="18">
        <v>-0.2069277365727335</v>
      </c>
      <c r="O19" s="18">
        <v>0.40334666131155344</v>
      </c>
      <c r="P19" s="18">
        <v>-0.2069277365727335</v>
      </c>
      <c r="Q19" s="18">
        <v>0.40334666131155344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4.0427320876284256E-2</v>
      </c>
      <c r="K20" s="18">
        <v>0.15557337242578478</v>
      </c>
      <c r="L20" s="18">
        <v>0.25986015631029552</v>
      </c>
      <c r="M20" s="18">
        <v>0.79624130829346207</v>
      </c>
      <c r="N20" s="18">
        <v>-0.27353245546195182</v>
      </c>
      <c r="O20" s="18">
        <v>0.35438709721452033</v>
      </c>
      <c r="P20" s="18">
        <v>-0.27353245546195182</v>
      </c>
      <c r="Q20" s="18">
        <v>0.35438709721452033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0.38158635692989418</v>
      </c>
      <c r="K21" s="18">
        <v>0.32271695589550842</v>
      </c>
      <c r="L21" s="18">
        <v>1.1824180600335326</v>
      </c>
      <c r="M21" s="18">
        <v>0.24369074905130708</v>
      </c>
      <c r="N21" s="18">
        <v>-0.26968282695209878</v>
      </c>
      <c r="O21" s="18">
        <v>1.0328555408118871</v>
      </c>
      <c r="P21" s="18">
        <v>-0.26968282695209878</v>
      </c>
      <c r="Q21" s="18">
        <v>1.0328555408118871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-1.8016661337407279E-2</v>
      </c>
      <c r="K22" s="18">
        <v>2.3186761798186944E-2</v>
      </c>
      <c r="L22" s="18">
        <v>-0.77702360917064606</v>
      </c>
      <c r="M22" s="18">
        <v>0.44149944860585311</v>
      </c>
      <c r="N22" s="18">
        <v>-6.4809441069938079E-2</v>
      </c>
      <c r="O22" s="18">
        <v>2.8776118395123527E-2</v>
      </c>
      <c r="P22" s="18">
        <v>-6.4809441069938079E-2</v>
      </c>
      <c r="Q22" s="18">
        <v>2.8776118395123527E-2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1.0445385182196669E-4</v>
      </c>
      <c r="K23" s="22">
        <v>1.4199945785981765E-4</v>
      </c>
      <c r="L23" s="22">
        <v>0.73559331420183227</v>
      </c>
      <c r="M23" s="22">
        <v>0.46606649172145553</v>
      </c>
      <c r="N23" s="22">
        <v>-1.8211265589507031E-4</v>
      </c>
      <c r="O23" s="22">
        <v>3.9102035953900372E-4</v>
      </c>
      <c r="P23" s="22">
        <v>-1.8211265589507031E-4</v>
      </c>
      <c r="Q23" s="22">
        <v>3.9102035953900372E-4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0.26398154287395037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6.9686254978111303E-2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-4.2724577881116194E-2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4.0669004829217724E-2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5.203482151235464E-3</v>
      </c>
      <c r="L13" s="18">
        <v>1.0406964302470928E-3</v>
      </c>
      <c r="M13" s="18">
        <v>0.62921196741252317</v>
      </c>
      <c r="N13" s="18">
        <v>0.67842935647952518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6.9466654059555252E-2</v>
      </c>
      <c r="L14" s="18">
        <v>1.6539679537989345E-3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0.12335403204580198</v>
      </c>
      <c r="K19" s="18">
        <v>0.14792321905343833</v>
      </c>
      <c r="L19" s="18">
        <v>0.83390581164434663</v>
      </c>
      <c r="M19" s="18">
        <v>0.40905189030346556</v>
      </c>
      <c r="N19" s="18">
        <v>-0.17516710974794686</v>
      </c>
      <c r="O19" s="18">
        <v>0.42187517383955081</v>
      </c>
      <c r="P19" s="18">
        <v>-0.17516710974794686</v>
      </c>
      <c r="Q19" s="18">
        <v>0.42187517383955081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4.2366671494768098E-3</v>
      </c>
      <c r="K20" s="18">
        <v>0.15831232936673043</v>
      </c>
      <c r="L20" s="18">
        <v>2.6761447869689117E-2</v>
      </c>
      <c r="M20" s="18">
        <v>0.97877675655339469</v>
      </c>
      <c r="N20" s="18">
        <v>-0.31525054807608927</v>
      </c>
      <c r="O20" s="18">
        <v>0.32372388237504285</v>
      </c>
      <c r="P20" s="18">
        <v>-0.31525054807608927</v>
      </c>
      <c r="Q20" s="18">
        <v>0.32372388237504285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-1.8479497458127072E-3</v>
      </c>
      <c r="K21" s="18">
        <v>2.3960090372916257E-2</v>
      </c>
      <c r="L21" s="18">
        <v>-7.7126159252786972E-2</v>
      </c>
      <c r="M21" s="18">
        <v>0.938889433800983</v>
      </c>
      <c r="N21" s="18">
        <v>-5.0201369725271401E-2</v>
      </c>
      <c r="O21" s="18">
        <v>4.6505470233645992E-2</v>
      </c>
      <c r="P21" s="18">
        <v>-5.0201369725271401E-2</v>
      </c>
      <c r="Q21" s="18">
        <v>4.6505470233645992E-2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-2.2893639780524615E-3</v>
      </c>
      <c r="K22" s="18">
        <v>1.8247224803812757E-3</v>
      </c>
      <c r="L22" s="18">
        <v>-1.2546368023997265</v>
      </c>
      <c r="M22" s="18">
        <v>0.2165477881267992</v>
      </c>
      <c r="N22" s="18">
        <v>-5.9718030284314052E-3</v>
      </c>
      <c r="O22" s="18">
        <v>1.3930750723264822E-3</v>
      </c>
      <c r="P22" s="18">
        <v>-5.9718030284314052E-3</v>
      </c>
      <c r="Q22" s="18">
        <v>1.3930750723264822E-3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3.25323144897069E-5</v>
      </c>
      <c r="K23" s="22">
        <v>1.4928318964978194E-4</v>
      </c>
      <c r="L23" s="22">
        <v>0.21792349537833192</v>
      </c>
      <c r="M23" s="22">
        <v>0.82854406818901638</v>
      </c>
      <c r="N23" s="22">
        <v>-2.6873335908089409E-4</v>
      </c>
      <c r="O23" s="22">
        <v>3.3379798806030788E-4</v>
      </c>
      <c r="P23" s="22">
        <v>-2.6873335908089409E-4</v>
      </c>
      <c r="Q23" s="22">
        <v>3.3379798806030788E-4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0.27537218204210556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7.5829838642630529E-2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-3.5995891010452273E-2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4.0534497897147879E-2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5.6622243802875033E-3</v>
      </c>
      <c r="L13" s="18">
        <v>1.1324448760575007E-3</v>
      </c>
      <c r="M13" s="18">
        <v>0.68923524176819306</v>
      </c>
      <c r="N13" s="18">
        <v>0.63437508758130057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6.9007911830503213E-2</v>
      </c>
      <c r="L14" s="18">
        <v>1.6430455197738859E-3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0.13314851748103609</v>
      </c>
      <c r="K19" s="18">
        <v>0.14827904400920641</v>
      </c>
      <c r="L19" s="18">
        <v>0.89795910386884548</v>
      </c>
      <c r="M19" s="18">
        <v>0.37432632847954439</v>
      </c>
      <c r="N19" s="18">
        <v>-0.16609070814535451</v>
      </c>
      <c r="O19" s="18">
        <v>0.43238774310742667</v>
      </c>
      <c r="P19" s="18">
        <v>-0.16609070814535451</v>
      </c>
      <c r="Q19" s="18">
        <v>0.43238774310742667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3.7867588431253714E-2</v>
      </c>
      <c r="K20" s="18">
        <v>0.15320244236240749</v>
      </c>
      <c r="L20" s="18">
        <v>0.24717352966003098</v>
      </c>
      <c r="M20" s="18">
        <v>0.80597821506712197</v>
      </c>
      <c r="N20" s="18">
        <v>-0.27130745732741846</v>
      </c>
      <c r="O20" s="18">
        <v>0.34704263418992587</v>
      </c>
      <c r="P20" s="18">
        <v>-0.27130745732741846</v>
      </c>
      <c r="Q20" s="18">
        <v>0.34704263418992587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-0.75920311184559064</v>
      </c>
      <c r="K21" s="18">
        <v>0.5662151540073086</v>
      </c>
      <c r="L21" s="18">
        <v>-1.3408385601699933</v>
      </c>
      <c r="M21" s="18">
        <v>0.18718005635752277</v>
      </c>
      <c r="N21" s="18">
        <v>-1.9018715540062687</v>
      </c>
      <c r="O21" s="18">
        <v>0.38346533031508745</v>
      </c>
      <c r="P21" s="18">
        <v>-1.9018715540062687</v>
      </c>
      <c r="Q21" s="18">
        <v>0.38346533031508745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-4.7674865745172587E-2</v>
      </c>
      <c r="K22" s="18">
        <v>5.0148160801506768E-2</v>
      </c>
      <c r="L22" s="18">
        <v>-0.95068024396500161</v>
      </c>
      <c r="M22" s="18">
        <v>0.3472056671758047</v>
      </c>
      <c r="N22" s="18">
        <v>-0.1488779514886906</v>
      </c>
      <c r="O22" s="18">
        <v>5.3528219998345436E-2</v>
      </c>
      <c r="P22" s="18">
        <v>-0.1488779514886906</v>
      </c>
      <c r="Q22" s="18">
        <v>5.3528219998345436E-2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2.2269903283003625E-5</v>
      </c>
      <c r="K23" s="22">
        <v>1.412332011229401E-4</v>
      </c>
      <c r="L23" s="22">
        <v>0.15768178520302892</v>
      </c>
      <c r="M23" s="22">
        <v>0.87546321085477519</v>
      </c>
      <c r="N23" s="22">
        <v>-2.6275023573367939E-4</v>
      </c>
      <c r="O23" s="22">
        <v>3.0729004229968664E-4</v>
      </c>
      <c r="P23" s="22">
        <v>-2.6275023573367939E-4</v>
      </c>
      <c r="Q23" s="22">
        <v>3.0729004229968664E-4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0.24860874777022884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6.1806309467881265E-2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-5.1354994392320524E-2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4.084087899109401E-2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4.6150855466529778E-3</v>
      </c>
      <c r="L13" s="18">
        <v>9.2301710933059551E-4</v>
      </c>
      <c r="M13" s="18">
        <v>0.55337507038204592</v>
      </c>
      <c r="N13" s="18">
        <v>0.73484178488569252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7.0055050664137739E-2</v>
      </c>
      <c r="L14" s="18">
        <v>1.6679773967651843E-3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0.10796107005170387</v>
      </c>
      <c r="K19" s="18">
        <v>0.14803099507322076</v>
      </c>
      <c r="L19" s="18">
        <v>0.72931395211052219</v>
      </c>
      <c r="M19" s="18">
        <v>0.46985750291080786</v>
      </c>
      <c r="N19" s="18">
        <v>-0.19077757255557048</v>
      </c>
      <c r="O19" s="18">
        <v>0.4066997126589782</v>
      </c>
      <c r="P19" s="18">
        <v>-0.19077757255557048</v>
      </c>
      <c r="Q19" s="18">
        <v>0.4066997126589782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1.6793890387220945E-2</v>
      </c>
      <c r="K20" s="18">
        <v>0.15812040147822354</v>
      </c>
      <c r="L20" s="18">
        <v>0.10620951015947055</v>
      </c>
      <c r="M20" s="18">
        <v>0.91592180333207007</v>
      </c>
      <c r="N20" s="18">
        <v>-0.30230599867828872</v>
      </c>
      <c r="O20" s="18">
        <v>0.33589377945273063</v>
      </c>
      <c r="P20" s="18">
        <v>-0.30230599867828872</v>
      </c>
      <c r="Q20" s="18">
        <v>0.33589377945273063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1.8901769804900847E-3</v>
      </c>
      <c r="K21" s="18">
        <v>0.99329989378120032</v>
      </c>
      <c r="L21" s="18">
        <v>1.9029267921239147E-3</v>
      </c>
      <c r="M21" s="18">
        <v>0.9984906949269392</v>
      </c>
      <c r="N21" s="18">
        <v>-2.0026701640708562</v>
      </c>
      <c r="O21" s="18">
        <v>2.0064505180318366</v>
      </c>
      <c r="P21" s="18">
        <v>-2.0026701640708562</v>
      </c>
      <c r="Q21" s="18">
        <v>2.0064505180318366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-7.9546612015837626E-2</v>
      </c>
      <c r="K22" s="18">
        <v>7.2081483294609838E-2</v>
      </c>
      <c r="L22" s="18">
        <v>-1.1035651373975821</v>
      </c>
      <c r="M22" s="18">
        <v>0.27606475628134136</v>
      </c>
      <c r="N22" s="18">
        <v>-0.22501293456470323</v>
      </c>
      <c r="O22" s="18">
        <v>6.5919710533027975E-2</v>
      </c>
      <c r="P22" s="18">
        <v>-0.22501293456470323</v>
      </c>
      <c r="Q22" s="18">
        <v>6.5919710533027975E-2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9.5921476005231751E-5</v>
      </c>
      <c r="K23" s="22">
        <v>1.3507364837783212E-4</v>
      </c>
      <c r="L23" s="22">
        <v>0.71014203848938229</v>
      </c>
      <c r="M23" s="22">
        <v>0.48154064752674675</v>
      </c>
      <c r="N23" s="22">
        <v>-1.7666818231900375E-4</v>
      </c>
      <c r="O23" s="22">
        <v>3.6851113432946728E-4</v>
      </c>
      <c r="P23" s="22">
        <v>-1.7666818231900375E-4</v>
      </c>
      <c r="Q23" s="22">
        <v>3.6851113432946728E-4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0.19590111840808325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3.8377248193537848E-2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-7.7015394835649023E-2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4.1347684296527798E-2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2.8656343500067932E-3</v>
      </c>
      <c r="L13" s="18">
        <v>5.7312687000135869E-4</v>
      </c>
      <c r="M13" s="18">
        <v>0.33523425295432119</v>
      </c>
      <c r="N13" s="18">
        <v>0.88866136418761488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7.1804501860783923E-2</v>
      </c>
      <c r="L14" s="18">
        <v>1.7096309966853314E-3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0.10625305669844305</v>
      </c>
      <c r="K19" s="18">
        <v>0.15485145338458045</v>
      </c>
      <c r="L19" s="18">
        <v>0.68616118464551235</v>
      </c>
      <c r="M19" s="18">
        <v>0.49638214506068534</v>
      </c>
      <c r="N19" s="18">
        <v>-0.20624982803182229</v>
      </c>
      <c r="O19" s="18">
        <v>0.41875594142870837</v>
      </c>
      <c r="P19" s="18">
        <v>-0.20624982803182229</v>
      </c>
      <c r="Q19" s="18">
        <v>0.41875594142870837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5.6182849166177433E-2</v>
      </c>
      <c r="K20" s="18">
        <v>0.1611118469931446</v>
      </c>
      <c r="L20" s="18">
        <v>0.34871953996386151</v>
      </c>
      <c r="M20" s="18">
        <v>0.72904200158729981</v>
      </c>
      <c r="N20" s="18">
        <v>-0.26895402135797275</v>
      </c>
      <c r="O20" s="18">
        <v>0.38131971969032763</v>
      </c>
      <c r="P20" s="18">
        <v>-0.26895402135797275</v>
      </c>
      <c r="Q20" s="18">
        <v>0.38131971969032763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7.3846509564619814E-2</v>
      </c>
      <c r="K21" s="18">
        <v>0.17980222719276848</v>
      </c>
      <c r="L21" s="18">
        <v>0.4107096486933276</v>
      </c>
      <c r="M21" s="18">
        <v>0.68337336365348655</v>
      </c>
      <c r="N21" s="18">
        <v>-0.28900907525911151</v>
      </c>
      <c r="O21" s="18">
        <v>0.43670209438835111</v>
      </c>
      <c r="P21" s="18">
        <v>-0.28900907525911151</v>
      </c>
      <c r="Q21" s="18">
        <v>0.43670209438835111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8.0373934404626222E-4</v>
      </c>
      <c r="K22" s="18">
        <v>1.7334182179472888E-2</v>
      </c>
      <c r="L22" s="18">
        <v>4.6367306846356392E-2</v>
      </c>
      <c r="M22" s="18">
        <v>0.96323726661591014</v>
      </c>
      <c r="N22" s="18">
        <v>-3.417805654566955E-2</v>
      </c>
      <c r="O22" s="18">
        <v>3.5785535233762072E-2</v>
      </c>
      <c r="P22" s="18">
        <v>-3.417805654566955E-2</v>
      </c>
      <c r="Q22" s="18">
        <v>3.5785535233762072E-2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9.5909062369567294E-5</v>
      </c>
      <c r="K23" s="22">
        <v>1.4271714590161438E-4</v>
      </c>
      <c r="L23" s="22">
        <v>0.67202200382906052</v>
      </c>
      <c r="M23" s="22">
        <v>0.50524985093926666</v>
      </c>
      <c r="N23" s="22">
        <v>-1.921057984529513E-4</v>
      </c>
      <c r="O23" s="22">
        <v>3.8392392319208586E-4</v>
      </c>
      <c r="P23" s="22">
        <v>-1.921057984529513E-4</v>
      </c>
      <c r="Q23" s="22">
        <v>3.8392392319208586E-4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0.37526630313069087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0.14082479826537556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3.5189064766839889E-2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3.9083162049312357E-2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1.0515406868332716E-2</v>
      </c>
      <c r="L13" s="18">
        <v>2.1030813736665432E-3</v>
      </c>
      <c r="M13" s="18">
        <v>1.3768184917824577</v>
      </c>
      <c r="N13" s="18">
        <v>0.25293813557587713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6.4154729342458E-2</v>
      </c>
      <c r="L14" s="18">
        <v>1.5274935557728095E-3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0.1339702753705265</v>
      </c>
      <c r="K19" s="18">
        <v>0.14305087514240206</v>
      </c>
      <c r="L19" s="18">
        <v>0.93652188591760699</v>
      </c>
      <c r="M19" s="18">
        <v>0.35435868400039972</v>
      </c>
      <c r="N19" s="18">
        <v>-0.15471807832652115</v>
      </c>
      <c r="O19" s="18">
        <v>0.42265862906757412</v>
      </c>
      <c r="P19" s="18">
        <v>-0.15471807832652115</v>
      </c>
      <c r="Q19" s="18">
        <v>0.42265862906757412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3.8493446798397397E-2</v>
      </c>
      <c r="K20" s="18">
        <v>0.14855266024738104</v>
      </c>
      <c r="L20" s="18">
        <v>0.25912324110719542</v>
      </c>
      <c r="M20" s="18">
        <v>0.79680600435850291</v>
      </c>
      <c r="N20" s="18">
        <v>-0.26129795875184741</v>
      </c>
      <c r="O20" s="18">
        <v>0.3382848523486422</v>
      </c>
      <c r="P20" s="18">
        <v>-0.26129795875184741</v>
      </c>
      <c r="Q20" s="18">
        <v>0.3382848523486422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0.12086057249166465</v>
      </c>
      <c r="K21" s="18">
        <v>0.23503464339871674</v>
      </c>
      <c r="L21" s="18">
        <v>0.51422450215832538</v>
      </c>
      <c r="M21" s="18">
        <v>0.60979031598344813</v>
      </c>
      <c r="N21" s="18">
        <v>-0.35345854087974388</v>
      </c>
      <c r="O21" s="18">
        <v>0.59517968586307313</v>
      </c>
      <c r="P21" s="18">
        <v>-0.35345854087974388</v>
      </c>
      <c r="Q21" s="18">
        <v>0.59517968586307313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-4.212763130446015E-2</v>
      </c>
      <c r="K22" s="18">
        <v>1.8474027329746782E-2</v>
      </c>
      <c r="L22" s="18">
        <v>-2.2803707363053674</v>
      </c>
      <c r="M22" s="18">
        <v>2.7725492113096661E-2</v>
      </c>
      <c r="N22" s="18">
        <v>-7.940972783599004E-2</v>
      </c>
      <c r="O22" s="18">
        <v>-4.8455347729302531E-3</v>
      </c>
      <c r="P22" s="18">
        <v>-7.940972783599004E-2</v>
      </c>
      <c r="Q22" s="18">
        <v>-4.8455347729302531E-3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-2.1066132204506048E-5</v>
      </c>
      <c r="K23" s="22">
        <v>1.3820879159651009E-4</v>
      </c>
      <c r="L23" s="22">
        <v>-0.15242251929969114</v>
      </c>
      <c r="M23" s="22">
        <v>0.87958358456647867</v>
      </c>
      <c r="N23" s="22">
        <v>-2.9998276569407088E-4</v>
      </c>
      <c r="O23" s="22">
        <v>2.5785050128505877E-4</v>
      </c>
      <c r="P23" s="22">
        <v>-2.9998276569407088E-4</v>
      </c>
      <c r="Q23" s="22">
        <v>2.5785050128505877E-4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0.24822037483337647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6.161335448242191E-2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-5.1566326043061717E-2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4.0845078574904319E-2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4.6006775716061765E-3</v>
      </c>
      <c r="L13" s="18">
        <v>9.2013551432123533E-4</v>
      </c>
      <c r="M13" s="18">
        <v>0.55153403996588435</v>
      </c>
      <c r="N13" s="18">
        <v>0.73621246919645089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7.006945863918454E-2</v>
      </c>
      <c r="L14" s="18">
        <v>1.668320443790108E-3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0.11774171740892991</v>
      </c>
      <c r="K19" s="18">
        <v>0.14856390025444469</v>
      </c>
      <c r="L19" s="18">
        <v>0.7925324874163524</v>
      </c>
      <c r="M19" s="18">
        <v>0.43250430392008266</v>
      </c>
      <c r="N19" s="18">
        <v>-0.18207237139390958</v>
      </c>
      <c r="O19" s="18">
        <v>0.41755580621176941</v>
      </c>
      <c r="P19" s="18">
        <v>-0.18207237139390958</v>
      </c>
      <c r="Q19" s="18">
        <v>0.41755580621176941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5.4824886993457061E-3</v>
      </c>
      <c r="K20" s="18">
        <v>0.1602567306899674</v>
      </c>
      <c r="L20" s="18">
        <v>3.4210661079515758E-2</v>
      </c>
      <c r="M20" s="18">
        <v>0.97287123882380688</v>
      </c>
      <c r="N20" s="18">
        <v>-0.31792868725958084</v>
      </c>
      <c r="O20" s="18">
        <v>0.32889366465827224</v>
      </c>
      <c r="P20" s="18">
        <v>-0.31792868725958084</v>
      </c>
      <c r="Q20" s="18">
        <v>0.32889366465827224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-4.0181134330653352E-2</v>
      </c>
      <c r="K21" s="18">
        <v>0.14133702021628633</v>
      </c>
      <c r="L21" s="18">
        <v>-0.28429306256184439</v>
      </c>
      <c r="M21" s="18">
        <v>0.7775827763682166</v>
      </c>
      <c r="N21" s="18">
        <v>-0.32541078876002161</v>
      </c>
      <c r="O21" s="18">
        <v>0.24504852009871492</v>
      </c>
      <c r="P21" s="18">
        <v>-0.32541078876002161</v>
      </c>
      <c r="Q21" s="18">
        <v>0.24504852009871492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-1.2608340227070036E-2</v>
      </c>
      <c r="K22" s="18">
        <v>1.1868370280907337E-2</v>
      </c>
      <c r="L22" s="18">
        <v>-1.0623480670596441</v>
      </c>
      <c r="M22" s="18">
        <v>0.29414816620581447</v>
      </c>
      <c r="N22" s="18">
        <v>-3.6559681133243357E-2</v>
      </c>
      <c r="O22" s="18">
        <v>1.1343000679103283E-2</v>
      </c>
      <c r="P22" s="18">
        <v>-3.6559681133243357E-2</v>
      </c>
      <c r="Q22" s="18">
        <v>1.1343000679103283E-2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6.0192872154286009E-5</v>
      </c>
      <c r="K23" s="22">
        <v>1.3736733129474999E-4</v>
      </c>
      <c r="L23" s="22">
        <v>0.43818913556040312</v>
      </c>
      <c r="M23" s="22">
        <v>0.6634947478676787</v>
      </c>
      <c r="N23" s="22">
        <v>-2.1702562569664866E-4</v>
      </c>
      <c r="O23" s="22">
        <v>3.3741137000522066E-4</v>
      </c>
      <c r="P23" s="22">
        <v>-2.1702562569664866E-4</v>
      </c>
      <c r="Q23" s="22">
        <v>3.3741137000522066E-4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0.19309387463186467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3.7285244420346267E-2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-7.8211398968192181E-2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4.1371154527460555E-2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2.7840942795198803E-3</v>
      </c>
      <c r="L13" s="18">
        <v>5.5681885590397611E-4</v>
      </c>
      <c r="M13" s="18">
        <v>0.32532590917060611</v>
      </c>
      <c r="N13" s="18">
        <v>0.89482121135535719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7.1886041931270836E-2</v>
      </c>
      <c r="L14" s="18">
        <v>1.7115724269350199E-3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0.117835682961695</v>
      </c>
      <c r="K19" s="18">
        <v>0.15045716945833768</v>
      </c>
      <c r="L19" s="18">
        <v>0.78318423366541046</v>
      </c>
      <c r="M19" s="18">
        <v>0.43791306648122275</v>
      </c>
      <c r="N19" s="18">
        <v>-0.18579917778003058</v>
      </c>
      <c r="O19" s="18">
        <v>0.42147054370342057</v>
      </c>
      <c r="P19" s="18">
        <v>-0.18579917778003058</v>
      </c>
      <c r="Q19" s="18">
        <v>0.42147054370342057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5.1238119044361374E-2</v>
      </c>
      <c r="K20" s="18">
        <v>0.15771854905803273</v>
      </c>
      <c r="L20" s="18">
        <v>0.32487059607369484</v>
      </c>
      <c r="M20" s="18">
        <v>0.7468917237170134</v>
      </c>
      <c r="N20" s="18">
        <v>-0.26705079900472795</v>
      </c>
      <c r="O20" s="18">
        <v>0.36952703709345069</v>
      </c>
      <c r="P20" s="18">
        <v>-0.26705079900472795</v>
      </c>
      <c r="Q20" s="18">
        <v>0.36952703709345069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-4.9293818629316505E-2</v>
      </c>
      <c r="K21" s="18">
        <v>0.18963729744097815</v>
      </c>
      <c r="L21" s="18">
        <v>-0.25993736092267655</v>
      </c>
      <c r="M21" s="18">
        <v>0.79618215300541217</v>
      </c>
      <c r="N21" s="18">
        <v>-0.43199737876689381</v>
      </c>
      <c r="O21" s="18">
        <v>0.33340974150826086</v>
      </c>
      <c r="P21" s="18">
        <v>-0.43199737876689381</v>
      </c>
      <c r="Q21" s="18">
        <v>0.33340974150826086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-4.7770163974733991E-3</v>
      </c>
      <c r="K22" s="18">
        <v>1.3857822874708504E-2</v>
      </c>
      <c r="L22" s="18">
        <v>-0.3447162256772518</v>
      </c>
      <c r="M22" s="18">
        <v>0.73202798447382533</v>
      </c>
      <c r="N22" s="18">
        <v>-3.2743235181821553E-2</v>
      </c>
      <c r="O22" s="18">
        <v>2.3189202386874753E-2</v>
      </c>
      <c r="P22" s="18">
        <v>-3.2743235181821553E-2</v>
      </c>
      <c r="Q22" s="18">
        <v>2.3189202386874753E-2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6.5316427308192746E-5</v>
      </c>
      <c r="K23" s="22">
        <v>1.4739307506593348E-4</v>
      </c>
      <c r="L23" s="22">
        <v>0.44314447798157874</v>
      </c>
      <c r="M23" s="22">
        <v>0.65993551157281183</v>
      </c>
      <c r="N23" s="22">
        <v>-2.3213484060451335E-4</v>
      </c>
      <c r="O23" s="22">
        <v>3.6276769522089881E-4</v>
      </c>
      <c r="P23" s="22">
        <v>-2.3213484060451335E-4</v>
      </c>
      <c r="Q23" s="22">
        <v>3.6276769522089881E-4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0.37182816836647231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0.13825618679076568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3.2375823627981457E-2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3.9141540444398319E-2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1.0323608299650996E-2</v>
      </c>
      <c r="L13" s="18">
        <v>2.0647216599301993E-3</v>
      </c>
      <c r="M13" s="18">
        <v>1.3476765962698607</v>
      </c>
      <c r="N13" s="18">
        <v>0.26391450304932212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6.434652791113972E-2</v>
      </c>
      <c r="L14" s="18">
        <v>1.5320601883604696E-3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0.18548508352584669</v>
      </c>
      <c r="K19" s="18">
        <v>0.14579533522796831</v>
      </c>
      <c r="L19" s="18">
        <v>1.2722292056588693</v>
      </c>
      <c r="M19" s="18">
        <v>0.21029052312034241</v>
      </c>
      <c r="N19" s="18">
        <v>-0.10874181485399775</v>
      </c>
      <c r="O19" s="18">
        <v>0.47971198190569114</v>
      </c>
      <c r="P19" s="18">
        <v>-0.10874181485399775</v>
      </c>
      <c r="Q19" s="18">
        <v>0.47971198190569114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-6.5084743091819677E-2</v>
      </c>
      <c r="K20" s="18">
        <v>0.15669744239482983</v>
      </c>
      <c r="L20" s="18">
        <v>-0.41535293810237151</v>
      </c>
      <c r="M20" s="18">
        <v>0.67999791692902112</v>
      </c>
      <c r="N20" s="18">
        <v>-0.38131298446727319</v>
      </c>
      <c r="O20" s="18">
        <v>0.25114349828363386</v>
      </c>
      <c r="P20" s="18">
        <v>-0.38131298446727319</v>
      </c>
      <c r="Q20" s="18">
        <v>0.25114349828363386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3.1621365929887714E-2</v>
      </c>
      <c r="K21" s="18">
        <v>9.2960843579755731E-2</v>
      </c>
      <c r="L21" s="18">
        <v>0.34015790640667082</v>
      </c>
      <c r="M21" s="18">
        <v>0.73543305656023028</v>
      </c>
      <c r="N21" s="18">
        <v>-0.15598121157698494</v>
      </c>
      <c r="O21" s="18">
        <v>0.21922394343676035</v>
      </c>
      <c r="P21" s="18">
        <v>-0.15598121157698494</v>
      </c>
      <c r="Q21" s="18">
        <v>0.21922394343676035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-1.4822440488977835E-2</v>
      </c>
      <c r="K22" s="18">
        <v>7.173716312196184E-3</v>
      </c>
      <c r="L22" s="18">
        <v>-2.0662150333123566</v>
      </c>
      <c r="M22" s="18">
        <v>4.5011518177556269E-2</v>
      </c>
      <c r="N22" s="18">
        <v>-2.9299586119831175E-2</v>
      </c>
      <c r="O22" s="18">
        <v>-3.4529485812449627E-4</v>
      </c>
      <c r="P22" s="18">
        <v>-2.9299586119831175E-2</v>
      </c>
      <c r="Q22" s="18">
        <v>-3.4529485812449627E-4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2.6721533092295233E-5</v>
      </c>
      <c r="K23" s="22">
        <v>1.3928484944630674E-4</v>
      </c>
      <c r="L23" s="22">
        <v>0.19184809545704526</v>
      </c>
      <c r="M23" s="22">
        <v>0.84878573897481402</v>
      </c>
      <c r="N23" s="22">
        <v>-2.5436667305511838E-4</v>
      </c>
      <c r="O23" s="22">
        <v>3.0780973923970887E-4</v>
      </c>
      <c r="P23" s="22">
        <v>-2.5436667305511838E-4</v>
      </c>
      <c r="Q23" s="22">
        <v>3.0780973923970887E-4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0.19333934788164098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3.7380103439298193E-2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-7.8107505756959128E-2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4.1369116268576166E-2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2.7911774153858426E-3</v>
      </c>
      <c r="L13" s="18">
        <v>5.5823548307716857E-4</v>
      </c>
      <c r="M13" s="18">
        <v>0.32618572503223214</v>
      </c>
      <c r="N13" s="18">
        <v>0.89429117468042529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7.1878958795404874E-2</v>
      </c>
      <c r="L14" s="18">
        <v>1.7114037808429732E-3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0.11488286365739739</v>
      </c>
      <c r="K19" s="18">
        <v>0.14990097867217708</v>
      </c>
      <c r="L19" s="18">
        <v>0.76639168519798762</v>
      </c>
      <c r="M19" s="18">
        <v>0.44772960433130549</v>
      </c>
      <c r="N19" s="18">
        <v>-0.18762955863550132</v>
      </c>
      <c r="O19" s="18">
        <v>0.41739528595029607</v>
      </c>
      <c r="P19" s="18">
        <v>-0.18762955863550132</v>
      </c>
      <c r="Q19" s="18">
        <v>0.41739528595029607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4.4940599631480137E-2</v>
      </c>
      <c r="K20" s="18">
        <v>0.15918310929706561</v>
      </c>
      <c r="L20" s="18">
        <v>0.28232015211873096</v>
      </c>
      <c r="M20" s="18">
        <v>0.77908465822968298</v>
      </c>
      <c r="N20" s="18">
        <v>-0.27630392063867687</v>
      </c>
      <c r="O20" s="18">
        <v>0.3661851199016371</v>
      </c>
      <c r="P20" s="18">
        <v>-0.27630392063867687</v>
      </c>
      <c r="Q20" s="18">
        <v>0.3661851199016371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-1.783357101953803E-2</v>
      </c>
      <c r="K21" s="18">
        <v>9.8344744204706042E-2</v>
      </c>
      <c r="L21" s="18">
        <v>-0.18133730646975083</v>
      </c>
      <c r="M21" s="18">
        <v>0.85697512580019475</v>
      </c>
      <c r="N21" s="18">
        <v>-0.2163012998674157</v>
      </c>
      <c r="O21" s="18">
        <v>0.18063415782833964</v>
      </c>
      <c r="P21" s="18">
        <v>-0.2163012998674157</v>
      </c>
      <c r="Q21" s="18">
        <v>0.18063415782833964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-2.6809387297514428E-3</v>
      </c>
      <c r="K22" s="18">
        <v>7.4145134193711404E-3</v>
      </c>
      <c r="L22" s="18">
        <v>-0.36157986075623366</v>
      </c>
      <c r="M22" s="18">
        <v>0.71947875810812034</v>
      </c>
      <c r="N22" s="18">
        <v>-1.7644032596686173E-2</v>
      </c>
      <c r="O22" s="18">
        <v>1.2282155137183288E-2</v>
      </c>
      <c r="P22" s="18">
        <v>-1.7644032596686173E-2</v>
      </c>
      <c r="Q22" s="18">
        <v>1.2282155137183288E-2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6.4195939686163874E-5</v>
      </c>
      <c r="K23" s="22">
        <v>1.5278920294819323E-4</v>
      </c>
      <c r="L23" s="22">
        <v>0.42016018440734332</v>
      </c>
      <c r="M23" s="22">
        <v>0.676510268675376</v>
      </c>
      <c r="N23" s="22">
        <v>-2.441451551717991E-4</v>
      </c>
      <c r="O23" s="22">
        <v>3.7253703454412682E-4</v>
      </c>
      <c r="P23" s="22">
        <v>-2.441451551717991E-4</v>
      </c>
      <c r="Q23" s="22">
        <v>3.7253703454412682E-4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0.21643572800377575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4.6844424356524403E-2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-6.774182094285422E-2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4.1165246745332625E-2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3.4978795474177593E-3</v>
      </c>
      <c r="L13" s="18">
        <v>6.9957590948355186E-4</v>
      </c>
      <c r="M13" s="18">
        <v>0.41283204405446366</v>
      </c>
      <c r="N13" s="18">
        <v>0.83708721298694932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7.1172256663372957E-2</v>
      </c>
      <c r="L14" s="18">
        <v>1.694577539604118E-3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0.12754651340710962</v>
      </c>
      <c r="K19" s="18">
        <v>0.15018081420329235</v>
      </c>
      <c r="L19" s="18">
        <v>0.84928633583285951</v>
      </c>
      <c r="M19" s="18">
        <v>0.40053709143542127</v>
      </c>
      <c r="N19" s="18">
        <v>-0.17553063985093129</v>
      </c>
      <c r="O19" s="18">
        <v>0.43062366666515051</v>
      </c>
      <c r="P19" s="18">
        <v>-0.17553063985093129</v>
      </c>
      <c r="Q19" s="18">
        <v>0.43062366666515051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5.3035849170739204E-2</v>
      </c>
      <c r="K20" s="18">
        <v>0.15530353349415446</v>
      </c>
      <c r="L20" s="18">
        <v>0.34149801989363909</v>
      </c>
      <c r="M20" s="18">
        <v>0.73443142683890072</v>
      </c>
      <c r="N20" s="18">
        <v>-0.26037937015686557</v>
      </c>
      <c r="O20" s="18">
        <v>0.36645106849834402</v>
      </c>
      <c r="P20" s="18">
        <v>-0.26037937015686557</v>
      </c>
      <c r="Q20" s="18">
        <v>0.36645106849834402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9.6296680094033874E-2</v>
      </c>
      <c r="K21" s="18">
        <v>0.15289894450774408</v>
      </c>
      <c r="L21" s="18">
        <v>0.62980604872100088</v>
      </c>
      <c r="M21" s="18">
        <v>0.5322329803446042</v>
      </c>
      <c r="N21" s="18">
        <v>-0.21226588219729742</v>
      </c>
      <c r="O21" s="18">
        <v>0.40485924238536514</v>
      </c>
      <c r="P21" s="18">
        <v>-0.21226588219729742</v>
      </c>
      <c r="Q21" s="18">
        <v>0.40485924238536514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-1.5376514760098853E-3</v>
      </c>
      <c r="K22" s="18">
        <v>1.0243063578744518E-2</v>
      </c>
      <c r="L22" s="18">
        <v>-0.15011636549837307</v>
      </c>
      <c r="M22" s="18">
        <v>0.88139141465613324</v>
      </c>
      <c r="N22" s="18">
        <v>-2.2208990665080228E-2</v>
      </c>
      <c r="O22" s="18">
        <v>1.9133687713060458E-2</v>
      </c>
      <c r="P22" s="18">
        <v>-2.2208990665080228E-2</v>
      </c>
      <c r="Q22" s="18">
        <v>1.9133687713060458E-2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1.0761660842320715E-4</v>
      </c>
      <c r="K23" s="22">
        <v>1.4516495807610677E-4</v>
      </c>
      <c r="L23" s="22">
        <v>0.74134012677347483</v>
      </c>
      <c r="M23" s="22">
        <v>0.46261246825207236</v>
      </c>
      <c r="N23" s="22">
        <v>-1.8533813736059074E-4</v>
      </c>
      <c r="O23" s="22">
        <v>4.0057135420700505E-4</v>
      </c>
      <c r="P23" s="22">
        <v>-1.8533813736059074E-4</v>
      </c>
      <c r="Q23" s="22">
        <v>4.0057135420700505E-4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-8.7672213276078371E-3</v>
      </c>
      <c r="C2" s="16">
        <f>'ALL VARS'!G2</f>
        <v>-7.574003638167684E-2</v>
      </c>
      <c r="D2" s="16">
        <f>'ALL VARS'!H2</f>
        <v>3.0328846481513055E-2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-7.574003638167684E-2</v>
      </c>
      <c r="C3" s="16">
        <f>'ALL VARS'!G3</f>
        <v>3.0328846481513055E-2</v>
      </c>
      <c r="D3" s="16">
        <f>'ALL VARS'!H3</f>
        <v>-1.0953825412875052E-2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3.0328846481513055E-2</v>
      </c>
      <c r="C4" s="16">
        <f>'ALL VARS'!G4</f>
        <v>-1.0953825412875052E-2</v>
      </c>
      <c r="D4" s="16">
        <f>'ALL VARS'!H4</f>
        <v>-3.465104929233765E-2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-1.0953825412875052E-2</v>
      </c>
      <c r="C5" s="16">
        <f>'ALL VARS'!G5</f>
        <v>-3.465104929233765E-2</v>
      </c>
      <c r="D5" s="16">
        <f>'ALL VARS'!H5</f>
        <v>4.8976109215017022E-2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0.28069288714538509</v>
      </c>
    </row>
    <row r="6" spans="1:14" x14ac:dyDescent="0.25">
      <c r="A6" s="20">
        <f>'ALL VARS'!A6</f>
        <v>43976</v>
      </c>
      <c r="B6" s="16">
        <f>'ALL VARS'!F6</f>
        <v>-3.465104929233765E-2</v>
      </c>
      <c r="C6" s="16">
        <f>'ALL VARS'!G6</f>
        <v>4.8976109215017022E-2</v>
      </c>
      <c r="D6" s="16">
        <f>'ALL VARS'!H6</f>
        <v>1.5246015246015291E-2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7.8788496894011906E-2</v>
      </c>
    </row>
    <row r="7" spans="1:14" x14ac:dyDescent="0.25">
      <c r="A7" s="20">
        <f>'ALL VARS'!A7</f>
        <v>43973</v>
      </c>
      <c r="B7" s="16">
        <f>'ALL VARS'!F7</f>
        <v>4.8976109215017022E-2</v>
      </c>
      <c r="C7" s="16">
        <f>'ALL VARS'!G7</f>
        <v>1.5246015246015291E-2</v>
      </c>
      <c r="D7" s="16">
        <f>'ALL VARS'!H7</f>
        <v>7.3660714285714302E-2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-3.2755455782748868E-2</v>
      </c>
    </row>
    <row r="8" spans="1:14" x14ac:dyDescent="0.25">
      <c r="A8" s="20">
        <f>'ALL VARS'!A8</f>
        <v>43972</v>
      </c>
      <c r="B8" s="16">
        <f>'ALL VARS'!F8</f>
        <v>1.5246015246015291E-2</v>
      </c>
      <c r="C8" s="16">
        <f>'ALL VARS'!G8</f>
        <v>7.3660714285714302E-2</v>
      </c>
      <c r="D8" s="16">
        <f>'ALL VARS'!H8</f>
        <v>-1.7543859649122823E-2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4.046956187646622E-2</v>
      </c>
    </row>
    <row r="9" spans="1:14" ht="15.75" thickBot="1" x14ac:dyDescent="0.3">
      <c r="A9" s="20">
        <f>'ALL VARS'!A9</f>
        <v>43971</v>
      </c>
      <c r="B9" s="16">
        <f>'ALL VARS'!F9</f>
        <v>7.3660714285714302E-2</v>
      </c>
      <c r="C9" s="16">
        <f>'ALL VARS'!G9</f>
        <v>-1.7543859649122823E-2</v>
      </c>
      <c r="D9" s="16">
        <f>'ALL VARS'!H9</f>
        <v>9.4837935174069674E-2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-1.7543859649122823E-2</v>
      </c>
      <c r="C10" s="16">
        <f>'ALL VARS'!G10</f>
        <v>9.4837935174069674E-2</v>
      </c>
      <c r="D10" s="16">
        <f>'ALL VARS'!H10</f>
        <v>0.10648660615452724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9.4837935174069674E-2</v>
      </c>
      <c r="C11" s="16">
        <f>'ALL VARS'!G11</f>
        <v>0.10648660615452724</v>
      </c>
      <c r="D11" s="16">
        <f>'ALL VARS'!H11</f>
        <v>6.9103878733839117E-3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0.10648660615452724</v>
      </c>
      <c r="C12" s="16">
        <f>'ALL VARS'!G12</f>
        <v>6.9103878733839117E-3</v>
      </c>
      <c r="D12" s="16">
        <f>'ALL VARS'!H12</f>
        <v>-5.7760974585171182E-2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6.9103878733839117E-3</v>
      </c>
      <c r="C13" s="16">
        <f>'ALL VARS'!G13</f>
        <v>-5.7760974585171182E-2</v>
      </c>
      <c r="D13" s="16">
        <f>'ALL VARS'!H13</f>
        <v>-1.8957345971564017E-2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5.88314779491933E-3</v>
      </c>
      <c r="L13" s="18">
        <v>1.1766295589838659E-3</v>
      </c>
      <c r="M13" s="18">
        <v>0.71842717082697483</v>
      </c>
      <c r="N13" s="18">
        <v>0.61330937371742045</v>
      </c>
    </row>
    <row r="14" spans="1:14" x14ac:dyDescent="0.25">
      <c r="A14" s="20">
        <f>'ALL VARS'!A14</f>
        <v>43963</v>
      </c>
      <c r="B14" s="16">
        <f>'ALL VARS'!F14</f>
        <v>-5.7760974585171182E-2</v>
      </c>
      <c r="C14" s="16">
        <f>'ALL VARS'!G14</f>
        <v>-1.8957345971564017E-2</v>
      </c>
      <c r="D14" s="16">
        <f>'ALL VARS'!H14</f>
        <v>-1.2815296989422202E-2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6.8786988415871386E-2</v>
      </c>
      <c r="L14" s="18">
        <v>1.6377854384731281E-3</v>
      </c>
    </row>
    <row r="15" spans="1:14" ht="15.75" thickBot="1" x14ac:dyDescent="0.3">
      <c r="A15" s="20">
        <f>'ALL VARS'!A15</f>
        <v>43962</v>
      </c>
      <c r="B15" s="16">
        <f>'ALL VARS'!F15</f>
        <v>-1.8957345971564017E-2</v>
      </c>
      <c r="C15" s="16">
        <f>'ALL VARS'!G15</f>
        <v>-1.2815296989422202E-2</v>
      </c>
      <c r="D15" s="16">
        <f>'ALL VARS'!H15</f>
        <v>-5.2610279239175455E-3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7.4670136210790716E-2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-1.2815296989422202E-2</v>
      </c>
      <c r="C16" s="16">
        <f>'ALL VARS'!G16</f>
        <v>-5.2610279239175455E-3</v>
      </c>
      <c r="D16" s="16">
        <f>'ALL VARS'!H16</f>
        <v>-2.5054251331623516E-2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-5.2610279239175455E-3</v>
      </c>
      <c r="C17" s="16">
        <f>'ALL VARS'!G17</f>
        <v>-2.5054251331623516E-2</v>
      </c>
      <c r="D17" s="16">
        <f>'ALL VARS'!H17</f>
        <v>-3.3425088478175719E-3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-2.5054251331623516E-2</v>
      </c>
      <c r="C18" s="16">
        <f>'ALL VARS'!G18</f>
        <v>-3.3425088478175719E-3</v>
      </c>
      <c r="D18" s="16">
        <f>'ALL VARS'!H18</f>
        <v>1.3782240598543077E-3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-3.3425088478175719E-3</v>
      </c>
      <c r="C19" s="16">
        <f>'ALL VARS'!G19</f>
        <v>1.3782240598543077E-3</v>
      </c>
      <c r="D19" s="16">
        <f>'ALL VARS'!H19</f>
        <v>7.7380952380952496E-3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0.1294572346941455</v>
      </c>
      <c r="K19" s="18">
        <v>0.14938052860487921</v>
      </c>
      <c r="L19" s="18">
        <v>0.86662723651599816</v>
      </c>
      <c r="M19" s="18">
        <v>0.39107041502623907</v>
      </c>
      <c r="N19" s="18">
        <v>-0.17200487684070875</v>
      </c>
      <c r="O19" s="18">
        <v>0.43091934622899974</v>
      </c>
      <c r="P19" s="18">
        <v>-0.17200487684070875</v>
      </c>
      <c r="Q19" s="18">
        <v>0.43091934622899974</v>
      </c>
    </row>
    <row r="20" spans="1:17" x14ac:dyDescent="0.25">
      <c r="A20" s="20">
        <f>'ALL VARS'!A20</f>
        <v>43955</v>
      </c>
      <c r="B20" s="16">
        <f>'ALL VARS'!F20</f>
        <v>1.3782240598543077E-3</v>
      </c>
      <c r="C20" s="16">
        <f>'ALL VARS'!G20</f>
        <v>7.7380952380952496E-3</v>
      </c>
      <c r="D20" s="16">
        <f>'ALL VARS'!H20</f>
        <v>-3.3000767459708348E-2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2.6585169822382522E-2</v>
      </c>
      <c r="K20" s="18">
        <v>0.15522878940896623</v>
      </c>
      <c r="L20" s="18">
        <v>0.17126442796858485</v>
      </c>
      <c r="M20" s="18">
        <v>0.86483832876432165</v>
      </c>
      <c r="N20" s="18">
        <v>-0.28667920983451001</v>
      </c>
      <c r="O20" s="18">
        <v>0.33984954947927504</v>
      </c>
      <c r="P20" s="18">
        <v>-0.28667920983451001</v>
      </c>
      <c r="Q20" s="18">
        <v>0.33984954947927504</v>
      </c>
    </row>
    <row r="21" spans="1:17" x14ac:dyDescent="0.25">
      <c r="A21" s="20">
        <f>'ALL VARS'!A21</f>
        <v>43952</v>
      </c>
      <c r="B21" s="16">
        <f>'ALL VARS'!F21</f>
        <v>7.7380952380952496E-3</v>
      </c>
      <c r="C21" s="16">
        <f>'ALL VARS'!G21</f>
        <v>-3.3000767459708348E-2</v>
      </c>
      <c r="D21" s="16">
        <f>'ALL VARS'!H21</f>
        <v>-3.5529237601776495E-2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-0.23863106177798982</v>
      </c>
      <c r="K21" s="18">
        <v>0.30814123467139443</v>
      </c>
      <c r="L21" s="18">
        <v>-0.77442106062977545</v>
      </c>
      <c r="M21" s="18">
        <v>0.44301973312306075</v>
      </c>
      <c r="N21" s="18">
        <v>-0.86048524935221593</v>
      </c>
      <c r="O21" s="18">
        <v>0.38322312579623624</v>
      </c>
      <c r="P21" s="18">
        <v>-0.86048524935221593</v>
      </c>
      <c r="Q21" s="18">
        <v>0.38322312579623624</v>
      </c>
    </row>
    <row r="22" spans="1:17" x14ac:dyDescent="0.25">
      <c r="A22" s="20">
        <f>'ALL VARS'!A22</f>
        <v>43951</v>
      </c>
      <c r="B22" s="16">
        <f>'ALL VARS'!F22</f>
        <v>-3.3000767459708348E-2</v>
      </c>
      <c r="C22" s="16">
        <f>'ALL VARS'!G22</f>
        <v>-3.5529237601776495E-2</v>
      </c>
      <c r="D22" s="16">
        <f>'ALL VARS'!H22</f>
        <v>1.9430296170533885E-2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-1.3309173449884696E-2</v>
      </c>
      <c r="K22" s="18">
        <v>2.3621975071499043E-2</v>
      </c>
      <c r="L22" s="18">
        <v>-0.56342339747631021</v>
      </c>
      <c r="M22" s="18">
        <v>0.57614255503452261</v>
      </c>
      <c r="N22" s="18">
        <v>-6.0980249126110372E-2</v>
      </c>
      <c r="O22" s="18">
        <v>3.4361902226340973E-2</v>
      </c>
      <c r="P22" s="18">
        <v>-6.0980249126110372E-2</v>
      </c>
      <c r="Q22" s="18">
        <v>3.4361902226340973E-2</v>
      </c>
    </row>
    <row r="23" spans="1:17" ht="15.75" thickBot="1" x14ac:dyDescent="0.3">
      <c r="A23" s="20">
        <f>'ALL VARS'!A23</f>
        <v>43950</v>
      </c>
      <c r="B23" s="16">
        <f>'ALL VARS'!F23</f>
        <v>-3.5529237601776495E-2</v>
      </c>
      <c r="C23" s="16">
        <f>'ALL VARS'!G23</f>
        <v>1.9430296170533885E-2</v>
      </c>
      <c r="D23" s="16">
        <f>'ALL VARS'!H23</f>
        <v>-3.2487680233619295E-2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1.9036382198487149E-5</v>
      </c>
      <c r="K23" s="22">
        <v>1.4068869148327039E-4</v>
      </c>
      <c r="L23" s="22">
        <v>0.13530854539755818</v>
      </c>
      <c r="M23" s="22">
        <v>0.89301434326753637</v>
      </c>
      <c r="N23" s="22">
        <v>-2.6488489187737014E-4</v>
      </c>
      <c r="O23" s="22">
        <v>3.0295765627434446E-4</v>
      </c>
      <c r="P23" s="22">
        <v>-2.6488489187737014E-4</v>
      </c>
      <c r="Q23" s="22">
        <v>3.0295765627434446E-4</v>
      </c>
    </row>
    <row r="24" spans="1:17" x14ac:dyDescent="0.25">
      <c r="A24" s="20">
        <f>'ALL VARS'!A24</f>
        <v>43949</v>
      </c>
      <c r="B24" s="16">
        <f>'ALL VARS'!F24</f>
        <v>1.9430296170533885E-2</v>
      </c>
      <c r="C24" s="16">
        <f>'ALL VARS'!G24</f>
        <v>-3.2487680233619295E-2</v>
      </c>
      <c r="D24" s="16">
        <f>'ALL VARS'!H24</f>
        <v>7.5368007850834071E-2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-3.2487680233619295E-2</v>
      </c>
      <c r="C25" s="16">
        <f>'ALL VARS'!G25</f>
        <v>7.5368007850834071E-2</v>
      </c>
      <c r="D25" s="16">
        <f>'ALL VARS'!H25</f>
        <v>2.929292929292935E-2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7.5368007850834071E-2</v>
      </c>
      <c r="C26" s="16">
        <f>'ALL VARS'!G26</f>
        <v>2.929292929292935E-2</v>
      </c>
      <c r="D26" s="16">
        <f>'ALL VARS'!H26</f>
        <v>-6.0240963855421117E-3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2.929292929292935E-2</v>
      </c>
      <c r="C27" s="16">
        <f>'ALL VARS'!G27</f>
        <v>-6.0240963855421117E-3</v>
      </c>
      <c r="D27" s="16">
        <f>'ALL VARS'!H27</f>
        <v>6.0277275467136892E-4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-6.0240963855421117E-3</v>
      </c>
      <c r="C28" s="16">
        <f>'ALL VARS'!G28</f>
        <v>6.0277275467136892E-4</v>
      </c>
      <c r="D28" s="16">
        <f>'ALL VARS'!H28</f>
        <v>-3.0202650038971105E-2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6.0277275467136892E-4</v>
      </c>
      <c r="C29" s="16">
        <f>'ALL VARS'!G29</f>
        <v>-3.0202650038971105E-2</v>
      </c>
      <c r="D29" s="16">
        <f>'ALL VARS'!H29</f>
        <v>1.6036428430013905E-2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-3.0202650038971105E-2</v>
      </c>
      <c r="C30" s="16">
        <f>'ALL VARS'!G30</f>
        <v>1.6036428430013905E-2</v>
      </c>
      <c r="D30" s="16">
        <f>'ALL VARS'!H30</f>
        <v>2.9975530179445327E-2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1.6036428430013905E-2</v>
      </c>
      <c r="C31" s="16">
        <f>'ALL VARS'!G31</f>
        <v>2.9975530179445327E-2</v>
      </c>
      <c r="D31" s="16">
        <f>'ALL VARS'!H31</f>
        <v>-2.7755749405233916E-2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2.9975530179445327E-2</v>
      </c>
      <c r="C32" s="16">
        <f>'ALL VARS'!G32</f>
        <v>-2.7755749405233916E-2</v>
      </c>
      <c r="D32" s="16">
        <f>'ALL VARS'!H32</f>
        <v>-2.5314009661835793E-2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-2.7755749405233916E-2</v>
      </c>
      <c r="C33" s="16">
        <f>'ALL VARS'!G33</f>
        <v>-2.5314009661835793E-2</v>
      </c>
      <c r="D33" s="16">
        <f>'ALL VARS'!H33</f>
        <v>3.2934131736526914E-2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-2.5314009661835793E-2</v>
      </c>
      <c r="C34" s="16">
        <f>'ALL VARS'!G34</f>
        <v>3.2934131736526914E-2</v>
      </c>
      <c r="D34" s="16">
        <f>'ALL VARS'!H34</f>
        <v>-2.567094515752626E-2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3.2934131736526914E-2</v>
      </c>
      <c r="C35" s="16">
        <f>'ALL VARS'!G35</f>
        <v>-2.567094515752626E-2</v>
      </c>
      <c r="D35" s="16">
        <f>'ALL VARS'!H35</f>
        <v>2.6142486529634849E-2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-2.567094515752626E-2</v>
      </c>
      <c r="C36" s="16">
        <f>'ALL VARS'!G36</f>
        <v>2.6142486529634849E-2</v>
      </c>
      <c r="D36" s="16">
        <f>'ALL VARS'!H36</f>
        <v>4.7012118679481824E-2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2.6142486529634849E-2</v>
      </c>
      <c r="C37" s="16">
        <f>'ALL VARS'!G37</f>
        <v>4.7012118679481824E-2</v>
      </c>
      <c r="D37" s="16">
        <f>'ALL VARS'!H37</f>
        <v>6.3078216989065844E-3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4.7012118679481824E-2</v>
      </c>
      <c r="C38" s="16">
        <f>'ALL VARS'!G38</f>
        <v>6.3078216989065844E-3</v>
      </c>
      <c r="D38" s="16">
        <f>'ALL VARS'!H38</f>
        <v>6.1607142857142978E-2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6.3078216989065844E-3</v>
      </c>
      <c r="C39" s="16">
        <f>'ALL VARS'!G39</f>
        <v>6.1607142857142978E-2</v>
      </c>
      <c r="D39" s="16">
        <f>'ALL VARS'!H39</f>
        <v>-2.9252437703141961E-2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6.1607142857142978E-2</v>
      </c>
      <c r="C40" s="16">
        <f>'ALL VARS'!G40</f>
        <v>-2.9252437703141961E-2</v>
      </c>
      <c r="D40" s="16">
        <f>'ALL VARS'!H40</f>
        <v>3.4790171776472403E-3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-2.9252437703141961E-2</v>
      </c>
      <c r="C41" s="16">
        <f>'ALL VARS'!G41</f>
        <v>3.4790171776472403E-3</v>
      </c>
      <c r="D41" s="16">
        <f>'ALL VARS'!H41</f>
        <v>-6.3340122199592661E-2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3.4790171776472403E-3</v>
      </c>
      <c r="C42" s="16">
        <f>'ALL VARS'!G42</f>
        <v>-6.3340122199592661E-2</v>
      </c>
      <c r="D42" s="16">
        <f>'ALL VARS'!H42</f>
        <v>-4.0567951318457559E-3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-6.3340122199592661E-2</v>
      </c>
      <c r="C43" s="16">
        <f>'ALL VARS'!G43</f>
        <v>-4.0567951318457559E-3</v>
      </c>
      <c r="D43" s="16">
        <f>'ALL VARS'!H43</f>
        <v>-5.246166263115519E-3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-4.0567951318457559E-3</v>
      </c>
      <c r="C44" s="16">
        <f>'ALL VARS'!G44</f>
        <v>-5.246166263115519E-3</v>
      </c>
      <c r="D44" s="16">
        <f>'ALL VARS'!H44</f>
        <v>-1.3927576601671226E-2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-5.246166263115519E-3</v>
      </c>
      <c r="C45" s="16">
        <f>'ALL VARS'!G45</f>
        <v>-1.3927576601671226E-2</v>
      </c>
      <c r="D45" s="16">
        <f>'ALL VARS'!H45</f>
        <v>4.4472152950955961E-2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-1.3927576601671226E-2</v>
      </c>
      <c r="C46" s="16">
        <f>'ALL VARS'!G46</f>
        <v>4.4472152950955961E-2</v>
      </c>
      <c r="D46" s="16">
        <f>'ALL VARS'!H46</f>
        <v>6.2251655629139084E-2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4.4472152950955961E-2</v>
      </c>
      <c r="C47" s="16">
        <f>'ALL VARS'!G47</f>
        <v>6.2251655629139084E-2</v>
      </c>
      <c r="D47" s="16">
        <f>'ALL VARS'!H47</f>
        <v>6.9910250354274769E-2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6.2251655629139084E-2</v>
      </c>
      <c r="C48" s="16">
        <f>'ALL VARS'!G48</f>
        <v>6.9910250354274769E-2</v>
      </c>
      <c r="D48" s="16">
        <f>'ALL VARS'!H48</f>
        <v>-1.5119795301232811E-2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 t="str">
        <f>IF('Eq7 avec Sent_t'!M21&lt;0.1,'Eq7 avec Sent_t'!J21,"-")</f>
        <v>-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 t="str">
        <f>IF('Eq7 avec Sent__t_k, k=0'!M21&lt;0.1,'Eq7 avec Sent__t_k, k=0'!J21,"-")</f>
        <v>-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 t="str">
        <f>IF('Eq7 avec Sent__t_k, k=3'!M21&lt;0.1,'Eq7 avec Sent__t_k, k=3'!J21,"-")</f>
        <v>-</v>
      </c>
      <c r="E9" s="7">
        <f>IF('Eq7 avec Sent__t_k, k=3'!M22&lt;0.1,'Eq7 avec Sent__t_k, k=3'!J22,"-")</f>
        <v>-4.212763130446015E-2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 t="str">
        <f>IF('Eq4 avec Sent__t_+_1_k, k=6'!M21&lt;0.1,'Eq4 avec Sent__t_+_1_k, k=6'!J21,"-")</f>
        <v>-</v>
      </c>
      <c r="C12" s="7" t="str">
        <f>IF('Eq4 avec Sent__t_+_1_k, k=6'!M22&lt;0.1,'Eq4 avec Sent__t_+_1_k, k=6'!J22,"-")</f>
        <v>-</v>
      </c>
      <c r="D12" s="7" t="str">
        <f>IF('Eq7 avec Sent__t_k, k=6'!M21&lt;0.1,'Eq7 avec Sent__t_k, k=6'!J21,"-")</f>
        <v>-</v>
      </c>
      <c r="E12" s="7">
        <f>IF('Eq7 avec Sent__t_k, k=6'!M22&lt;0.1,'Eq7 avec Sent__t_k, k=6'!J22,"-")</f>
        <v>-1.4822440488977835E-2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