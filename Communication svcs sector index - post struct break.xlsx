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8971A8DC-BDC0-43ED-86C8-8E9A1EAA5534}" xr6:coauthVersionLast="47" xr6:coauthVersionMax="47" xr10:uidLastSave="{00000000-0000-0000-0000-000000000000}"/>
  <bookViews>
    <workbookView xWindow="-120" yWindow="-120" windowWidth="20730" windowHeight="11160" tabRatio="857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I15" i="112" s="1"/>
  <c r="G14" i="112"/>
  <c r="H14" i="112" s="1"/>
  <c r="G13" i="112"/>
  <c r="H13" i="112" s="1"/>
  <c r="G12" i="112"/>
  <c r="H12" i="112" s="1"/>
  <c r="G11" i="112"/>
  <c r="I11" i="112" s="1"/>
  <c r="G10" i="112"/>
  <c r="H10" i="112" s="1"/>
  <c r="G9" i="112"/>
  <c r="H9" i="112" s="1"/>
  <c r="G8" i="112"/>
  <c r="H8" i="112" s="1"/>
  <c r="G7" i="112"/>
  <c r="I7" i="112" s="1"/>
  <c r="G6" i="112"/>
  <c r="H6" i="112" s="1"/>
  <c r="G5" i="112"/>
  <c r="H5" i="112" s="1"/>
  <c r="H15" i="112" l="1"/>
  <c r="J15" i="112" s="1"/>
  <c r="I14" i="112"/>
  <c r="J14" i="112" s="1"/>
  <c r="I13" i="112"/>
  <c r="J13" i="112" s="1"/>
  <c r="I12" i="112"/>
  <c r="J12" i="112" s="1"/>
  <c r="H11" i="112"/>
  <c r="J11" i="112" s="1"/>
  <c r="I10" i="112"/>
  <c r="J10" i="112" s="1"/>
  <c r="I9" i="112"/>
  <c r="J9" i="112" s="1"/>
  <c r="I8" i="112"/>
  <c r="J8" i="112" s="1"/>
  <c r="H7" i="112"/>
  <c r="J7" i="112" s="1"/>
  <c r="I6" i="112"/>
  <c r="J6" i="112" s="1"/>
  <c r="I5" i="112"/>
  <c r="J5" i="112" s="1"/>
  <c r="B16" i="112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<sst xmlns="http://schemas.openxmlformats.org/spreadsheetml/2006/main" count="768" uniqueCount="106">
  <si>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</si>
  <si>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</si>
  <si>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</si>
  <si>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</si>
  <si>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</si>
  <si>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</si>
  <si>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</si>
  <si>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</si>
  <si>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</si>
  <si>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</si>
  <si>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</si>
  <si>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</si>
  <si>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</si>
  <si>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</si>
  <si>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</si>
  <si>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</si>
  <si>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</si>
  <si>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</si>
  <si>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</si>
  <si>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</si>
  <si>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</si>
  <si>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</si>
  <si>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</si>
  <si>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</si>
  <si>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</si>
  <si>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</si>
  <si>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</si>
  <si>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</si>
  <si>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</si>
  <si>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</si>
  <si>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</si>
  <si>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</si>
  <si>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</si>
  <si>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</si>
  <si>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</si>
  <si>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</si>
  <si>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</si>
  <si>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</si>
  <si>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</si>
  <si>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</si>
  <si>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</si>
  <si>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</si>
  <si>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</si>
  <si>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</si>
  <si>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</si>
  <si>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</si>
  <si>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</si>
  <si>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</si>
  <si>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</si>
  <si>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</si>
  <si>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</si>
  <si>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</si>
  <si>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</si>
  <si>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</si>
  <si>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</si>
  <si>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</si>
  <si>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</si>
  <si>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</si>
  <si>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</si>
  <si>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</si>
  <si>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</si>
  <si>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</si>
  <si>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</si>
  <si>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</si>
  <si>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</si>
  <si>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</si>
  <si>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</si>
  <si>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</si>
  <si>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</si>
  <si>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</si>
  <si>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</si>
  <si>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</si>
  <si>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</si>
  <si>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</si>
  <si>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</si>
  <si>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</si>
  <si>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</si>
  <si>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</si>
  <si>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SPTSX Communication Services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</si>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</sst>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10" fontId="0" fillId="2" borderId="0" xfId="1" applyNumberFormat="1" applyFont="1" applyFill="1"/>
    <xf numFmtId="3" fontId="0" fillId="2" borderId="0" xfId="0" applyNumberForma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#,##0</c:formatCode>
                <c:ptCount val="47"/>
                <c:pt idx="0">
                  <c:v>162.66999999999999</c:v>
                </c:pt>
                <c:pt idx="1">
                  <c:v>162</c:v>
                </c:pt>
                <c:pt idx="2">
                  <c:v>160.01</c:v>
                </c:pt>
                <c:pt idx="3">
                  <c:v>158.72</c:v>
                </c:pt>
                <c:pt idx="4">
                  <c:v>156.52000000000001</c:v>
                </c:pt>
                <c:pt idx="5">
                  <c:v>154.76</c:v>
                </c:pt>
                <c:pt idx="6">
                  <c:v>154.65</c:v>
                </c:pt>
                <c:pt idx="7">
                  <c:v>155.80000000000001</c:v>
                </c:pt>
                <c:pt idx="8">
                  <c:v>156.07</c:v>
                </c:pt>
                <c:pt idx="9">
                  <c:v>155.44</c:v>
                </c:pt>
                <c:pt idx="10">
                  <c:v>155.16999999999999</c:v>
                </c:pt>
                <c:pt idx="11">
                  <c:v>154.76</c:v>
                </c:pt>
                <c:pt idx="12">
                  <c:v>158.1</c:v>
                </c:pt>
                <c:pt idx="13">
                  <c:v>161.26</c:v>
                </c:pt>
                <c:pt idx="14">
                  <c:v>159.41</c:v>
                </c:pt>
                <c:pt idx="15">
                  <c:v>158.62</c:v>
                </c:pt>
                <c:pt idx="16">
                  <c:v>159.31</c:v>
                </c:pt>
                <c:pt idx="17">
                  <c:v>159.38</c:v>
                </c:pt>
                <c:pt idx="18">
                  <c:v>159.22999999999999</c:v>
                </c:pt>
                <c:pt idx="19">
                  <c:v>158.59</c:v>
                </c:pt>
                <c:pt idx="20">
                  <c:v>160.13999999999999</c:v>
                </c:pt>
                <c:pt idx="21">
                  <c:v>162.99</c:v>
                </c:pt>
                <c:pt idx="22">
                  <c:v>162.54</c:v>
                </c:pt>
                <c:pt idx="23">
                  <c:v>160.68</c:v>
                </c:pt>
                <c:pt idx="24">
                  <c:v>159.4</c:v>
                </c:pt>
                <c:pt idx="25">
                  <c:v>157.74</c:v>
                </c:pt>
                <c:pt idx="26">
                  <c:v>159.09</c:v>
                </c:pt>
                <c:pt idx="27">
                  <c:v>156.94</c:v>
                </c:pt>
                <c:pt idx="28">
                  <c:v>162.96</c:v>
                </c:pt>
                <c:pt idx="29">
                  <c:v>162.82</c:v>
                </c:pt>
                <c:pt idx="30">
                  <c:v>159.19</c:v>
                </c:pt>
                <c:pt idx="31">
                  <c:v>160.44999999999999</c:v>
                </c:pt>
                <c:pt idx="32">
                  <c:v>163.22999999999999</c:v>
                </c:pt>
                <c:pt idx="33">
                  <c:v>161.31</c:v>
                </c:pt>
                <c:pt idx="34">
                  <c:v>160.31</c:v>
                </c:pt>
                <c:pt idx="35">
                  <c:v>160.83000000000001</c:v>
                </c:pt>
                <c:pt idx="36">
                  <c:v>163.68</c:v>
                </c:pt>
                <c:pt idx="37">
                  <c:v>163.77000000000001</c:v>
                </c:pt>
                <c:pt idx="38">
                  <c:v>157.38999999999999</c:v>
                </c:pt>
                <c:pt idx="39">
                  <c:v>158.99</c:v>
                </c:pt>
                <c:pt idx="40">
                  <c:v>156.07</c:v>
                </c:pt>
                <c:pt idx="41">
                  <c:v>159.68</c:v>
                </c:pt>
                <c:pt idx="42">
                  <c:v>154.88</c:v>
                </c:pt>
                <c:pt idx="43">
                  <c:v>149.97999999999999</c:v>
                </c:pt>
                <c:pt idx="44">
                  <c:v>154.31</c:v>
                </c:pt>
                <c:pt idx="45">
                  <c:v>151.01</c:v>
                </c:pt>
                <c:pt idx="46">
                  <c:v>143.4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165"/>
          <c:min val="14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Communication%20svcs%20sector%20index%20-%20pre%20struct%20break.xlsx" TargetMode="External"/><Relationship Id="rId1" Type="http://schemas.openxmlformats.org/officeDocument/2006/relationships/externalLinkPath" Target="Communication%20svcs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133.22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89</v>
      </c>
      <c r="V1" s="11" t="s">
        <v>79</v>
      </c>
      <c r="W1" s="12" t="s">
        <v>21</v>
      </c>
      <c r="X1" s="12" t="s">
        <v>9</v>
      </c>
      <c r="Y1" s="11" t="s">
        <v>90</v>
      </c>
      <c r="Z1" s="11" t="s">
        <v>80</v>
      </c>
      <c r="AA1" s="12" t="s">
        <v>22</v>
      </c>
      <c r="AB1" s="12" t="s">
        <v>10</v>
      </c>
      <c r="AC1" s="11" t="s">
        <v>91</v>
      </c>
      <c r="AD1" s="11" t="s">
        <v>81</v>
      </c>
      <c r="AE1" s="12" t="s">
        <v>23</v>
      </c>
      <c r="AF1" s="12" t="s">
        <v>11</v>
      </c>
      <c r="AG1" s="11" t="s">
        <v>92</v>
      </c>
      <c r="AH1" s="11" t="s">
        <v>82</v>
      </c>
      <c r="AI1" s="12" t="s">
        <v>24</v>
      </c>
      <c r="AJ1" s="12" t="s">
        <v>12</v>
      </c>
      <c r="AK1" s="11" t="s">
        <v>93</v>
      </c>
      <c r="AL1" s="11" t="s">
        <v>83</v>
      </c>
      <c r="AM1" s="12" t="s">
        <v>25</v>
      </c>
      <c r="AN1" s="12" t="s">
        <v>13</v>
      </c>
      <c r="AO1" s="11" t="s">
        <v>94</v>
      </c>
      <c r="AP1" s="11" t="s">
        <v>84</v>
      </c>
      <c r="AQ1" s="12" t="s">
        <v>26</v>
      </c>
      <c r="AR1" s="12" t="s">
        <v>14</v>
      </c>
      <c r="AS1" s="11" t="s">
        <v>95</v>
      </c>
      <c r="AT1" s="11" t="s">
        <v>85</v>
      </c>
      <c r="AU1" s="12" t="s">
        <v>27</v>
      </c>
      <c r="AV1" s="12" t="s">
        <v>15</v>
      </c>
      <c r="AW1" s="11" t="s">
        <v>96</v>
      </c>
      <c r="AX1" s="11" t="s">
        <v>86</v>
      </c>
      <c r="AY1" s="12" t="s">
        <v>28</v>
      </c>
      <c r="AZ1" s="12" t="s">
        <v>16</v>
      </c>
      <c r="BA1" s="11" t="s">
        <v>97</v>
      </c>
      <c r="BB1" s="11" t="s">
        <v>87</v>
      </c>
      <c r="BC1" s="12" t="s">
        <v>29</v>
      </c>
      <c r="BD1" s="12" t="s">
        <v>17</v>
      </c>
      <c r="BE1" s="11" t="s">
        <v>98</v>
      </c>
      <c r="BF1" s="11" t="s">
        <v>88</v>
      </c>
      <c r="BH1" s="13" t="s">
        <v>19</v>
      </c>
      <c r="BI1" s="13" t="s">
        <v>30</v>
      </c>
      <c r="BJ1" s="14" t="s">
        <v>20</v>
      </c>
      <c r="BK1" s="13" t="s">
        <v>89</v>
      </c>
      <c r="BL1" s="14" t="s">
        <v>21</v>
      </c>
      <c r="BM1" s="13" t="s">
        <v>90</v>
      </c>
      <c r="BN1" s="14" t="s">
        <v>22</v>
      </c>
      <c r="BO1" s="13" t="s">
        <v>91</v>
      </c>
      <c r="BP1" s="14" t="s">
        <v>23</v>
      </c>
      <c r="BQ1" s="13" t="s">
        <v>92</v>
      </c>
      <c r="BR1" s="14" t="s">
        <v>24</v>
      </c>
      <c r="BS1" s="13" t="s">
        <v>93</v>
      </c>
      <c r="BT1" s="14" t="s">
        <v>25</v>
      </c>
      <c r="BU1" s="13" t="s">
        <v>94</v>
      </c>
      <c r="BV1" s="14" t="s">
        <v>26</v>
      </c>
      <c r="BW1" s="13" t="s">
        <v>95</v>
      </c>
      <c r="BX1" s="14" t="s">
        <v>27</v>
      </c>
      <c r="BY1" s="13" t="s">
        <v>96</v>
      </c>
      <c r="BZ1" s="14" t="s">
        <v>28</v>
      </c>
      <c r="CA1" s="13" t="s">
        <v>97</v>
      </c>
      <c r="CB1" s="14" t="s">
        <v>29</v>
      </c>
      <c r="CC1" s="13" t="s">
        <v>98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162.66999999999999</v>
      </c>
      <c r="C2" s="16">
        <v>4.1358024691357251E-3</v>
      </c>
      <c r="D2" s="17">
        <v>-0.24457772169262171</v>
      </c>
      <c r="F2" s="16">
        <v>-6.9465789635458014E-3</v>
      </c>
      <c r="G2" s="16">
        <v>4.1358024691357251E-3</v>
      </c>
      <c r="H2" s="16">
        <v>1.2436722704831005E-2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162</v>
      </c>
      <c r="C3" s="16">
        <v>1.2436722704831005E-2</v>
      </c>
      <c r="D3" s="17">
        <v>6.2640197575092316E-3</v>
      </c>
      <c r="F3" s="16">
        <v>4.1358024691357251E-3</v>
      </c>
      <c r="G3" s="16">
        <v>1.2436722704831005E-2</v>
      </c>
      <c r="H3" s="16">
        <v>8.127520161290272E-3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160.01</v>
      </c>
      <c r="C4" s="16">
        <v>8.127520161290272E-3</v>
      </c>
      <c r="D4" s="17">
        <v>-0.23609326717754206</v>
      </c>
      <c r="F4" s="16">
        <v>1.2436722704831005E-2</v>
      </c>
      <c r="G4" s="16">
        <v>8.127520161290272E-3</v>
      </c>
      <c r="H4" s="16">
        <v>1.4055711730130262E-2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158.72</v>
      </c>
      <c r="C5" s="16">
        <v>1.4055711730130262E-2</v>
      </c>
      <c r="D5" s="17">
        <v>0.13119693499590671</v>
      </c>
      <c r="F5" s="16">
        <v>8.127520161290272E-3</v>
      </c>
      <c r="G5" s="16">
        <v>1.4055711730130262E-2</v>
      </c>
      <c r="H5" s="16">
        <v>1.1372447660894413E-2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156.52000000000001</v>
      </c>
      <c r="C6" s="16">
        <v>1.1372447660894413E-2</v>
      </c>
      <c r="D6" s="17">
        <v>-0.66873623467981813</v>
      </c>
      <c r="F6" s="16">
        <v>1.4055711730130262E-2</v>
      </c>
      <c r="G6" s="16">
        <v>1.1372447660894413E-2</v>
      </c>
      <c r="H6" s="16">
        <v>7.1128354348519375E-4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154.76</v>
      </c>
      <c r="C7" s="16">
        <v>7.1128354348519375E-4</v>
      </c>
      <c r="D7" s="17">
        <v>5.5399095018704735E-2</v>
      </c>
      <c r="F7" s="16">
        <v>1.1372447660894413E-2</v>
      </c>
      <c r="G7" s="16">
        <v>7.1128354348519375E-4</v>
      </c>
      <c r="H7" s="16">
        <v>-7.3812580231065825E-3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154.65</v>
      </c>
      <c r="C8" s="16">
        <v>-7.3812580231065825E-3</v>
      </c>
      <c r="D8" s="17">
        <v>9.735283938546975E-2</v>
      </c>
      <c r="F8" s="16">
        <v>7.1128354348519375E-4</v>
      </c>
      <c r="G8" s="16">
        <v>-7.3812580231065825E-3</v>
      </c>
      <c r="H8" s="16">
        <v>-1.72999295188045E-3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155.80000000000001</v>
      </c>
      <c r="C9" s="16">
        <v>-1.72999295188045E-3</v>
      </c>
      <c r="D9" s="17">
        <v>0.49790565359095734</v>
      </c>
      <c r="F9" s="16">
        <v>-7.3812580231065825E-3</v>
      </c>
      <c r="G9" s="16">
        <v>-1.72999295188045E-3</v>
      </c>
      <c r="H9" s="16">
        <v>4.0530108080287924E-3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156.07</v>
      </c>
      <c r="C10" s="16">
        <v>4.0530108080287924E-3</v>
      </c>
      <c r="D10" s="17">
        <v>0.48645331314764917</v>
      </c>
      <c r="F10" s="16">
        <v>-1.72999295188045E-3</v>
      </c>
      <c r="G10" s="16">
        <v>4.0530108080287924E-3</v>
      </c>
      <c r="H10" s="16">
        <v>1.7400270670877764E-3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155.44</v>
      </c>
      <c r="C11" s="16">
        <v>1.7400270670877764E-3</v>
      </c>
      <c r="D11" s="17">
        <v>-0.19248065624672633</v>
      </c>
      <c r="F11" s="16">
        <v>4.0530108080287924E-3</v>
      </c>
      <c r="G11" s="16">
        <v>1.7400270670877764E-3</v>
      </c>
      <c r="H11" s="16">
        <v>2.6492633755492156E-3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155.16999999999999</v>
      </c>
      <c r="C12" s="16">
        <v>2.6492633755492156E-3</v>
      </c>
      <c r="D12" s="17">
        <v>0.27620824612677097</v>
      </c>
      <c r="F12" s="16">
        <v>1.7400270670877764E-3</v>
      </c>
      <c r="G12" s="16">
        <v>2.6492633755492156E-3</v>
      </c>
      <c r="H12" s="16">
        <v>-2.1125869702719818E-2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154.76</v>
      </c>
      <c r="C13" s="16">
        <v>-2.1125869702719818E-2</v>
      </c>
      <c r="D13" s="17">
        <v>0.1164589305408299</v>
      </c>
      <c r="F13" s="16">
        <v>2.6492633755492156E-3</v>
      </c>
      <c r="G13" s="16">
        <v>-2.1125869702719818E-2</v>
      </c>
      <c r="H13" s="16">
        <v>-1.9595683988589834E-2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158.1</v>
      </c>
      <c r="C14" s="16">
        <v>-1.9595683988589834E-2</v>
      </c>
      <c r="D14" s="17">
        <v>-0.15498585706915369</v>
      </c>
      <c r="F14" s="16">
        <v>-2.1125869702719818E-2</v>
      </c>
      <c r="G14" s="16">
        <v>-1.9595683988589834E-2</v>
      </c>
      <c r="H14" s="16">
        <v>1.1605294523555576E-2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161.26</v>
      </c>
      <c r="C15" s="16">
        <v>1.1605294523555576E-2</v>
      </c>
      <c r="D15" s="17">
        <v>9.5311682671308517E-2</v>
      </c>
      <c r="F15" s="16">
        <v>-1.9595683988589834E-2</v>
      </c>
      <c r="G15" s="16">
        <v>1.1605294523555576E-2</v>
      </c>
      <c r="H15" s="16">
        <v>4.9804564367670664E-3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159.41</v>
      </c>
      <c r="C16" s="16">
        <v>4.9804564367670664E-3</v>
      </c>
      <c r="D16" s="17">
        <v>0.29172629743282286</v>
      </c>
      <c r="F16" s="16">
        <v>1.1605294523555576E-2</v>
      </c>
      <c r="G16" s="16">
        <v>4.9804564367670664E-3</v>
      </c>
      <c r="H16" s="16">
        <v>-4.3311782060134188E-3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158.62</v>
      </c>
      <c r="C17" s="16">
        <v>-4.3311782060134188E-3</v>
      </c>
      <c r="D17" s="17">
        <v>-0.23442382345508253</v>
      </c>
      <c r="F17" s="16">
        <v>4.9804564367670664E-3</v>
      </c>
      <c r="G17" s="16">
        <v>-4.3311782060134188E-3</v>
      </c>
      <c r="H17" s="16">
        <v>-4.3920190739109787E-4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159.31</v>
      </c>
      <c r="C18" s="16">
        <v>-4.3920190739109787E-4</v>
      </c>
      <c r="D18" s="17">
        <v>-2.1146204477796953E-2</v>
      </c>
      <c r="F18" s="16">
        <v>-4.3311782060134188E-3</v>
      </c>
      <c r="G18" s="16">
        <v>-4.3920190739109787E-4</v>
      </c>
      <c r="H18" s="16">
        <v>9.4203353639393133E-4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159.38</v>
      </c>
      <c r="C19" s="16">
        <v>9.4203353639393133E-4</v>
      </c>
      <c r="D19" s="17">
        <v>0.23377028697480759</v>
      </c>
      <c r="F19" s="16">
        <v>-4.3920190739109787E-4</v>
      </c>
      <c r="G19" s="16">
        <v>9.4203353639393133E-4</v>
      </c>
      <c r="H19" s="16">
        <v>4.0355634024843079E-3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159.22999999999999</v>
      </c>
      <c r="C20" s="16">
        <v>4.0355634024843079E-3</v>
      </c>
      <c r="D20" s="17">
        <v>-0.15081174378948553</v>
      </c>
      <c r="F20" s="16">
        <v>9.4203353639393133E-4</v>
      </c>
      <c r="G20" s="16">
        <v>4.0355634024843079E-3</v>
      </c>
      <c r="H20" s="16">
        <v>-9.6790308480078878E-3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158.59</v>
      </c>
      <c r="C21" s="16">
        <v>-9.6790308480078878E-3</v>
      </c>
      <c r="D21" s="17">
        <v>-0.15819044224917889</v>
      </c>
      <c r="F21" s="16">
        <v>4.0355634024843079E-3</v>
      </c>
      <c r="G21" s="16">
        <v>-9.6790308480078878E-3</v>
      </c>
      <c r="H21" s="16">
        <v>-1.7485735321185487E-2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160.13999999999999</v>
      </c>
      <c r="C22" s="16">
        <v>-1.7485735321185487E-2</v>
      </c>
      <c r="D22" s="17">
        <v>-0.11695043928921223</v>
      </c>
      <c r="F22" s="16">
        <v>-9.6790308480078878E-3</v>
      </c>
      <c r="G22" s="16">
        <v>-1.7485735321185487E-2</v>
      </c>
      <c r="H22" s="16">
        <v>2.7685492801772923E-3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162.99</v>
      </c>
      <c r="C23" s="16">
        <v>2.7685492801772923E-3</v>
      </c>
      <c r="D23" s="17">
        <v>6.6089130705222487E-3</v>
      </c>
      <c r="F23" s="16">
        <v>-1.7485735321185487E-2</v>
      </c>
      <c r="G23" s="16">
        <v>2.7685492801772923E-3</v>
      </c>
      <c r="H23" s="16">
        <v>1.1575802837938668E-2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162.54</v>
      </c>
      <c r="C24" s="16">
        <v>1.1575802837938668E-2</v>
      </c>
      <c r="D24" s="17">
        <v>-0.16266929442062975</v>
      </c>
      <c r="F24" s="16">
        <v>2.7685492801772923E-3</v>
      </c>
      <c r="G24" s="16">
        <v>1.1575802837938668E-2</v>
      </c>
      <c r="H24" s="16">
        <v>8.0301129234629925E-3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160.68</v>
      </c>
      <c r="C25" s="16">
        <v>8.0301129234629925E-3</v>
      </c>
      <c r="D25" s="17">
        <v>-0.43920171571274597</v>
      </c>
      <c r="F25" s="16">
        <v>1.1575802837938668E-2</v>
      </c>
      <c r="G25" s="16">
        <v>8.0301129234629925E-3</v>
      </c>
      <c r="H25" s="16">
        <v>1.0523646506910083E-2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159.4</v>
      </c>
      <c r="C26" s="16">
        <v>1.0523646506910083E-2</v>
      </c>
      <c r="D26" s="17">
        <v>-2.0552382688038051E-2</v>
      </c>
      <c r="F26" s="16">
        <v>8.0301129234629925E-3</v>
      </c>
      <c r="G26" s="16">
        <v>1.0523646506910083E-2</v>
      </c>
      <c r="H26" s="16">
        <v>-8.4857627757872547E-3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157.74</v>
      </c>
      <c r="C27" s="16">
        <v>-8.4857627757872547E-3</v>
      </c>
      <c r="D27" s="17">
        <v>-0.44359970150981098</v>
      </c>
      <c r="F27" s="16">
        <v>1.0523646506910083E-2</v>
      </c>
      <c r="G27" s="16">
        <v>-8.4857627757872547E-3</v>
      </c>
      <c r="H27" s="16">
        <v>1.369950299477511E-2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159.09</v>
      </c>
      <c r="C28" s="16">
        <v>1.369950299477511E-2</v>
      </c>
      <c r="D28" s="17">
        <v>7.0537303773952384E-2</v>
      </c>
      <c r="F28" s="16">
        <v>-8.4857627757872547E-3</v>
      </c>
      <c r="G28" s="16">
        <v>1.369950299477511E-2</v>
      </c>
      <c r="H28" s="16">
        <v>-3.6941580756013809E-2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156.94</v>
      </c>
      <c r="C29" s="16">
        <v>-3.6941580756013809E-2</v>
      </c>
      <c r="D29" s="17">
        <v>6.1557356500998139E-2</v>
      </c>
      <c r="F29" s="16">
        <v>1.369950299477511E-2</v>
      </c>
      <c r="G29" s="16">
        <v>-3.6941580756013809E-2</v>
      </c>
      <c r="H29" s="16">
        <v>8.5984522785907615E-4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162.96</v>
      </c>
      <c r="C30" s="16">
        <v>8.5984522785907615E-4</v>
      </c>
      <c r="D30" s="17">
        <v>0.33201583579648286</v>
      </c>
      <c r="F30" s="16">
        <v>-3.6941580756013809E-2</v>
      </c>
      <c r="G30" s="16">
        <v>8.5984522785907615E-4</v>
      </c>
      <c r="H30" s="16">
        <v>2.2802939883158461E-2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162.82</v>
      </c>
      <c r="C31" s="16">
        <v>2.2802939883158461E-2</v>
      </c>
      <c r="D31" s="17">
        <v>-1.0891216807067394E-2</v>
      </c>
      <c r="F31" s="16">
        <v>8.5984522785907615E-4</v>
      </c>
      <c r="G31" s="16">
        <v>2.2802939883158461E-2</v>
      </c>
      <c r="H31" s="16">
        <v>-7.8529136802741734E-3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159.19</v>
      </c>
      <c r="C32" s="16">
        <v>-7.8529136802741734E-3</v>
      </c>
      <c r="D32" s="17">
        <v>-1.8410735170949589E-2</v>
      </c>
      <c r="F32" s="16">
        <v>2.2802939883158461E-2</v>
      </c>
      <c r="G32" s="16">
        <v>-7.8529136802741734E-3</v>
      </c>
      <c r="H32" s="16">
        <v>-1.7031182993322316E-2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160.44999999999999</v>
      </c>
      <c r="C33" s="16">
        <v>-1.7031182993322316E-2</v>
      </c>
      <c r="D33" s="17">
        <v>-0.32017184949169558</v>
      </c>
      <c r="F33" s="16">
        <v>-7.8529136802741734E-3</v>
      </c>
      <c r="G33" s="16">
        <v>-1.7031182993322316E-2</v>
      </c>
      <c r="H33" s="16">
        <v>1.1902547889157445E-2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163.22999999999999</v>
      </c>
      <c r="C34" s="16">
        <v>1.1902547889157445E-2</v>
      </c>
      <c r="D34" s="17">
        <v>0.10925812500395946</v>
      </c>
      <c r="F34" s="16">
        <v>-1.7031182993322316E-2</v>
      </c>
      <c r="G34" s="16">
        <v>1.1902547889157445E-2</v>
      </c>
      <c r="H34" s="16">
        <v>6.2379140415445072E-3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161.31</v>
      </c>
      <c r="C35" s="16">
        <v>6.2379140415445072E-3</v>
      </c>
      <c r="D35" s="17">
        <v>-0.32851240194092196</v>
      </c>
      <c r="F35" s="16">
        <v>1.1902547889157445E-2</v>
      </c>
      <c r="G35" s="16">
        <v>6.2379140415445072E-3</v>
      </c>
      <c r="H35" s="16">
        <v>-3.233227631660823E-3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160.31</v>
      </c>
      <c r="C36" s="16">
        <v>-3.233227631660823E-3</v>
      </c>
      <c r="D36" s="17">
        <v>8.9164984819944948E-2</v>
      </c>
      <c r="F36" s="16">
        <v>6.2379140415445072E-3</v>
      </c>
      <c r="G36" s="16">
        <v>-3.233227631660823E-3</v>
      </c>
      <c r="H36" s="16">
        <v>-1.7412023460410521E-2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160.83000000000001</v>
      </c>
      <c r="C37" s="16">
        <v>-1.7412023460410521E-2</v>
      </c>
      <c r="D37" s="17">
        <v>-7.3048542439937594E-2</v>
      </c>
      <c r="F37" s="16">
        <v>-3.233227631660823E-3</v>
      </c>
      <c r="G37" s="16">
        <v>-1.7412023460410521E-2</v>
      </c>
      <c r="H37" s="16">
        <v>-5.4955119985347384E-4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163.68</v>
      </c>
      <c r="C38" s="16">
        <v>-5.4955119985347384E-4</v>
      </c>
      <c r="D38" s="17">
        <v>-0.50390593466969824</v>
      </c>
      <c r="F38" s="16">
        <v>-1.7412023460410521E-2</v>
      </c>
      <c r="G38" s="16">
        <v>-5.4955119985347384E-4</v>
      </c>
      <c r="H38" s="16">
        <v>4.0536247537963178E-2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163.77000000000001</v>
      </c>
      <c r="C39" s="16">
        <v>4.0536247537963178E-2</v>
      </c>
      <c r="D39" s="17">
        <v>-2.5256967595355076E-2</v>
      </c>
      <c r="F39" s="16">
        <v>-5.4955119985347384E-4</v>
      </c>
      <c r="G39" s="16">
        <v>4.0536247537963178E-2</v>
      </c>
      <c r="H39" s="16">
        <v>-1.0063526007925169E-2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157.38999999999999</v>
      </c>
      <c r="C40" s="16">
        <v>-1.0063526007925169E-2</v>
      </c>
      <c r="D40" s="17">
        <v>-0.62750590592622757</v>
      </c>
      <c r="F40" s="16">
        <v>4.0536247537963178E-2</v>
      </c>
      <c r="G40" s="16">
        <v>-1.0063526007925169E-2</v>
      </c>
      <c r="H40" s="16">
        <v>1.8709553405523265E-2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158.99</v>
      </c>
      <c r="C41" s="16">
        <v>1.8709553405523265E-2</v>
      </c>
      <c r="D41" s="17">
        <v>-0.28957627939858605</v>
      </c>
      <c r="F41" s="16">
        <v>-1.0063526007925169E-2</v>
      </c>
      <c r="G41" s="16">
        <v>1.8709553405523265E-2</v>
      </c>
      <c r="H41" s="16">
        <v>-2.2607715430861808E-2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156.07</v>
      </c>
      <c r="C42" s="16">
        <v>-2.2607715430861808E-2</v>
      </c>
      <c r="D42" s="17">
        <v>7.8005850501358512E-2</v>
      </c>
      <c r="F42" s="16">
        <v>1.8709553405523265E-2</v>
      </c>
      <c r="G42" s="16">
        <v>-2.2607715430861808E-2</v>
      </c>
      <c r="H42" s="16">
        <v>3.0991735537190156E-2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159.68</v>
      </c>
      <c r="C43" s="16">
        <v>3.0991735537190156E-2</v>
      </c>
      <c r="D43" s="17">
        <v>-5.0065291579812765E-2</v>
      </c>
      <c r="F43" s="16">
        <v>-2.2607715430861808E-2</v>
      </c>
      <c r="G43" s="16">
        <v>3.0991735537190156E-2</v>
      </c>
      <c r="H43" s="16">
        <v>3.2671022803040448E-2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154.88</v>
      </c>
      <c r="C44" s="16">
        <v>3.2671022803040448E-2</v>
      </c>
      <c r="D44" s="17">
        <v>6.451272894628346E-2</v>
      </c>
      <c r="F44" s="16">
        <v>3.0991735537190156E-2</v>
      </c>
      <c r="G44" s="16">
        <v>3.2671022803040448E-2</v>
      </c>
      <c r="H44" s="16">
        <v>-2.8060397900330585E-2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149.97999999999999</v>
      </c>
      <c r="C45" s="16">
        <v>-2.8060397900330585E-2</v>
      </c>
      <c r="D45" s="17">
        <v>-0.43549962999531999</v>
      </c>
      <c r="F45" s="16">
        <v>3.2671022803040448E-2</v>
      </c>
      <c r="G45" s="16">
        <v>-2.8060397900330585E-2</v>
      </c>
      <c r="H45" s="16">
        <v>2.1852857426660564E-2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154.31</v>
      </c>
      <c r="C46" s="16">
        <v>2.1852857426660564E-2</v>
      </c>
      <c r="D46" s="17">
        <v>-0.35762683051871136</v>
      </c>
      <c r="F46" s="16">
        <v>-2.8060397900330585E-2</v>
      </c>
      <c r="G46" s="16">
        <v>2.1852857426660564E-2</v>
      </c>
      <c r="H46" s="16">
        <v>5.3068340306833925E-2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151.01</v>
      </c>
      <c r="C47" s="16">
        <v>5.3068340306833925E-2</v>
      </c>
      <c r="D47" s="17">
        <v>6.999037426430732E-2</v>
      </c>
      <c r="F47" s="16">
        <v>2.1852857426660564E-2</v>
      </c>
      <c r="G47" s="16">
        <v>5.3068340306833925E-2</v>
      </c>
      <c r="H47" s="16">
        <v>7.6414952709803391E-2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143.4</v>
      </c>
      <c r="C48" s="16">
        <v>7.6414952709803391E-2</v>
      </c>
      <c r="D48" s="17">
        <v>-0.11966689694672823</v>
      </c>
      <c r="F48" s="16">
        <v>5.3068340306833925E-2</v>
      </c>
      <c r="G48" s="16">
        <v>7.6414952709803391E-2</v>
      </c>
      <c r="H48" s="16">
        <v>-9.0027322404371626E-2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4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6" bestFit="1" customWidth="1"/>
    <col min="3" max="16384" width="11.42578125" style="1"/>
  </cols>
  <sheetData>
    <row r="1" spans="1:2" x14ac:dyDescent="0.25">
      <c r="A1" s="4" t="str">
        <f>'ALL VARS'!A1</f>
        <v>Date</v>
      </c>
      <c r="B1" s="6" t="str">
        <f>'ALL VARS'!B1</f>
        <v>Close price</v>
      </c>
    </row>
    <row r="2" spans="1:2" x14ac:dyDescent="0.25">
      <c r="A2" s="4">
        <f>'ALL VARS'!A2</f>
        <v>43980</v>
      </c>
      <c r="B2" s="6">
        <f>'ALL VARS'!B2</f>
        <v>162.66999999999999</v>
      </c>
    </row>
    <row r="3" spans="1:2" x14ac:dyDescent="0.25">
      <c r="A3" s="4">
        <f>'ALL VARS'!A3</f>
        <v>43979</v>
      </c>
      <c r="B3" s="6">
        <f>'ALL VARS'!B3</f>
        <v>162</v>
      </c>
    </row>
    <row r="4" spans="1:2" x14ac:dyDescent="0.25">
      <c r="A4" s="4">
        <f>'ALL VARS'!A4</f>
        <v>43978</v>
      </c>
      <c r="B4" s="6">
        <f>'ALL VARS'!B4</f>
        <v>160.01</v>
      </c>
    </row>
    <row r="5" spans="1:2" x14ac:dyDescent="0.25">
      <c r="A5" s="4">
        <f>'ALL VARS'!A5</f>
        <v>43977</v>
      </c>
      <c r="B5" s="6">
        <f>'ALL VARS'!B5</f>
        <v>158.72</v>
      </c>
    </row>
    <row r="6" spans="1:2" x14ac:dyDescent="0.25">
      <c r="A6" s="4">
        <f>'ALL VARS'!A6</f>
        <v>43976</v>
      </c>
      <c r="B6" s="6">
        <f>'ALL VARS'!B6</f>
        <v>156.52000000000001</v>
      </c>
    </row>
    <row r="7" spans="1:2" x14ac:dyDescent="0.25">
      <c r="A7" s="4">
        <f>'ALL VARS'!A7</f>
        <v>43973</v>
      </c>
      <c r="B7" s="6">
        <f>'ALL VARS'!B7</f>
        <v>154.76</v>
      </c>
    </row>
    <row r="8" spans="1:2" x14ac:dyDescent="0.25">
      <c r="A8" s="4">
        <f>'ALL VARS'!A8</f>
        <v>43972</v>
      </c>
      <c r="B8" s="6">
        <f>'ALL VARS'!B8</f>
        <v>154.65</v>
      </c>
    </row>
    <row r="9" spans="1:2" x14ac:dyDescent="0.25">
      <c r="A9" s="4">
        <f>'ALL VARS'!A9</f>
        <v>43971</v>
      </c>
      <c r="B9" s="6">
        <f>'ALL VARS'!B9</f>
        <v>155.80000000000001</v>
      </c>
    </row>
    <row r="10" spans="1:2" x14ac:dyDescent="0.25">
      <c r="A10" s="4">
        <f>'ALL VARS'!A10</f>
        <v>43970</v>
      </c>
      <c r="B10" s="6">
        <f>'ALL VARS'!B10</f>
        <v>156.07</v>
      </c>
    </row>
    <row r="11" spans="1:2" x14ac:dyDescent="0.25">
      <c r="A11" s="4">
        <f>'ALL VARS'!A11</f>
        <v>43966</v>
      </c>
      <c r="B11" s="6">
        <f>'ALL VARS'!B11</f>
        <v>155.44</v>
      </c>
    </row>
    <row r="12" spans="1:2" x14ac:dyDescent="0.25">
      <c r="A12" s="4">
        <f>'ALL VARS'!A12</f>
        <v>43965</v>
      </c>
      <c r="B12" s="6">
        <f>'ALL VARS'!B12</f>
        <v>155.16999999999999</v>
      </c>
    </row>
    <row r="13" spans="1:2" x14ac:dyDescent="0.25">
      <c r="A13" s="4">
        <f>'ALL VARS'!A13</f>
        <v>43964</v>
      </c>
      <c r="B13" s="6">
        <f>'ALL VARS'!B13</f>
        <v>154.76</v>
      </c>
    </row>
    <row r="14" spans="1:2" x14ac:dyDescent="0.25">
      <c r="A14" s="4">
        <f>'ALL VARS'!A14</f>
        <v>43963</v>
      </c>
      <c r="B14" s="6">
        <f>'ALL VARS'!B14</f>
        <v>158.1</v>
      </c>
    </row>
    <row r="15" spans="1:2" x14ac:dyDescent="0.25">
      <c r="A15" s="4">
        <f>'ALL VARS'!A15</f>
        <v>43962</v>
      </c>
      <c r="B15" s="6">
        <f>'ALL VARS'!B15</f>
        <v>161.26</v>
      </c>
    </row>
    <row r="16" spans="1:2" x14ac:dyDescent="0.25">
      <c r="A16" s="4">
        <f>'ALL VARS'!A16</f>
        <v>43959</v>
      </c>
      <c r="B16" s="6">
        <f>'ALL VARS'!B16</f>
        <v>159.41</v>
      </c>
    </row>
    <row r="17" spans="1:7" x14ac:dyDescent="0.25">
      <c r="A17" s="4">
        <f>'ALL VARS'!A17</f>
        <v>43958</v>
      </c>
      <c r="B17" s="6">
        <f>'ALL VARS'!B17</f>
        <v>158.62</v>
      </c>
    </row>
    <row r="18" spans="1:7" x14ac:dyDescent="0.25">
      <c r="A18" s="4">
        <f>'ALL VARS'!A18</f>
        <v>43957</v>
      </c>
      <c r="B18" s="6">
        <f>'ALL VARS'!B18</f>
        <v>159.31</v>
      </c>
    </row>
    <row r="19" spans="1:7" x14ac:dyDescent="0.25">
      <c r="A19" s="4">
        <f>'ALL VARS'!A19</f>
        <v>43956</v>
      </c>
      <c r="B19" s="6">
        <f>'ALL VARS'!B19</f>
        <v>159.38</v>
      </c>
    </row>
    <row r="20" spans="1:7" x14ac:dyDescent="0.25">
      <c r="A20" s="4">
        <f>'ALL VARS'!A20</f>
        <v>43955</v>
      </c>
      <c r="B20" s="6">
        <f>'ALL VARS'!B20</f>
        <v>159.22999999999999</v>
      </c>
      <c r="D20" s="4" t="s">
        <v>104</v>
      </c>
      <c r="E20" s="6">
        <f>MAX(B2:B48)</f>
        <v>163.77000000000001</v>
      </c>
      <c r="G20" s="5"/>
    </row>
    <row r="21" spans="1:7" x14ac:dyDescent="0.25">
      <c r="A21" s="4">
        <f>'ALL VARS'!A21</f>
        <v>43952</v>
      </c>
      <c r="B21" s="6">
        <f>'ALL VARS'!B21</f>
        <v>158.59</v>
      </c>
      <c r="D21" s="4" t="s">
        <v>31</v>
      </c>
      <c r="E21" s="6">
        <f>QUARTILE(B2:B48, 3)</f>
        <v>160.755</v>
      </c>
    </row>
    <row r="22" spans="1:7" x14ac:dyDescent="0.25">
      <c r="A22" s="4">
        <f>'ALL VARS'!A22</f>
        <v>43951</v>
      </c>
      <c r="B22" s="6">
        <f>'ALL VARS'!B22</f>
        <v>160.13999999999999</v>
      </c>
      <c r="D22" s="4" t="s">
        <v>32</v>
      </c>
      <c r="E22" s="6">
        <f>MEDIAN(B2:B48)</f>
        <v>159.19</v>
      </c>
    </row>
    <row r="23" spans="1:7" x14ac:dyDescent="0.25">
      <c r="A23" s="4">
        <f>'ALL VARS'!A23</f>
        <v>43950</v>
      </c>
      <c r="B23" s="6">
        <f>'ALL VARS'!B23</f>
        <v>162.99</v>
      </c>
      <c r="D23" s="4" t="s">
        <v>33</v>
      </c>
      <c r="E23" s="6">
        <f>QUARTILE(B2:B48, 1)</f>
        <v>156.07</v>
      </c>
    </row>
    <row r="24" spans="1:7" x14ac:dyDescent="0.25">
      <c r="A24" s="4">
        <f>'ALL VARS'!A24</f>
        <v>43949</v>
      </c>
      <c r="B24" s="6">
        <f>'ALL VARS'!B24</f>
        <v>162.54</v>
      </c>
      <c r="D24" s="4" t="s">
        <v>105</v>
      </c>
      <c r="E24" s="6">
        <f>MIN(B2:B48)</f>
        <v>143.4</v>
      </c>
    </row>
    <row r="25" spans="1:7" x14ac:dyDescent="0.25">
      <c r="A25" s="4">
        <f>'ALL VARS'!A25</f>
        <v>43948</v>
      </c>
      <c r="B25" s="6">
        <f>'ALL VARS'!B25</f>
        <v>160.68</v>
      </c>
    </row>
    <row r="26" spans="1:7" x14ac:dyDescent="0.25">
      <c r="A26" s="4">
        <f>'ALL VARS'!A26</f>
        <v>43945</v>
      </c>
      <c r="B26" s="6">
        <f>'ALL VARS'!B26</f>
        <v>159.4</v>
      </c>
    </row>
    <row r="27" spans="1:7" x14ac:dyDescent="0.25">
      <c r="A27" s="4">
        <f>'ALL VARS'!A27</f>
        <v>43944</v>
      </c>
      <c r="B27" s="6">
        <f>'ALL VARS'!B27</f>
        <v>157.74</v>
      </c>
    </row>
    <row r="28" spans="1:7" x14ac:dyDescent="0.25">
      <c r="A28" s="4">
        <f>'ALL VARS'!A28</f>
        <v>43943</v>
      </c>
      <c r="B28" s="6">
        <f>'ALL VARS'!B28</f>
        <v>159.09</v>
      </c>
    </row>
    <row r="29" spans="1:7" x14ac:dyDescent="0.25">
      <c r="A29" s="4">
        <f>'ALL VARS'!A29</f>
        <v>43942</v>
      </c>
      <c r="B29" s="6">
        <f>'ALL VARS'!B29</f>
        <v>156.94</v>
      </c>
    </row>
    <row r="30" spans="1:7" x14ac:dyDescent="0.25">
      <c r="A30" s="4">
        <f>'ALL VARS'!A30</f>
        <v>43941</v>
      </c>
      <c r="B30" s="6">
        <f>'ALL VARS'!B30</f>
        <v>162.96</v>
      </c>
    </row>
    <row r="31" spans="1:7" x14ac:dyDescent="0.25">
      <c r="A31" s="4">
        <f>'ALL VARS'!A31</f>
        <v>43938</v>
      </c>
      <c r="B31" s="6">
        <f>'ALL VARS'!B31</f>
        <v>162.82</v>
      </c>
    </row>
    <row r="32" spans="1:7" x14ac:dyDescent="0.25">
      <c r="A32" s="4">
        <f>'ALL VARS'!A32</f>
        <v>43937</v>
      </c>
      <c r="B32" s="6">
        <f>'ALL VARS'!B32</f>
        <v>159.19</v>
      </c>
    </row>
    <row r="33" spans="1:2" x14ac:dyDescent="0.25">
      <c r="A33" s="4">
        <f>'ALL VARS'!A33</f>
        <v>43936</v>
      </c>
      <c r="B33" s="6">
        <f>'ALL VARS'!B33</f>
        <v>160.44999999999999</v>
      </c>
    </row>
    <row r="34" spans="1:2" x14ac:dyDescent="0.25">
      <c r="A34" s="4">
        <f>'ALL VARS'!A34</f>
        <v>43935</v>
      </c>
      <c r="B34" s="6">
        <f>'ALL VARS'!B34</f>
        <v>163.22999999999999</v>
      </c>
    </row>
    <row r="35" spans="1:2" x14ac:dyDescent="0.25">
      <c r="A35" s="4">
        <f>'ALL VARS'!A35</f>
        <v>43934</v>
      </c>
      <c r="B35" s="6">
        <f>'ALL VARS'!B35</f>
        <v>161.31</v>
      </c>
    </row>
    <row r="36" spans="1:2" x14ac:dyDescent="0.25">
      <c r="A36" s="4">
        <f>'ALL VARS'!A36</f>
        <v>43930</v>
      </c>
      <c r="B36" s="6">
        <f>'ALL VARS'!B36</f>
        <v>160.31</v>
      </c>
    </row>
    <row r="37" spans="1:2" x14ac:dyDescent="0.25">
      <c r="A37" s="4">
        <f>'ALL VARS'!A37</f>
        <v>43929</v>
      </c>
      <c r="B37" s="6">
        <f>'ALL VARS'!B37</f>
        <v>160.83000000000001</v>
      </c>
    </row>
    <row r="38" spans="1:2" x14ac:dyDescent="0.25">
      <c r="A38" s="4">
        <f>'ALL VARS'!A38</f>
        <v>43928</v>
      </c>
      <c r="B38" s="6">
        <f>'ALL VARS'!B38</f>
        <v>163.68</v>
      </c>
    </row>
    <row r="39" spans="1:2" x14ac:dyDescent="0.25">
      <c r="A39" s="4">
        <f>'ALL VARS'!A39</f>
        <v>43927</v>
      </c>
      <c r="B39" s="6">
        <f>'ALL VARS'!B39</f>
        <v>163.77000000000001</v>
      </c>
    </row>
    <row r="40" spans="1:2" x14ac:dyDescent="0.25">
      <c r="A40" s="4">
        <f>'ALL VARS'!A40</f>
        <v>43924</v>
      </c>
      <c r="B40" s="6">
        <f>'ALL VARS'!B40</f>
        <v>157.38999999999999</v>
      </c>
    </row>
    <row r="41" spans="1:2" x14ac:dyDescent="0.25">
      <c r="A41" s="4">
        <f>'ALL VARS'!A41</f>
        <v>43923</v>
      </c>
      <c r="B41" s="6">
        <f>'ALL VARS'!B41</f>
        <v>158.99</v>
      </c>
    </row>
    <row r="42" spans="1:2" x14ac:dyDescent="0.25">
      <c r="A42" s="4">
        <f>'ALL VARS'!A42</f>
        <v>43922</v>
      </c>
      <c r="B42" s="6">
        <f>'ALL VARS'!B42</f>
        <v>156.07</v>
      </c>
    </row>
    <row r="43" spans="1:2" x14ac:dyDescent="0.25">
      <c r="A43" s="4">
        <f>'ALL VARS'!A43</f>
        <v>43921</v>
      </c>
      <c r="B43" s="6">
        <f>'ALL VARS'!B43</f>
        <v>159.68</v>
      </c>
    </row>
    <row r="44" spans="1:2" x14ac:dyDescent="0.25">
      <c r="A44" s="4">
        <f>'ALL VARS'!A44</f>
        <v>43920</v>
      </c>
      <c r="B44" s="6">
        <f>'ALL VARS'!B44</f>
        <v>154.88</v>
      </c>
    </row>
    <row r="45" spans="1:2" x14ac:dyDescent="0.25">
      <c r="A45" s="4">
        <f>'ALL VARS'!A45</f>
        <v>43917</v>
      </c>
      <c r="B45" s="6">
        <f>'ALL VARS'!B45</f>
        <v>149.97999999999999</v>
      </c>
    </row>
    <row r="46" spans="1:2" x14ac:dyDescent="0.25">
      <c r="A46" s="4">
        <f>'ALL VARS'!A46</f>
        <v>43916</v>
      </c>
      <c r="B46" s="6">
        <f>'ALL VARS'!B46</f>
        <v>154.31</v>
      </c>
    </row>
    <row r="47" spans="1:2" x14ac:dyDescent="0.25">
      <c r="A47" s="4">
        <f>'ALL VARS'!A47</f>
        <v>43915</v>
      </c>
      <c r="B47" s="6">
        <f>'ALL VARS'!B47</f>
        <v>151.01</v>
      </c>
    </row>
    <row r="48" spans="1:2" x14ac:dyDescent="0.25">
      <c r="A48" s="4">
        <f>'ALL VARS'!A48</f>
        <v>43914</v>
      </c>
      <c r="B48" s="6">
        <f>'ALL VARS'!B48</f>
        <v>143.4</v>
      </c>
    </row>
    <row r="50" spans="1:2" x14ac:dyDescent="0.25">
      <c r="A50" s="1"/>
      <c r="B50" s="5">
        <f>(B2-'[1]Close price'!$B$2)/'[1]Close price'!$B$2</f>
        <v>0.22106290346794769</v>
      </c>
    </row>
    <row r="51" spans="1:2" x14ac:dyDescent="0.25">
      <c r="A51" s="1"/>
    </row>
    <row r="52" spans="1:2" x14ac:dyDescent="0.25">
      <c r="A52" s="1"/>
    </row>
    <row r="53" spans="1:2" x14ac:dyDescent="0.25">
      <c r="A53" s="1"/>
    </row>
    <row r="54" spans="1:2" x14ac:dyDescent="0.25">
      <c r="A5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0.44539264174582877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0.19837460532132817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9.8219805828121329E-2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1.6431341733851648E-2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2.8061440127494213E-3</v>
      </c>
      <c r="L13" s="18">
        <v>5.6122880254988428E-4</v>
      </c>
      <c r="M13" s="18">
        <v>2.0787099507583648</v>
      </c>
      <c r="N13" s="18">
        <v>8.7674472384416516E-2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1.1339537629333825E-2</v>
      </c>
      <c r="L14" s="18">
        <v>2.6998899117461485E-4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8.3815230841731397E-2</v>
      </c>
      <c r="K19" s="18">
        <v>0.13095621882506034</v>
      </c>
      <c r="L19" s="18">
        <v>0.64002482351523238</v>
      </c>
      <c r="M19" s="18">
        <v>0.52563273252188414</v>
      </c>
      <c r="N19" s="18">
        <v>-0.18046511823941144</v>
      </c>
      <c r="O19" s="18">
        <v>0.34809557992287421</v>
      </c>
      <c r="P19" s="18">
        <v>-0.18046511823941144</v>
      </c>
      <c r="Q19" s="18">
        <v>0.34809557992287421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-0.21191388727895266</v>
      </c>
      <c r="K20" s="18">
        <v>0.10673952443776777</v>
      </c>
      <c r="L20" s="18">
        <v>-1.9853366257267202</v>
      </c>
      <c r="M20" s="18">
        <v>5.3662117722630666E-2</v>
      </c>
      <c r="N20" s="18">
        <v>-0.4273229685143542</v>
      </c>
      <c r="O20" s="18">
        <v>3.4951939564488721E-3</v>
      </c>
      <c r="P20" s="18">
        <v>-0.4273229685143542</v>
      </c>
      <c r="Q20" s="18">
        <v>3.4951939564488721E-3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9.5836082550879616E-3</v>
      </c>
      <c r="K21" s="18">
        <v>9.8492333695647024E-3</v>
      </c>
      <c r="L21" s="18">
        <v>0.97303088428206463</v>
      </c>
      <c r="M21" s="18">
        <v>0.33610888680502515</v>
      </c>
      <c r="N21" s="18">
        <v>-1.0292949394819433E-2</v>
      </c>
      <c r="O21" s="18">
        <v>2.9460165904995356E-2</v>
      </c>
      <c r="P21" s="18">
        <v>-1.0292949394819433E-2</v>
      </c>
      <c r="Q21" s="18">
        <v>2.9460165904995356E-2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5.9922037510629566E-4</v>
      </c>
      <c r="K22" s="18">
        <v>7.3385571560077249E-4</v>
      </c>
      <c r="L22" s="18">
        <v>0.81653704177495257</v>
      </c>
      <c r="M22" s="18">
        <v>0.41880046151362615</v>
      </c>
      <c r="N22" s="18">
        <v>-8.8176041705636057E-4</v>
      </c>
      <c r="O22" s="18">
        <v>2.080201167268952E-3</v>
      </c>
      <c r="P22" s="18">
        <v>-8.8176041705636057E-4</v>
      </c>
      <c r="Q22" s="18">
        <v>2.080201167268952E-3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1.1871855640478253E-4</v>
      </c>
      <c r="K23" s="22">
        <v>5.9644714180486973E-5</v>
      </c>
      <c r="L23" s="22">
        <v>1.9904287921564359</v>
      </c>
      <c r="M23" s="22">
        <v>5.3077813104798831E-2</v>
      </c>
      <c r="N23" s="22">
        <v>-1.6493499526941397E-6</v>
      </c>
      <c r="O23" s="22">
        <v>2.3908646276225918E-4</v>
      </c>
      <c r="P23" s="22">
        <v>-1.6493499526941397E-6</v>
      </c>
      <c r="Q23" s="22">
        <v>2.3908646276225918E-4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0.4244335335087055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0.18014382436668541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7.8252760020655454E-2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1.6617134338934872E-2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2.5482571892784904E-3</v>
      </c>
      <c r="L13" s="18">
        <v>5.0965143785569806E-4</v>
      </c>
      <c r="M13" s="18">
        <v>1.8456994893174392</v>
      </c>
      <c r="N13" s="18">
        <v>0.12527782979034716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1.1597424452804756E-2</v>
      </c>
      <c r="L14" s="18">
        <v>2.7612915363820845E-4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3.9320100640284426E-2</v>
      </c>
      <c r="K19" s="18">
        <v>0.12656806771095311</v>
      </c>
      <c r="L19" s="18">
        <v>0.31066367174128623</v>
      </c>
      <c r="M19" s="18">
        <v>0.75759286724392505</v>
      </c>
      <c r="N19" s="18">
        <v>-0.21610460096827619</v>
      </c>
      <c r="O19" s="18">
        <v>0.29474480224884503</v>
      </c>
      <c r="P19" s="18">
        <v>-0.21610460096827619</v>
      </c>
      <c r="Q19" s="18">
        <v>0.29474480224884503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-0.23977504946568962</v>
      </c>
      <c r="K20" s="18">
        <v>0.10309308558138944</v>
      </c>
      <c r="L20" s="18">
        <v>-2.325811164866078</v>
      </c>
      <c r="M20" s="18">
        <v>2.4930081132288655E-2</v>
      </c>
      <c r="N20" s="18">
        <v>-0.44782531916458779</v>
      </c>
      <c r="O20" s="18">
        <v>-3.1724779766791417E-2</v>
      </c>
      <c r="P20" s="18">
        <v>-0.44782531916458779</v>
      </c>
      <c r="Q20" s="18">
        <v>-3.1724779766791417E-2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0.11146366346002522</v>
      </c>
      <c r="K21" s="18">
        <v>0.21848438967108683</v>
      </c>
      <c r="L21" s="18">
        <v>0.51016763086747785</v>
      </c>
      <c r="M21" s="18">
        <v>0.61260483255380727</v>
      </c>
      <c r="N21" s="18">
        <v>-0.32945568568665057</v>
      </c>
      <c r="O21" s="18">
        <v>0.55238301260670097</v>
      </c>
      <c r="P21" s="18">
        <v>-0.32945568568665057</v>
      </c>
      <c r="Q21" s="18">
        <v>0.55238301260670097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79</v>
      </c>
      <c r="J22" s="18">
        <v>1.1413410452404455E-2</v>
      </c>
      <c r="K22" s="18">
        <v>1.9939167395250295E-2</v>
      </c>
      <c r="L22" s="18">
        <v>0.57241158701156403</v>
      </c>
      <c r="M22" s="18">
        <v>0.57009477084798632</v>
      </c>
      <c r="N22" s="18">
        <v>-2.8825458437384301E-2</v>
      </c>
      <c r="O22" s="18">
        <v>5.1652279342193207E-2</v>
      </c>
      <c r="P22" s="18">
        <v>-2.8825458437384301E-2</v>
      </c>
      <c r="Q22" s="18">
        <v>5.1652279342193207E-2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1.046580577602289E-4</v>
      </c>
      <c r="K23" s="22">
        <v>5.8764285642817459E-5</v>
      </c>
      <c r="L23" s="22">
        <v>1.7809806860643915</v>
      </c>
      <c r="M23" s="22">
        <v>8.2148945805412085E-2</v>
      </c>
      <c r="N23" s="22">
        <v>-1.3933071874737719E-5</v>
      </c>
      <c r="O23" s="22">
        <v>2.2324918739519552E-4</v>
      </c>
      <c r="P23" s="22">
        <v>-1.3933071874737719E-5</v>
      </c>
      <c r="Q23" s="22">
        <v>2.2324918739519552E-4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0.46425804448498825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0.21553553186902535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0.11701510633274204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1.6254511919923244E-2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3.0488970163763205E-3</v>
      </c>
      <c r="L13" s="18">
        <v>6.0977940327526406E-4</v>
      </c>
      <c r="M13" s="18">
        <v>2.3079419671019834</v>
      </c>
      <c r="N13" s="18">
        <v>6.1605759449675425E-2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1.1096784625706926E-2</v>
      </c>
      <c r="L14" s="18">
        <v>2.642091577549268E-4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9.3574699210364251E-2</v>
      </c>
      <c r="K19" s="18">
        <v>0.12920055932913002</v>
      </c>
      <c r="L19" s="18">
        <v>0.724259242345761</v>
      </c>
      <c r="M19" s="18">
        <v>0.47292194435213941</v>
      </c>
      <c r="N19" s="18">
        <v>-0.1671625855656621</v>
      </c>
      <c r="O19" s="18">
        <v>0.35431198398639063</v>
      </c>
      <c r="P19" s="18">
        <v>-0.1671625855656621</v>
      </c>
      <c r="Q19" s="18">
        <v>0.35431198398639063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-0.23567370885832728</v>
      </c>
      <c r="K20" s="18">
        <v>0.10099339205233605</v>
      </c>
      <c r="L20" s="18">
        <v>-2.3335557314106072</v>
      </c>
      <c r="M20" s="18">
        <v>2.4479699230287186E-2</v>
      </c>
      <c r="N20" s="18">
        <v>-0.43948662546471651</v>
      </c>
      <c r="O20" s="18">
        <v>-3.1860792251938025E-2</v>
      </c>
      <c r="P20" s="18">
        <v>-0.43948662546471651</v>
      </c>
      <c r="Q20" s="18">
        <v>-3.1860792251938025E-2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0.53607852775302656</v>
      </c>
      <c r="K21" s="18">
        <v>0.40524442720012038</v>
      </c>
      <c r="L21" s="18">
        <v>1.3228523127556715</v>
      </c>
      <c r="M21" s="18">
        <v>0.19304213019734578</v>
      </c>
      <c r="N21" s="18">
        <v>-0.28173783594867818</v>
      </c>
      <c r="O21" s="18">
        <v>1.3538948914547313</v>
      </c>
      <c r="P21" s="18">
        <v>-0.28173783594867818</v>
      </c>
      <c r="Q21" s="18">
        <v>1.3538948914547313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80</v>
      </c>
      <c r="J22" s="18">
        <v>1.8163547041569878E-2</v>
      </c>
      <c r="K22" s="18">
        <v>2.8486871490758126E-2</v>
      </c>
      <c r="L22" s="18">
        <v>0.63761115528121792</v>
      </c>
      <c r="M22" s="18">
        <v>0.52718778660147836</v>
      </c>
      <c r="N22" s="18">
        <v>-3.9325287084469529E-2</v>
      </c>
      <c r="O22" s="18">
        <v>7.5652381167609278E-2</v>
      </c>
      <c r="P22" s="18">
        <v>-3.9325287084469529E-2</v>
      </c>
      <c r="Q22" s="18">
        <v>7.5652381167609278E-2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9.0119673907340328E-5</v>
      </c>
      <c r="K23" s="22">
        <v>5.5507768410407348E-5</v>
      </c>
      <c r="L23" s="22">
        <v>1.6235506576489116</v>
      </c>
      <c r="M23" s="22">
        <v>0.11195463799084908</v>
      </c>
      <c r="N23" s="22">
        <v>-2.1899537885986485E-5</v>
      </c>
      <c r="O23" s="22">
        <v>2.0213888570066714E-4</v>
      </c>
      <c r="P23" s="22">
        <v>-2.1899537885986485E-5</v>
      </c>
      <c r="Q23" s="22">
        <v>2.0213888570066714E-4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0.4736020787750847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0.22429892902008153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0.12661311273627979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1.6163465858523088E-2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3.1728612425783002E-3</v>
      </c>
      <c r="L13" s="18">
        <v>6.3457224851566E-4</v>
      </c>
      <c r="M13" s="18">
        <v>2.4289137584772797</v>
      </c>
      <c r="N13" s="18">
        <v>5.1130418925347032E-2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1.0972820399504946E-2</v>
      </c>
      <c r="L14" s="18">
        <v>2.6125762855964155E-4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-1.879588995995541E-3</v>
      </c>
      <c r="K19" s="18">
        <v>0.13574744288557783</v>
      </c>
      <c r="L19" s="18">
        <v>-1.384622027524935E-2</v>
      </c>
      <c r="M19" s="18">
        <v>0.98901823240575015</v>
      </c>
      <c r="N19" s="18">
        <v>-0.27582901968777224</v>
      </c>
      <c r="O19" s="18">
        <v>0.27206984169578113</v>
      </c>
      <c r="P19" s="18">
        <v>-0.27582901968777224</v>
      </c>
      <c r="Q19" s="18">
        <v>0.27206984169578113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-0.30602729068626733</v>
      </c>
      <c r="K20" s="18">
        <v>0.11133537810057544</v>
      </c>
      <c r="L20" s="18">
        <v>-2.7486976368806677</v>
      </c>
      <c r="M20" s="18">
        <v>8.7822405009979655E-3</v>
      </c>
      <c r="N20" s="18">
        <v>-0.53071118010741214</v>
      </c>
      <c r="O20" s="18">
        <v>-8.1343401265122517E-2</v>
      </c>
      <c r="P20" s="18">
        <v>-0.53071118010741214</v>
      </c>
      <c r="Q20" s="18">
        <v>-8.1343401265122517E-2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1.4286529650352544E-2</v>
      </c>
      <c r="K21" s="18">
        <v>7.4660790431397756E-2</v>
      </c>
      <c r="L21" s="18">
        <v>0.19135251003643947</v>
      </c>
      <c r="M21" s="18">
        <v>0.84917149780742984</v>
      </c>
      <c r="N21" s="18">
        <v>-0.13638504543721378</v>
      </c>
      <c r="O21" s="18">
        <v>0.16495810473791886</v>
      </c>
      <c r="P21" s="18">
        <v>-0.13638504543721378</v>
      </c>
      <c r="Q21" s="18">
        <v>0.16495810473791886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81</v>
      </c>
      <c r="J22" s="18">
        <v>-1.0905168832659943E-2</v>
      </c>
      <c r="K22" s="18">
        <v>7.5190850844551538E-3</v>
      </c>
      <c r="L22" s="18">
        <v>-1.4503318834900709</v>
      </c>
      <c r="M22" s="18">
        <v>0.15439355382949571</v>
      </c>
      <c r="N22" s="18">
        <v>-2.6079296863533979E-2</v>
      </c>
      <c r="O22" s="18">
        <v>4.2689591982140937E-3</v>
      </c>
      <c r="P22" s="18">
        <v>-2.6079296863533979E-2</v>
      </c>
      <c r="Q22" s="18">
        <v>4.2689591982140937E-3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7.9989963261121823E-5</v>
      </c>
      <c r="K23" s="22">
        <v>5.6053027039402903E-5</v>
      </c>
      <c r="L23" s="22">
        <v>1.4270409197507259</v>
      </c>
      <c r="M23" s="22">
        <v>0.1609606888141312</v>
      </c>
      <c r="N23" s="22">
        <v>-3.3129624994684791E-5</v>
      </c>
      <c r="O23" s="22">
        <v>1.9310955151692844E-4</v>
      </c>
      <c r="P23" s="22">
        <v>-3.3129624994684791E-5</v>
      </c>
      <c r="Q23" s="22">
        <v>1.9310955151692844E-4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0.433859774696772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0.18823430409993375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8.7113761633260775E-2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1.6534940711635394E-2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2.6627025399167479E-3</v>
      </c>
      <c r="L13" s="18">
        <v>5.3254050798334958E-4</v>
      </c>
      <c r="M13" s="18">
        <v>1.9478134668973444</v>
      </c>
      <c r="N13" s="18">
        <v>0.10717614082012834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1.1482979102166498E-2</v>
      </c>
      <c r="L14" s="18">
        <v>2.7340426433729759E-4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6.3946174439775974E-2</v>
      </c>
      <c r="K19" s="18">
        <v>0.1293323638722525</v>
      </c>
      <c r="L19" s="18">
        <v>0.49443288999912305</v>
      </c>
      <c r="M19" s="18">
        <v>0.62357687226047354</v>
      </c>
      <c r="N19" s="18">
        <v>-0.19705710267307425</v>
      </c>
      <c r="O19" s="18">
        <v>0.32494945155262617</v>
      </c>
      <c r="P19" s="18">
        <v>-0.19705710267307425</v>
      </c>
      <c r="Q19" s="18">
        <v>0.32494945155262617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-0.23029494659376065</v>
      </c>
      <c r="K20" s="18">
        <v>0.10349010682532214</v>
      </c>
      <c r="L20" s="18">
        <v>-2.2252846543338545</v>
      </c>
      <c r="M20" s="18">
        <v>3.1487431338764436E-2</v>
      </c>
      <c r="N20" s="18">
        <v>-0.43914643760066963</v>
      </c>
      <c r="O20" s="18">
        <v>-2.1443455586851651E-2</v>
      </c>
      <c r="P20" s="18">
        <v>-0.43914643760066963</v>
      </c>
      <c r="Q20" s="18">
        <v>-2.1443455586851651E-2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5.1806050067523389E-2</v>
      </c>
      <c r="K21" s="18">
        <v>0.1022223393631343</v>
      </c>
      <c r="L21" s="18">
        <v>0.50679773511627191</v>
      </c>
      <c r="M21" s="18">
        <v>0.61494726212216577</v>
      </c>
      <c r="N21" s="18">
        <v>-0.15448698262051574</v>
      </c>
      <c r="O21" s="18">
        <v>0.25809908275556254</v>
      </c>
      <c r="P21" s="18">
        <v>-0.15448698262051574</v>
      </c>
      <c r="Q21" s="18">
        <v>0.25809908275556254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82</v>
      </c>
      <c r="J22" s="18">
        <v>4.24183447764235E-3</v>
      </c>
      <c r="K22" s="18">
        <v>7.4339544826247782E-3</v>
      </c>
      <c r="L22" s="18">
        <v>0.57060269706475852</v>
      </c>
      <c r="M22" s="18">
        <v>0.57130937513571134</v>
      </c>
      <c r="N22" s="18">
        <v>-1.0760493043327882E-2</v>
      </c>
      <c r="O22" s="18">
        <v>1.9244161998612584E-2</v>
      </c>
      <c r="P22" s="18">
        <v>-1.0760493043327882E-2</v>
      </c>
      <c r="Q22" s="18">
        <v>1.9244161998612584E-2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1.0725477690408089E-4</v>
      </c>
      <c r="K23" s="22">
        <v>5.8791029843244073E-5</v>
      </c>
      <c r="L23" s="22">
        <v>1.8243391413631784</v>
      </c>
      <c r="M23" s="22">
        <v>7.522031453631238E-2</v>
      </c>
      <c r="N23" s="22">
        <v>-1.1390324712423194E-5</v>
      </c>
      <c r="O23" s="22">
        <v>2.2589987852058497E-4</v>
      </c>
      <c r="P23" s="22">
        <v>-1.1390324712423194E-5</v>
      </c>
      <c r="Q23" s="22">
        <v>2.2589987852058497E-4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0.43652117617620156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0.1905507372502544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8.965080746456433E-2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1.6511332022264281E-2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2.6954700658063518E-3</v>
      </c>
      <c r="L13" s="18">
        <v>5.3909401316127041E-4</v>
      </c>
      <c r="M13" s="18">
        <v>1.977426216270453</v>
      </c>
      <c r="N13" s="18">
        <v>0.10242219553249796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1.1450211576276894E-2</v>
      </c>
      <c r="L14" s="18">
        <v>2.7262408514944984E-4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6.7601254841518368E-2</v>
      </c>
      <c r="K19" s="18">
        <v>0.13076682837970272</v>
      </c>
      <c r="L19" s="18">
        <v>0.51696026950525364</v>
      </c>
      <c r="M19" s="18">
        <v>0.60789570230686363</v>
      </c>
      <c r="N19" s="18">
        <v>-0.19629688884715962</v>
      </c>
      <c r="O19" s="18">
        <v>0.33149939853019633</v>
      </c>
      <c r="P19" s="18">
        <v>-0.19629688884715962</v>
      </c>
      <c r="Q19" s="18">
        <v>0.33149939853019633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-0.24147366589594779</v>
      </c>
      <c r="K20" s="18">
        <v>0.10215801853989569</v>
      </c>
      <c r="L20" s="18">
        <v>-2.3637269922345379</v>
      </c>
      <c r="M20" s="18">
        <v>2.2793956646447098E-2</v>
      </c>
      <c r="N20" s="18">
        <v>-0.44763689390749883</v>
      </c>
      <c r="O20" s="18">
        <v>-3.5310437884396723E-2</v>
      </c>
      <c r="P20" s="18">
        <v>-0.44763689390749883</v>
      </c>
      <c r="Q20" s="18">
        <v>-3.5310437884396723E-2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2.8318702982814487E-2</v>
      </c>
      <c r="K21" s="18">
        <v>5.9053715908095918E-2</v>
      </c>
      <c r="L21" s="18">
        <v>0.47954142338623196</v>
      </c>
      <c r="M21" s="18">
        <v>0.634041262285296</v>
      </c>
      <c r="N21" s="18">
        <v>-9.0856520574752492E-2</v>
      </c>
      <c r="O21" s="18">
        <v>0.14749392654038146</v>
      </c>
      <c r="P21" s="18">
        <v>-9.0856520574752492E-2</v>
      </c>
      <c r="Q21" s="18">
        <v>0.14749392654038146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83</v>
      </c>
      <c r="J22" s="18">
        <v>3.6003383781580251E-3</v>
      </c>
      <c r="K22" s="18">
        <v>4.4221286988304371E-3</v>
      </c>
      <c r="L22" s="18">
        <v>0.81416408778655425</v>
      </c>
      <c r="M22" s="18">
        <v>0.4201432454966143</v>
      </c>
      <c r="N22" s="18">
        <v>-5.3238786364600225E-3</v>
      </c>
      <c r="O22" s="18">
        <v>1.2524555392776074E-2</v>
      </c>
      <c r="P22" s="18">
        <v>-5.3238786364600225E-3</v>
      </c>
      <c r="Q22" s="18">
        <v>1.2524555392776074E-2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1.0342494759605339E-4</v>
      </c>
      <c r="K23" s="22">
        <v>5.6892942654623965E-5</v>
      </c>
      <c r="L23" s="22">
        <v>1.8178871186872514</v>
      </c>
      <c r="M23" s="22">
        <v>7.6218957913006993E-2</v>
      </c>
      <c r="N23" s="22">
        <v>-1.1389658994742356E-5</v>
      </c>
      <c r="O23" s="22">
        <v>2.1823955418684914E-4</v>
      </c>
      <c r="P23" s="22">
        <v>-1.1389658994742356E-5</v>
      </c>
      <c r="Q23" s="22">
        <v>2.1823955418684914E-4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0.42258642098755694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0.1785792832030727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7.6539214936698685E-2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1.6632982118169937E-2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2.5261256880620905E-3</v>
      </c>
      <c r="L13" s="18">
        <v>5.0522513761241809E-4</v>
      </c>
      <c r="M13" s="18">
        <v>1.8261847409391048</v>
      </c>
      <c r="N13" s="18">
        <v>0.12906004584746858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1.1619555954021156E-2</v>
      </c>
      <c r="L14" s="18">
        <v>2.7665609414336087E-4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5.6841684545100156E-2</v>
      </c>
      <c r="K19" s="18">
        <v>0.13083668975167162</v>
      </c>
      <c r="L19" s="18">
        <v>0.43444758999165922</v>
      </c>
      <c r="M19" s="18">
        <v>0.66618738785989329</v>
      </c>
      <c r="N19" s="18">
        <v>-0.20719744510008206</v>
      </c>
      <c r="O19" s="18">
        <v>0.32088081419028236</v>
      </c>
      <c r="P19" s="18">
        <v>-0.20719744510008206</v>
      </c>
      <c r="Q19" s="18">
        <v>0.32088081419028236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-0.22217637942610566</v>
      </c>
      <c r="K20" s="18">
        <v>0.11092191872195258</v>
      </c>
      <c r="L20" s="18">
        <v>-2.0029979825992199</v>
      </c>
      <c r="M20" s="18">
        <v>5.1659071285535901E-2</v>
      </c>
      <c r="N20" s="18">
        <v>-0.44602587404039296</v>
      </c>
      <c r="O20" s="18">
        <v>1.6731151881816675E-3</v>
      </c>
      <c r="P20" s="18">
        <v>-0.44602587404039296</v>
      </c>
      <c r="Q20" s="18">
        <v>1.6731151881816675E-3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3.907530068544468E-2</v>
      </c>
      <c r="K21" s="18">
        <v>7.6640762614249014E-2</v>
      </c>
      <c r="L21" s="18">
        <v>0.50985010264211306</v>
      </c>
      <c r="M21" s="18">
        <v>0.61282537343784038</v>
      </c>
      <c r="N21" s="18">
        <v>-0.11559202003642327</v>
      </c>
      <c r="O21" s="18">
        <v>0.19374262140731263</v>
      </c>
      <c r="P21" s="18">
        <v>-0.11559202003642327</v>
      </c>
      <c r="Q21" s="18">
        <v>0.19374262140731263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84</v>
      </c>
      <c r="J22" s="18">
        <v>2.8839361073072747E-3</v>
      </c>
      <c r="K22" s="18">
        <v>5.8395714723325992E-3</v>
      </c>
      <c r="L22" s="18">
        <v>0.49386091444742525</v>
      </c>
      <c r="M22" s="18">
        <v>0.6239773737649863</v>
      </c>
      <c r="N22" s="18">
        <v>-8.9007962333077176E-3</v>
      </c>
      <c r="O22" s="18">
        <v>1.4668668447922266E-2</v>
      </c>
      <c r="P22" s="18">
        <v>-8.9007962333077176E-3</v>
      </c>
      <c r="Q22" s="18">
        <v>1.4668668447922266E-2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1.033372777664449E-4</v>
      </c>
      <c r="K23" s="22">
        <v>5.8701569769467473E-5</v>
      </c>
      <c r="L23" s="22">
        <v>1.7603835497461238</v>
      </c>
      <c r="M23" s="22">
        <v>8.5623771695980747E-2</v>
      </c>
      <c r="N23" s="22">
        <v>-1.5127286112037836E-5</v>
      </c>
      <c r="O23" s="22">
        <v>2.2180184164492762E-4</v>
      </c>
      <c r="P23" s="22">
        <v>-1.5127286112037836E-5</v>
      </c>
      <c r="Q23" s="22">
        <v>2.2180184164492762E-4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0.53847370708262454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0.28995393321930418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0.19852097447828554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1.5464310379750672E-2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4.1015960301901428E-3</v>
      </c>
      <c r="L13" s="18">
        <v>8.2031920603802856E-4</v>
      </c>
      <c r="M13" s="18">
        <v>3.4302183379242863</v>
      </c>
      <c r="N13" s="18">
        <v>1.1113283309080711E-2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1.0044085611893103E-2</v>
      </c>
      <c r="L14" s="18">
        <v>2.3914489552126437E-4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9.6922538232966093E-2</v>
      </c>
      <c r="K19" s="18">
        <v>0.11997465290716747</v>
      </c>
      <c r="L19" s="18">
        <v>0.8078584591360447</v>
      </c>
      <c r="M19" s="18">
        <v>0.42372412466210474</v>
      </c>
      <c r="N19" s="18">
        <v>-0.14519611360098247</v>
      </c>
      <c r="O19" s="18">
        <v>0.33904119006691469</v>
      </c>
      <c r="P19" s="18">
        <v>-0.14519611360098247</v>
      </c>
      <c r="Q19" s="18">
        <v>0.33904119006691469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-0.21654196863637187</v>
      </c>
      <c r="K20" s="18">
        <v>9.6200682263104118E-2</v>
      </c>
      <c r="L20" s="18">
        <v>-2.2509400509670012</v>
      </c>
      <c r="M20" s="18">
        <v>2.9682278049307568E-2</v>
      </c>
      <c r="N20" s="18">
        <v>-0.4106828053101933</v>
      </c>
      <c r="O20" s="18">
        <v>-2.2401131962550419E-2</v>
      </c>
      <c r="P20" s="18">
        <v>-0.4106828053101933</v>
      </c>
      <c r="Q20" s="18">
        <v>-2.2401131962550419E-2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6.8483132035944999E-2</v>
      </c>
      <c r="K21" s="18">
        <v>3.6651108988287731E-2</v>
      </c>
      <c r="L21" s="18">
        <v>1.8685145941376438</v>
      </c>
      <c r="M21" s="18">
        <v>6.8676006195408174E-2</v>
      </c>
      <c r="N21" s="18">
        <v>-5.4818004013231642E-3</v>
      </c>
      <c r="O21" s="18">
        <v>0.14244806447321318</v>
      </c>
      <c r="P21" s="18">
        <v>-5.4818004013231642E-3</v>
      </c>
      <c r="Q21" s="18">
        <v>0.14244806447321318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85</v>
      </c>
      <c r="J22" s="18">
        <v>5.7531558608187629E-3</v>
      </c>
      <c r="K22" s="18">
        <v>2.5546872807356122E-3</v>
      </c>
      <c r="L22" s="18">
        <v>2.2520000409451932</v>
      </c>
      <c r="M22" s="18">
        <v>2.9609718993891431E-2</v>
      </c>
      <c r="N22" s="18">
        <v>5.9758820314321278E-4</v>
      </c>
      <c r="O22" s="18">
        <v>1.0908723518494312E-2</v>
      </c>
      <c r="P22" s="18">
        <v>5.9758820314321278E-4</v>
      </c>
      <c r="Q22" s="18">
        <v>1.0908723518494312E-2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1.4126728236042659E-4</v>
      </c>
      <c r="K23" s="22">
        <v>5.5492001299100398E-5</v>
      </c>
      <c r="L23" s="22">
        <v>2.5457233304490088</v>
      </c>
      <c r="M23" s="22">
        <v>1.4664065892254687E-2</v>
      </c>
      <c r="N23" s="22">
        <v>2.9279889885934637E-5</v>
      </c>
      <c r="O23" s="22">
        <v>2.5325467483491853E-4</v>
      </c>
      <c r="P23" s="22">
        <v>2.9279889885934637E-5</v>
      </c>
      <c r="Q23" s="22">
        <v>2.5325467483491853E-4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0.43377929435747492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0.18816447621326887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8.7037283471675428E-2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1.6535651862120884E-2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2.6617147768622472E-3</v>
      </c>
      <c r="L13" s="18">
        <v>5.3234295537244944E-4</v>
      </c>
      <c r="M13" s="18">
        <v>1.9469234270742219</v>
      </c>
      <c r="N13" s="18">
        <v>0.10732231530888464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1.1483966865220999E-2</v>
      </c>
      <c r="L14" s="18">
        <v>2.7342778250526189E-4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6.5336690108113715E-2</v>
      </c>
      <c r="K19" s="18">
        <v>0.12929747233178443</v>
      </c>
      <c r="L19" s="18">
        <v>0.50532070681518171</v>
      </c>
      <c r="M19" s="18">
        <v>0.61597523652041963</v>
      </c>
      <c r="N19" s="18">
        <v>-0.19559617302533472</v>
      </c>
      <c r="O19" s="18">
        <v>0.32626955324156215</v>
      </c>
      <c r="P19" s="18">
        <v>-0.19559617302533472</v>
      </c>
      <c r="Q19" s="18">
        <v>0.32626955324156215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-0.2115814399174345</v>
      </c>
      <c r="K20" s="18">
        <v>0.11003181688932584</v>
      </c>
      <c r="L20" s="18">
        <v>-1.9229114441530226</v>
      </c>
      <c r="M20" s="18">
        <v>6.1289184802968501E-2</v>
      </c>
      <c r="N20" s="18">
        <v>-0.43363463630965265</v>
      </c>
      <c r="O20" s="18">
        <v>1.0471756474783656E-2</v>
      </c>
      <c r="P20" s="18">
        <v>-0.43363463630965265</v>
      </c>
      <c r="Q20" s="18">
        <v>1.0471756474783656E-2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2.9845967490047715E-2</v>
      </c>
      <c r="K21" s="18">
        <v>3.9856799969786458E-2</v>
      </c>
      <c r="L21" s="18">
        <v>0.74882999921399918</v>
      </c>
      <c r="M21" s="18">
        <v>0.45813308858308377</v>
      </c>
      <c r="N21" s="18">
        <v>-5.0588311261873131E-2</v>
      </c>
      <c r="O21" s="18">
        <v>0.11028024624196855</v>
      </c>
      <c r="P21" s="18">
        <v>-5.0588311261873131E-2</v>
      </c>
      <c r="Q21" s="18">
        <v>0.11028024624196855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86</v>
      </c>
      <c r="J22" s="18">
        <v>2.489664101612726E-3</v>
      </c>
      <c r="K22" s="18">
        <v>3.1614691196164123E-3</v>
      </c>
      <c r="L22" s="18">
        <v>0.78750226790600508</v>
      </c>
      <c r="M22" s="18">
        <v>0.43540972078990625</v>
      </c>
      <c r="N22" s="18">
        <v>-3.8904388827106975E-3</v>
      </c>
      <c r="O22" s="18">
        <v>8.8697670859361494E-3</v>
      </c>
      <c r="P22" s="18">
        <v>-3.8904388827106975E-3</v>
      </c>
      <c r="Q22" s="18">
        <v>8.8697670859361494E-3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1.1311634397078308E-4</v>
      </c>
      <c r="K23" s="22">
        <v>6.0047700545942134E-5</v>
      </c>
      <c r="L23" s="22">
        <v>1.8837747814212877</v>
      </c>
      <c r="M23" s="22">
        <v>6.6530879797008127E-2</v>
      </c>
      <c r="N23" s="22">
        <v>-8.0648217973039633E-6</v>
      </c>
      <c r="O23" s="22">
        <v>2.3429750973887013E-4</v>
      </c>
      <c r="P23" s="22">
        <v>-8.0648217973039633E-6</v>
      </c>
      <c r="Q23" s="22">
        <v>2.3429750973887013E-4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0.43313438582143921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0.18760539618091537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8.6424957721954923E-2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1.6541344617259243E-2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2.653806208712129E-3</v>
      </c>
      <c r="L13" s="18">
        <v>5.3076124174242581E-4</v>
      </c>
      <c r="M13" s="18">
        <v>1.9398028008943169</v>
      </c>
      <c r="N13" s="18">
        <v>0.10849879503024921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1.1491875433371117E-2</v>
      </c>
      <c r="L14" s="18">
        <v>2.7361608174693134E-4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3.3702563775928784E-2</v>
      </c>
      <c r="K19" s="18">
        <v>0.12604662250949619</v>
      </c>
      <c r="L19" s="18">
        <v>0.26738172832349932</v>
      </c>
      <c r="M19" s="18">
        <v>0.79048392072415485</v>
      </c>
      <c r="N19" s="18">
        <v>-0.22066981881254916</v>
      </c>
      <c r="O19" s="18">
        <v>0.28807494636440673</v>
      </c>
      <c r="P19" s="18">
        <v>-0.22066981881254916</v>
      </c>
      <c r="Q19" s="18">
        <v>0.28807494636440673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-0.27453088729219888</v>
      </c>
      <c r="K20" s="18">
        <v>0.10730193645445101</v>
      </c>
      <c r="L20" s="18">
        <v>-2.5584895889435835</v>
      </c>
      <c r="M20" s="18">
        <v>1.4207719809040741E-2</v>
      </c>
      <c r="N20" s="18">
        <v>-0.49107496192791406</v>
      </c>
      <c r="O20" s="18">
        <v>-5.7986812656483699E-2</v>
      </c>
      <c r="P20" s="18">
        <v>-0.49107496192791406</v>
      </c>
      <c r="Q20" s="18">
        <v>-5.7986812656483699E-2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-2.8965973253000765E-2</v>
      </c>
      <c r="K21" s="18">
        <v>6.0942163273807595E-2</v>
      </c>
      <c r="L21" s="18">
        <v>-0.47530267547049948</v>
      </c>
      <c r="M21" s="18">
        <v>0.63703391520768893</v>
      </c>
      <c r="N21" s="18">
        <v>-0.15195223788604617</v>
      </c>
      <c r="O21" s="18">
        <v>9.402029138004464E-2</v>
      </c>
      <c r="P21" s="18">
        <v>-0.15195223788604617</v>
      </c>
      <c r="Q21" s="18">
        <v>9.402029138004464E-2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87</v>
      </c>
      <c r="J22" s="18">
        <v>-3.5684697506194124E-3</v>
      </c>
      <c r="K22" s="18">
        <v>4.0900885576005113E-3</v>
      </c>
      <c r="L22" s="18">
        <v>-0.87246760072913643</v>
      </c>
      <c r="M22" s="18">
        <v>0.38791400668982878</v>
      </c>
      <c r="N22" s="18">
        <v>-1.1822602631620095E-2</v>
      </c>
      <c r="O22" s="18">
        <v>4.6856631303812688E-3</v>
      </c>
      <c r="P22" s="18">
        <v>-1.1822602631620095E-2</v>
      </c>
      <c r="Q22" s="18">
        <v>4.6856631303812688E-3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8.1608526113900338E-5</v>
      </c>
      <c r="K23" s="22">
        <v>5.9565518395875607E-5</v>
      </c>
      <c r="L23" s="22">
        <v>1.3700632230131151</v>
      </c>
      <c r="M23" s="22">
        <v>0.17794695676536643</v>
      </c>
      <c r="N23" s="22">
        <v>-3.8599556679711782E-5</v>
      </c>
      <c r="O23" s="22">
        <v>2.0181660890751247E-4</v>
      </c>
      <c r="P23" s="22">
        <v>-3.8599556679711782E-5</v>
      </c>
      <c r="Q23" s="22">
        <v>2.0181660890751247E-4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0.42121941508893385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0.17742579564786357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7.5275871423850588E-2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1.6644656529774732E-2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2.509808820327997E-3</v>
      </c>
      <c r="L13" s="18">
        <v>5.0196176406559941E-4</v>
      </c>
      <c r="M13" s="18">
        <v>1.8118446646596242</v>
      </c>
      <c r="N13" s="18">
        <v>0.13190946591423469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1.1635872821755249E-2</v>
      </c>
      <c r="L14" s="18">
        <v>2.770445909941726E-4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4.9570360131434107E-2</v>
      </c>
      <c r="K19" s="18">
        <v>0.13305084185032842</v>
      </c>
      <c r="L19" s="18">
        <v>0.37256705363200038</v>
      </c>
      <c r="M19" s="18">
        <v>0.71134423101299993</v>
      </c>
      <c r="N19" s="18">
        <v>-0.21893710935130445</v>
      </c>
      <c r="O19" s="18">
        <v>0.31807782961417269</v>
      </c>
      <c r="P19" s="18">
        <v>-0.21893710935130445</v>
      </c>
      <c r="Q19" s="18">
        <v>0.31807782961417269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-0.24235966533098921</v>
      </c>
      <c r="K20" s="18">
        <v>0.1043199272656434</v>
      </c>
      <c r="L20" s="18">
        <v>-2.3232346080326272</v>
      </c>
      <c r="M20" s="18">
        <v>2.5081559194676833E-2</v>
      </c>
      <c r="N20" s="18">
        <v>-0.45288580178513527</v>
      </c>
      <c r="O20" s="18">
        <v>-3.1833528876843126E-2</v>
      </c>
      <c r="P20" s="18">
        <v>-0.45288580178513527</v>
      </c>
      <c r="Q20" s="18">
        <v>-3.1833528876843126E-2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5.7757419299418147E-2</v>
      </c>
      <c r="K21" s="18">
        <v>0.13090596208691027</v>
      </c>
      <c r="L21" s="18">
        <v>0.44121305384908444</v>
      </c>
      <c r="M21" s="18">
        <v>0.66132183870979544</v>
      </c>
      <c r="N21" s="18">
        <v>-0.20642150757802069</v>
      </c>
      <c r="O21" s="18">
        <v>0.32193634617685696</v>
      </c>
      <c r="P21" s="18">
        <v>-0.20642150757802069</v>
      </c>
      <c r="Q21" s="18">
        <v>0.32193634617685696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88</v>
      </c>
      <c r="J22" s="18">
        <v>-3.3542709087128463E-4</v>
      </c>
      <c r="K22" s="18">
        <v>9.5978391444541591E-3</v>
      </c>
      <c r="L22" s="18">
        <v>-3.4948188422714056E-2</v>
      </c>
      <c r="M22" s="18">
        <v>0.9722866271193783</v>
      </c>
      <c r="N22" s="18">
        <v>-1.9704650654888873E-2</v>
      </c>
      <c r="O22" s="18">
        <v>1.9033796473146302E-2</v>
      </c>
      <c r="P22" s="18">
        <v>-1.9704650654888873E-2</v>
      </c>
      <c r="Q22" s="18">
        <v>1.9033796473146302E-2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1.0046883456378157E-4</v>
      </c>
      <c r="K23" s="22">
        <v>5.8174604235727373E-5</v>
      </c>
      <c r="L23" s="22">
        <v>1.727022227030117</v>
      </c>
      <c r="M23" s="22">
        <v>9.1512595854398041E-2</v>
      </c>
      <c r="N23" s="22">
        <v>-1.6932269813044323E-5</v>
      </c>
      <c r="O23" s="22">
        <v>2.1786993894060746E-4</v>
      </c>
      <c r="P23" s="22">
        <v>-1.6932269813044323E-5</v>
      </c>
      <c r="Q23" s="22">
        <v>2.1786993894060746E-4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0.48435820220199888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0.23460286804035244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0.13789837928229076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1.6055754166908773E-2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3.3186174836184919E-3</v>
      </c>
      <c r="L13" s="18">
        <v>6.6372349672369838E-4</v>
      </c>
      <c r="M13" s="18">
        <v>2.5746948992263219</v>
      </c>
      <c r="N13" s="18">
        <v>4.0852693637511539E-2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1.0827064158464754E-2</v>
      </c>
      <c r="L14" s="18">
        <v>2.5778724186820845E-4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6.0840091799876463E-2</v>
      </c>
      <c r="K19" s="18">
        <v>0.12345496315045407</v>
      </c>
      <c r="L19" s="18">
        <v>0.49281203644871602</v>
      </c>
      <c r="M19" s="18">
        <v>0.62471210506474684</v>
      </c>
      <c r="N19" s="18">
        <v>-0.18830211045618039</v>
      </c>
      <c r="O19" s="18">
        <v>0.30998229405593331</v>
      </c>
      <c r="P19" s="18">
        <v>-0.18830211045618039</v>
      </c>
      <c r="Q19" s="18">
        <v>0.30998229405593331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-0.27280057184793222</v>
      </c>
      <c r="K20" s="18">
        <v>0.10041754144536671</v>
      </c>
      <c r="L20" s="18">
        <v>-2.7166625265004365</v>
      </c>
      <c r="M20" s="18">
        <v>9.5356791119691666E-3</v>
      </c>
      <c r="N20" s="18">
        <v>-0.47545137488083977</v>
      </c>
      <c r="O20" s="18">
        <v>-7.014976881502466E-2</v>
      </c>
      <c r="P20" s="18">
        <v>-0.47545137488083977</v>
      </c>
      <c r="Q20" s="18">
        <v>-7.014976881502466E-2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-1.7794480285234841E-2</v>
      </c>
      <c r="K21" s="18">
        <v>9.6119340123960607E-3</v>
      </c>
      <c r="L21" s="18">
        <v>-1.8512903087231074</v>
      </c>
      <c r="M21" s="18">
        <v>7.1167686988127393E-2</v>
      </c>
      <c r="N21" s="18">
        <v>-3.7192148444349621E-2</v>
      </c>
      <c r="O21" s="18">
        <v>1.6031878738799396E-3</v>
      </c>
      <c r="P21" s="18">
        <v>-3.7192148444349621E-2</v>
      </c>
      <c r="Q21" s="18">
        <v>1.6031878738799396E-3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-2.5220734862431188E-4</v>
      </c>
      <c r="K22" s="18">
        <v>7.0693556880399675E-4</v>
      </c>
      <c r="L22" s="18">
        <v>-0.35676143591275189</v>
      </c>
      <c r="M22" s="18">
        <v>0.72305662481996524</v>
      </c>
      <c r="N22" s="18">
        <v>-1.6788610850992085E-3</v>
      </c>
      <c r="O22" s="18">
        <v>1.1744463878505848E-3</v>
      </c>
      <c r="P22" s="18">
        <v>-1.6788610850992085E-3</v>
      </c>
      <c r="Q22" s="18">
        <v>1.1744463878505848E-3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5.4005164565472593E-5</v>
      </c>
      <c r="K23" s="22">
        <v>6.1588149304042349E-5</v>
      </c>
      <c r="L23" s="22">
        <v>0.87687591161191059</v>
      </c>
      <c r="M23" s="22">
        <v>0.38554222997706089</v>
      </c>
      <c r="N23" s="22">
        <v>-7.0284752655465886E-5</v>
      </c>
      <c r="O23" s="22">
        <v>1.7829508178641106E-4</v>
      </c>
      <c r="P23" s="22">
        <v>-7.0284752655465886E-5</v>
      </c>
      <c r="Q23" s="22">
        <v>1.7829508178641106E-4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0.49427241010777051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0.24430521539374409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0.1485247597169578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1.5953666425608557E-2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3.4558638004604791E-3</v>
      </c>
      <c r="L13" s="18">
        <v>6.9117276009209581E-4</v>
      </c>
      <c r="M13" s="18">
        <v>2.7155987458305688</v>
      </c>
      <c r="N13" s="18">
        <v>3.2900968692281166E-2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1.0689817841622767E-2</v>
      </c>
      <c r="L14" s="18">
        <v>2.545194724195897E-4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4.8328194603625897E-2</v>
      </c>
      <c r="K19" s="18">
        <v>0.12158102373994749</v>
      </c>
      <c r="L19" s="18">
        <v>0.39749784231950713</v>
      </c>
      <c r="M19" s="18">
        <v>0.69301344630282879</v>
      </c>
      <c r="N19" s="18">
        <v>-0.19703224481589726</v>
      </c>
      <c r="O19" s="18">
        <v>0.29368863402314904</v>
      </c>
      <c r="P19" s="18">
        <v>-0.19703224481589726</v>
      </c>
      <c r="Q19" s="18">
        <v>0.29368863402314904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-0.2267911834448193</v>
      </c>
      <c r="K20" s="18">
        <v>9.9256005755472207E-2</v>
      </c>
      <c r="L20" s="18">
        <v>-2.2849114440847402</v>
      </c>
      <c r="M20" s="18">
        <v>2.7434071824093593E-2</v>
      </c>
      <c r="N20" s="18">
        <v>-0.42709791255478013</v>
      </c>
      <c r="O20" s="18">
        <v>-2.6484454334858465E-2</v>
      </c>
      <c r="P20" s="18">
        <v>-0.42709791255478013</v>
      </c>
      <c r="Q20" s="18">
        <v>-2.6484454334858465E-2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-0.42242423552273489</v>
      </c>
      <c r="K21" s="18">
        <v>0.22147525441527041</v>
      </c>
      <c r="L21" s="18">
        <v>-1.9073202405298122</v>
      </c>
      <c r="M21" s="18">
        <v>6.333334692819198E-2</v>
      </c>
      <c r="N21" s="18">
        <v>-0.86937939408525233</v>
      </c>
      <c r="O21" s="18">
        <v>2.4530923039782604E-2</v>
      </c>
      <c r="P21" s="18">
        <v>-0.86937939408525233</v>
      </c>
      <c r="Q21" s="18">
        <v>2.4530923039782604E-2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89</v>
      </c>
      <c r="J22" s="18">
        <v>-3.0307419362462215E-2</v>
      </c>
      <c r="K22" s="18">
        <v>1.9859916534575688E-2</v>
      </c>
      <c r="L22" s="18">
        <v>-1.5260597550698489</v>
      </c>
      <c r="M22" s="18">
        <v>0.13449104237693926</v>
      </c>
      <c r="N22" s="18">
        <v>-7.0386353540390939E-2</v>
      </c>
      <c r="O22" s="18">
        <v>9.7715148154665019E-3</v>
      </c>
      <c r="P22" s="18">
        <v>-7.0386353540390939E-2</v>
      </c>
      <c r="Q22" s="18">
        <v>9.7715148154665019E-3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5.4817591732632735E-5</v>
      </c>
      <c r="K23" s="22">
        <v>5.7911517239233827E-5</v>
      </c>
      <c r="L23" s="22">
        <v>0.94657495341004427</v>
      </c>
      <c r="M23" s="22">
        <v>0.34926985905568453</v>
      </c>
      <c r="N23" s="22">
        <v>-6.2052581590320061E-5</v>
      </c>
      <c r="O23" s="22">
        <v>1.7168776505558555E-4</v>
      </c>
      <c r="P23" s="22">
        <v>-6.2052581590320061E-5</v>
      </c>
      <c r="Q23" s="22">
        <v>1.7168776505558555E-4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0.45466704109938538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0.20672211826207021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0.10736232000131499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1.6345566144670053E-2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2.9242252733123284E-3</v>
      </c>
      <c r="L13" s="18">
        <v>5.848450546624657E-4</v>
      </c>
      <c r="M13" s="18">
        <v>2.1889754314050762</v>
      </c>
      <c r="N13" s="18">
        <v>7.3995156740393753E-2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1.1221456368770918E-2</v>
      </c>
      <c r="L14" s="18">
        <v>2.6717753258978375E-4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4.546937123715189E-2</v>
      </c>
      <c r="K19" s="18">
        <v>0.12514714263805676</v>
      </c>
      <c r="L19" s="18">
        <v>0.36332728241871043</v>
      </c>
      <c r="M19" s="18">
        <v>0.71818279674481023</v>
      </c>
      <c r="N19" s="18">
        <v>-0.20708778748072065</v>
      </c>
      <c r="O19" s="18">
        <v>0.29802652995502443</v>
      </c>
      <c r="P19" s="18">
        <v>-0.20708778748072065</v>
      </c>
      <c r="Q19" s="18">
        <v>0.29802652995502443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-0.25071188354413199</v>
      </c>
      <c r="K20" s="18">
        <v>0.10259868695282084</v>
      </c>
      <c r="L20" s="18">
        <v>-2.4436168823429463</v>
      </c>
      <c r="M20" s="18">
        <v>1.8823526334921233E-2</v>
      </c>
      <c r="N20" s="18">
        <v>-0.45776441641681737</v>
      </c>
      <c r="O20" s="18">
        <v>-4.3659350671446606E-2</v>
      </c>
      <c r="P20" s="18">
        <v>-0.45776441641681737</v>
      </c>
      <c r="Q20" s="18">
        <v>-4.3659350671446606E-2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-0.40621381371788279</v>
      </c>
      <c r="K21" s="18">
        <v>0.40350920320503764</v>
      </c>
      <c r="L21" s="18">
        <v>-1.0067027232374446</v>
      </c>
      <c r="M21" s="18">
        <v>0.31984253895031489</v>
      </c>
      <c r="N21" s="18">
        <v>-1.2205283536248195</v>
      </c>
      <c r="O21" s="18">
        <v>0.40810072618905391</v>
      </c>
      <c r="P21" s="18">
        <v>-1.2205283536248195</v>
      </c>
      <c r="Q21" s="18">
        <v>0.40810072618905391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90</v>
      </c>
      <c r="J22" s="18">
        <v>2.7150861158312223E-2</v>
      </c>
      <c r="K22" s="18">
        <v>2.8263096428153424E-2</v>
      </c>
      <c r="L22" s="18">
        <v>0.96064708363895746</v>
      </c>
      <c r="M22" s="18">
        <v>0.34222774904111009</v>
      </c>
      <c r="N22" s="18">
        <v>-2.9886376608337581E-2</v>
      </c>
      <c r="O22" s="18">
        <v>8.4188098924962027E-2</v>
      </c>
      <c r="P22" s="18">
        <v>-2.9886376608337581E-2</v>
      </c>
      <c r="Q22" s="18">
        <v>8.4188098924962027E-2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8.8569700265092059E-5</v>
      </c>
      <c r="K23" s="22">
        <v>5.5746990871591596E-5</v>
      </c>
      <c r="L23" s="22">
        <v>1.5887799301868104</v>
      </c>
      <c r="M23" s="22">
        <v>0.11961060441374415</v>
      </c>
      <c r="N23" s="22">
        <v>-2.3932282000053883E-5</v>
      </c>
      <c r="O23" s="22">
        <v>2.0107168253023799E-4</v>
      </c>
      <c r="P23" s="22">
        <v>-2.3932282000053883E-5</v>
      </c>
      <c r="Q23" s="22">
        <v>2.0107168253023799E-4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0.46110681001108705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0.21261949023860074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0.11382134645180082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1.6284694846524693E-2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3.0076476198172726E-3</v>
      </c>
      <c r="L13" s="18">
        <v>6.015295239634545E-4</v>
      </c>
      <c r="M13" s="18">
        <v>2.2682854044043599</v>
      </c>
      <c r="N13" s="18">
        <v>6.54870436544637E-2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1.1138034022265974E-2</v>
      </c>
      <c r="L14" s="18">
        <v>2.6519128624442792E-4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6.4810581391539557E-2</v>
      </c>
      <c r="K19" s="18">
        <v>0.12528236853326971</v>
      </c>
      <c r="L19" s="18">
        <v>0.5173160609134605</v>
      </c>
      <c r="M19" s="18">
        <v>0.60764950437692034</v>
      </c>
      <c r="N19" s="18">
        <v>-0.18801947423120952</v>
      </c>
      <c r="O19" s="18">
        <v>0.31764063701428863</v>
      </c>
      <c r="P19" s="18">
        <v>-0.18801947423120952</v>
      </c>
      <c r="Q19" s="18">
        <v>0.31764063701428863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-0.2245175834342614</v>
      </c>
      <c r="K20" s="18">
        <v>0.10398065307557501</v>
      </c>
      <c r="L20" s="18">
        <v>-2.15922459412789</v>
      </c>
      <c r="M20" s="18">
        <v>3.6591747485373735E-2</v>
      </c>
      <c r="N20" s="18">
        <v>-0.43435903685319188</v>
      </c>
      <c r="O20" s="18">
        <v>-1.4676130015330885E-2</v>
      </c>
      <c r="P20" s="18">
        <v>-0.43435903685319188</v>
      </c>
      <c r="Q20" s="18">
        <v>-1.4676130015330885E-2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6.6704342567910418E-3</v>
      </c>
      <c r="K21" s="18">
        <v>7.2241321090468449E-2</v>
      </c>
      <c r="L21" s="18">
        <v>9.2335441214282304E-2</v>
      </c>
      <c r="M21" s="18">
        <v>0.9268705612517627</v>
      </c>
      <c r="N21" s="18">
        <v>-0.13911845402331566</v>
      </c>
      <c r="O21" s="18">
        <v>0.15245932253689773</v>
      </c>
      <c r="P21" s="18">
        <v>-0.13911845402331566</v>
      </c>
      <c r="Q21" s="18">
        <v>0.15245932253689773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91</v>
      </c>
      <c r="J22" s="18">
        <v>9.2793846330344893E-3</v>
      </c>
      <c r="K22" s="18">
        <v>6.5971007054600591E-3</v>
      </c>
      <c r="L22" s="18">
        <v>1.4065852633346116</v>
      </c>
      <c r="M22" s="18">
        <v>0.16690692310531743</v>
      </c>
      <c r="N22" s="18">
        <v>-4.0341035923051188E-3</v>
      </c>
      <c r="O22" s="18">
        <v>2.2592872858374097E-2</v>
      </c>
      <c r="P22" s="18">
        <v>-4.0341035923051188E-3</v>
      </c>
      <c r="Q22" s="18">
        <v>2.2592872858374097E-2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1.1312126569844112E-4</v>
      </c>
      <c r="K23" s="22">
        <v>5.7967397423789918E-5</v>
      </c>
      <c r="L23" s="22">
        <v>1.9514635937754894</v>
      </c>
      <c r="M23" s="22">
        <v>5.7692251815321088E-2</v>
      </c>
      <c r="N23" s="22">
        <v>-3.8616784025144446E-6</v>
      </c>
      <c r="O23" s="22">
        <v>2.3010420979939668E-4</v>
      </c>
      <c r="P23" s="22">
        <v>-3.8616784025144446E-6</v>
      </c>
      <c r="Q23" s="22">
        <v>2.3010420979939668E-4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0.53288884363268529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0.28397051966818049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0.19196771201753102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1.5529330984823392E-2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4.0169565669630203E-3</v>
      </c>
      <c r="L13" s="18">
        <v>8.0339131339260406E-4</v>
      </c>
      <c r="M13" s="18">
        <v>3.3313605525114776</v>
      </c>
      <c r="N13" s="18">
        <v>1.2893229165181872E-2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1.0128725075120226E-2</v>
      </c>
      <c r="L14" s="18">
        <v>2.4116012083619584E-4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6.4826903638779701E-2</v>
      </c>
      <c r="K19" s="18">
        <v>0.11886679056888588</v>
      </c>
      <c r="L19" s="18">
        <v>0.54537439202761262</v>
      </c>
      <c r="M19" s="18">
        <v>0.58838088643447173</v>
      </c>
      <c r="N19" s="18">
        <v>-0.17505599148104112</v>
      </c>
      <c r="O19" s="18">
        <v>0.30470979875860055</v>
      </c>
      <c r="P19" s="18">
        <v>-0.17505599148104112</v>
      </c>
      <c r="Q19" s="18">
        <v>0.30470979875860055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-0.27940714465307398</v>
      </c>
      <c r="K20" s="18">
        <v>9.6854808145917654E-2</v>
      </c>
      <c r="L20" s="18">
        <v>-2.8848040691189034</v>
      </c>
      <c r="M20" s="18">
        <v>6.1560351202930054E-3</v>
      </c>
      <c r="N20" s="18">
        <v>-0.4748680608023414</v>
      </c>
      <c r="O20" s="18">
        <v>-8.3946228503806564E-2</v>
      </c>
      <c r="P20" s="18">
        <v>-0.4748680608023414</v>
      </c>
      <c r="Q20" s="18">
        <v>-8.3946228503806564E-2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-0.20904763318920999</v>
      </c>
      <c r="K21" s="18">
        <v>9.3168443190721789E-2</v>
      </c>
      <c r="L21" s="18">
        <v>-2.2437600761587917</v>
      </c>
      <c r="M21" s="18">
        <v>3.017794914063664E-2</v>
      </c>
      <c r="N21" s="18">
        <v>-0.39706916367248546</v>
      </c>
      <c r="O21" s="18">
        <v>-2.1026102705934496E-2</v>
      </c>
      <c r="P21" s="18">
        <v>-0.39706916367248546</v>
      </c>
      <c r="Q21" s="18">
        <v>-2.1026102705934496E-2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92</v>
      </c>
      <c r="J22" s="18">
        <v>-4.6024667074746868E-3</v>
      </c>
      <c r="K22" s="18">
        <v>7.3598457913272818E-3</v>
      </c>
      <c r="L22" s="18">
        <v>-0.62534825293461394</v>
      </c>
      <c r="M22" s="18">
        <v>0.5351258094382505</v>
      </c>
      <c r="N22" s="18">
        <v>-1.9455236834517622E-2</v>
      </c>
      <c r="O22" s="18">
        <v>1.0250303419568247E-2</v>
      </c>
      <c r="P22" s="18">
        <v>-1.9455236834517622E-2</v>
      </c>
      <c r="Q22" s="18">
        <v>1.0250303419568247E-2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5.8738444213159785E-5</v>
      </c>
      <c r="K23" s="22">
        <v>5.6913800219996863E-5</v>
      </c>
      <c r="L23" s="22">
        <v>1.0320597813906272</v>
      </c>
      <c r="M23" s="22">
        <v>0.30795072334372009</v>
      </c>
      <c r="N23" s="22">
        <v>-5.611825464868033E-5</v>
      </c>
      <c r="O23" s="22">
        <v>1.7359514307499989E-4</v>
      </c>
      <c r="P23" s="22">
        <v>-5.611825464868033E-5</v>
      </c>
      <c r="Q23" s="22">
        <v>1.7359514307499989E-4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0.43070131581599785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0.18550362344563193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8.4123016154739716E-2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1.6562728123401801E-2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2.624075200714799E-3</v>
      </c>
      <c r="L13" s="18">
        <v>5.2481504014295979E-4</v>
      </c>
      <c r="M13" s="18">
        <v>1.9131213861689853</v>
      </c>
      <c r="N13" s="18">
        <v>0.11302013009995342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1.1521606441368447E-2</v>
      </c>
      <c r="L14" s="18">
        <v>2.7432396288972491E-4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2.878859300025223E-2</v>
      </c>
      <c r="K19" s="18">
        <v>0.12666807279325257</v>
      </c>
      <c r="L19" s="18">
        <v>0.22727584280247895</v>
      </c>
      <c r="M19" s="18">
        <v>0.8213119611139269</v>
      </c>
      <c r="N19" s="18">
        <v>-0.22683792703508582</v>
      </c>
      <c r="O19" s="18">
        <v>0.28441511303559025</v>
      </c>
      <c r="P19" s="18">
        <v>-0.22683792703508582</v>
      </c>
      <c r="Q19" s="18">
        <v>0.28441511303559025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-0.23821839490157604</v>
      </c>
      <c r="K20" s="18">
        <v>0.10510239632079386</v>
      </c>
      <c r="L20" s="18">
        <v>-2.26653628500044</v>
      </c>
      <c r="M20" s="18">
        <v>2.8630499068448469E-2</v>
      </c>
      <c r="N20" s="18">
        <v>-0.45032361783894292</v>
      </c>
      <c r="O20" s="18">
        <v>-2.6113171964209175E-2</v>
      </c>
      <c r="P20" s="18">
        <v>-0.45032361783894292</v>
      </c>
      <c r="Q20" s="18">
        <v>-2.6113171964209175E-2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-3.9995188844853946E-4</v>
      </c>
      <c r="K21" s="18">
        <v>5.8537764404904512E-2</v>
      </c>
      <c r="L21" s="18">
        <v>-6.8323738105555325E-3</v>
      </c>
      <c r="M21" s="18">
        <v>0.99458094724012525</v>
      </c>
      <c r="N21" s="18">
        <v>-0.11853394315788325</v>
      </c>
      <c r="O21" s="18">
        <v>0.11773403938098619</v>
      </c>
      <c r="P21" s="18">
        <v>-0.11853394315788325</v>
      </c>
      <c r="Q21" s="18">
        <v>0.11773403938098619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93</v>
      </c>
      <c r="J22" s="18">
        <v>3.8745230306572831E-3</v>
      </c>
      <c r="K22" s="18">
        <v>4.6663591574916102E-3</v>
      </c>
      <c r="L22" s="18">
        <v>0.83030964824834086</v>
      </c>
      <c r="M22" s="18">
        <v>0.41105874693539279</v>
      </c>
      <c r="N22" s="18">
        <v>-5.5425710038558354E-3</v>
      </c>
      <c r="O22" s="18">
        <v>1.3291617065170402E-2</v>
      </c>
      <c r="P22" s="18">
        <v>-5.5425710038558354E-3</v>
      </c>
      <c r="Q22" s="18">
        <v>1.3291617065170402E-2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1.0288663770375654E-4</v>
      </c>
      <c r="K23" s="22">
        <v>5.7891371372926896E-5</v>
      </c>
      <c r="L23" s="22">
        <v>1.777236145279361</v>
      </c>
      <c r="M23" s="22">
        <v>8.2771710317304653E-2</v>
      </c>
      <c r="N23" s="22">
        <v>-1.3942879615014815E-5</v>
      </c>
      <c r="O23" s="22">
        <v>2.1971615502252792E-4</v>
      </c>
      <c r="P23" s="22">
        <v>-1.3942879615014815E-5</v>
      </c>
      <c r="Q23" s="22">
        <v>2.1971615502252792E-4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0.47105088643966952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0.22188893761559844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0.12397359834089353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1.6188555165590143E-2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3.1387702714103256E-3</v>
      </c>
      <c r="L13" s="18">
        <v>6.2775405428206507E-4</v>
      </c>
      <c r="M13" s="18">
        <v>2.395374087420751</v>
      </c>
      <c r="N13" s="18">
        <v>5.3841596338974784E-2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1.1006911370672921E-2</v>
      </c>
      <c r="L14" s="18">
        <v>2.6206931834935526E-4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6.0100283362118673E-2</v>
      </c>
      <c r="K19" s="18">
        <v>0.12431995141997219</v>
      </c>
      <c r="L19" s="18">
        <v>0.48343232663509123</v>
      </c>
      <c r="M19" s="18">
        <v>0.63129964137505579</v>
      </c>
      <c r="N19" s="18">
        <v>-0.19078753589380529</v>
      </c>
      <c r="O19" s="18">
        <v>0.31098810261804266</v>
      </c>
      <c r="P19" s="18">
        <v>-0.19078753589380529</v>
      </c>
      <c r="Q19" s="18">
        <v>0.31098810261804266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-0.25731121362635173</v>
      </c>
      <c r="K20" s="18">
        <v>0.10048842949204174</v>
      </c>
      <c r="L20" s="18">
        <v>-2.5606053843913412</v>
      </c>
      <c r="M20" s="18">
        <v>1.4133353940291478E-2</v>
      </c>
      <c r="N20" s="18">
        <v>-0.46010507452920268</v>
      </c>
      <c r="O20" s="18">
        <v>-5.4517352723500778E-2</v>
      </c>
      <c r="P20" s="18">
        <v>-0.46010507452920268</v>
      </c>
      <c r="Q20" s="18">
        <v>-5.4517352723500778E-2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-0.12191575115095567</v>
      </c>
      <c r="K21" s="18">
        <v>7.4575420266486322E-2</v>
      </c>
      <c r="L21" s="18">
        <v>-1.6347980435819784</v>
      </c>
      <c r="M21" s="18">
        <v>0.10956556937618209</v>
      </c>
      <c r="N21" s="18">
        <v>-0.27241504227074764</v>
      </c>
      <c r="O21" s="18">
        <v>2.8583539968836294E-2</v>
      </c>
      <c r="P21" s="18">
        <v>-0.27241504227074764</v>
      </c>
      <c r="Q21" s="18">
        <v>2.8583539968836294E-2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94</v>
      </c>
      <c r="J22" s="18">
        <v>-4.2550025031794199E-3</v>
      </c>
      <c r="K22" s="18">
        <v>5.4778441862089996E-3</v>
      </c>
      <c r="L22" s="18">
        <v>-0.77676588791842571</v>
      </c>
      <c r="M22" s="18">
        <v>0.44164985882702301</v>
      </c>
      <c r="N22" s="18">
        <v>-1.5309739626258204E-2</v>
      </c>
      <c r="O22" s="18">
        <v>6.7997346198993636E-3</v>
      </c>
      <c r="P22" s="18">
        <v>-1.5309739626258204E-2</v>
      </c>
      <c r="Q22" s="18">
        <v>6.7997346198993636E-3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6.1870990864702804E-5</v>
      </c>
      <c r="K23" s="22">
        <v>5.9849927994012135E-5</v>
      </c>
      <c r="L23" s="22">
        <v>1.0337688438136947</v>
      </c>
      <c r="M23" s="22">
        <v>0.30716025835049954</v>
      </c>
      <c r="N23" s="22">
        <v>-5.8911053735014599E-5</v>
      </c>
      <c r="O23" s="22">
        <v>1.8265303546442021E-4</v>
      </c>
      <c r="P23" s="22">
        <v>-5.8911053735014599E-5</v>
      </c>
      <c r="Q23" s="22">
        <v>1.8265303546442021E-4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0.62460087938900111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0.39012625853351351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0.30823352125099102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1.4332015267733636E-2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5.5186018534321441E-3</v>
      </c>
      <c r="L13" s="18">
        <v>1.1037203706864289E-3</v>
      </c>
      <c r="M13" s="18">
        <v>5.3733426262976653</v>
      </c>
      <c r="N13" s="18">
        <v>6.8743839116155352E-4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8.6270797886511021E-3</v>
      </c>
      <c r="L14" s="18">
        <v>2.0540666163455004E-4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0.17816223818686283</v>
      </c>
      <c r="K19" s="18">
        <v>0.11578506979656657</v>
      </c>
      <c r="L19" s="18">
        <v>1.5387323987444361</v>
      </c>
      <c r="M19" s="18">
        <v>0.13137039862694305</v>
      </c>
      <c r="N19" s="18">
        <v>-5.5501492629144861E-2</v>
      </c>
      <c r="O19" s="18">
        <v>0.4118259690028705</v>
      </c>
      <c r="P19" s="18">
        <v>-5.5501492629144861E-2</v>
      </c>
      <c r="Q19" s="18">
        <v>0.4118259690028705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-0.28904926538513753</v>
      </c>
      <c r="K20" s="18">
        <v>8.9274982104457459E-2</v>
      </c>
      <c r="L20" s="18">
        <v>-3.2377409501682268</v>
      </c>
      <c r="M20" s="18">
        <v>2.3553038460626475E-3</v>
      </c>
      <c r="N20" s="18">
        <v>-0.46921347328958735</v>
      </c>
      <c r="O20" s="18">
        <v>-0.10888505748068772</v>
      </c>
      <c r="P20" s="18">
        <v>-0.46921347328958735</v>
      </c>
      <c r="Q20" s="18">
        <v>-0.10888505748068772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-0.12612088836202995</v>
      </c>
      <c r="K21" s="18">
        <v>3.5445334759094796E-2</v>
      </c>
      <c r="L21" s="18">
        <v>-3.5581802011241841</v>
      </c>
      <c r="M21" s="18">
        <v>9.4218454865557973E-4</v>
      </c>
      <c r="N21" s="18">
        <v>-0.19765246988963384</v>
      </c>
      <c r="O21" s="18">
        <v>-5.458930683442606E-2</v>
      </c>
      <c r="P21" s="18">
        <v>-0.19765246988963384</v>
      </c>
      <c r="Q21" s="18">
        <v>-5.458930683442606E-2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95</v>
      </c>
      <c r="J22" s="18">
        <v>-6.8723125350607329E-3</v>
      </c>
      <c r="K22" s="18">
        <v>2.5882600987558796E-3</v>
      </c>
      <c r="L22" s="18">
        <v>-2.6551862150037024</v>
      </c>
      <c r="M22" s="18">
        <v>1.1151208203545315E-2</v>
      </c>
      <c r="N22" s="18">
        <v>-1.2095632882495037E-2</v>
      </c>
      <c r="O22" s="18">
        <v>-1.6489921876264276E-3</v>
      </c>
      <c r="P22" s="18">
        <v>-1.2095632882495037E-2</v>
      </c>
      <c r="Q22" s="18">
        <v>-1.6489921876264276E-3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1.3288278460436437E-6</v>
      </c>
      <c r="K23" s="22">
        <v>5.4786135140309229E-5</v>
      </c>
      <c r="L23" s="22">
        <v>2.4254819994884994E-2</v>
      </c>
      <c r="M23" s="22">
        <v>0.98076422533169449</v>
      </c>
      <c r="N23" s="22">
        <v>-1.0923406904875312E-4</v>
      </c>
      <c r="O23" s="22">
        <v>1.118917247408404E-4</v>
      </c>
      <c r="P23" s="22">
        <v>-1.0923406904875312E-4</v>
      </c>
      <c r="Q23" s="22">
        <v>1.118917247408404E-4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0.49010486442218693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0.2402027781302902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0.1440316141426988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1.5996911616449002E-2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3.3978320289750411E-3</v>
      </c>
      <c r="L13" s="18">
        <v>6.7956640579500821E-4</v>
      </c>
      <c r="M13" s="18">
        <v>2.6555813554164769</v>
      </c>
      <c r="N13" s="18">
        <v>3.6076501705610151E-2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1.0747849613108205E-2</v>
      </c>
      <c r="L14" s="18">
        <v>2.5590118126448107E-4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4.861886699467334E-2</v>
      </c>
      <c r="K19" s="18">
        <v>0.12215410475947194</v>
      </c>
      <c r="L19" s="18">
        <v>0.39801255218075993</v>
      </c>
      <c r="M19" s="18">
        <v>0.69263690629735541</v>
      </c>
      <c r="N19" s="18">
        <v>-0.19789809674458464</v>
      </c>
      <c r="O19" s="18">
        <v>0.29513583073393135</v>
      </c>
      <c r="P19" s="18">
        <v>-0.19789809674458464</v>
      </c>
      <c r="Q19" s="18">
        <v>0.29513583073393135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-0.24812758749187125</v>
      </c>
      <c r="K20" s="18">
        <v>9.907638444309845E-2</v>
      </c>
      <c r="L20" s="18">
        <v>-2.5044069672766054</v>
      </c>
      <c r="M20" s="18">
        <v>1.623420183355222E-2</v>
      </c>
      <c r="N20" s="18">
        <v>-0.44807182611789437</v>
      </c>
      <c r="O20" s="18">
        <v>-4.818334886584813E-2</v>
      </c>
      <c r="P20" s="18">
        <v>-0.44807182611789437</v>
      </c>
      <c r="Q20" s="18">
        <v>-4.818334886584813E-2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-7.3713170972715056E-2</v>
      </c>
      <c r="K21" s="18">
        <v>3.8034509744093108E-2</v>
      </c>
      <c r="L21" s="18">
        <v>-1.9380602371025164</v>
      </c>
      <c r="M21" s="18">
        <v>5.9357501270254763E-2</v>
      </c>
      <c r="N21" s="18">
        <v>-0.15046991916293925</v>
      </c>
      <c r="O21" s="18">
        <v>3.0435772175091413E-3</v>
      </c>
      <c r="P21" s="18">
        <v>-0.15046991916293925</v>
      </c>
      <c r="Q21" s="18">
        <v>3.0435772175091413E-3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96</v>
      </c>
      <c r="J22" s="18">
        <v>-2.4864529985032836E-3</v>
      </c>
      <c r="K22" s="18">
        <v>2.8350904412049317E-3</v>
      </c>
      <c r="L22" s="18">
        <v>-0.87702775275363887</v>
      </c>
      <c r="M22" s="18">
        <v>0.38546069965802388</v>
      </c>
      <c r="N22" s="18">
        <v>-8.2078971437344328E-3</v>
      </c>
      <c r="O22" s="18">
        <v>3.2349911467278647E-3</v>
      </c>
      <c r="P22" s="18">
        <v>-8.2078971437344328E-3</v>
      </c>
      <c r="Q22" s="18">
        <v>3.2349911467278647E-3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4.4935704738802853E-5</v>
      </c>
      <c r="K23" s="22">
        <v>6.1494843252422863E-5</v>
      </c>
      <c r="L23" s="22">
        <v>0.73072313648075538</v>
      </c>
      <c r="M23" s="22">
        <v>0.46900520891670583</v>
      </c>
      <c r="N23" s="22">
        <v>-7.916591324660012E-5</v>
      </c>
      <c r="O23" s="22">
        <v>1.6903732272420584E-4</v>
      </c>
      <c r="P23" s="22">
        <v>-7.916591324660012E-5</v>
      </c>
      <c r="Q23" s="22">
        <v>1.6903732272420584E-4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0.46274258565871634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0.21413070058211442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0.11547648158993484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1.6269059827265758E-2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3.0290247202308402E-3</v>
      </c>
      <c r="L13" s="18">
        <v>6.05804944046168E-4</v>
      </c>
      <c r="M13" s="18">
        <v>2.2888002957007032</v>
      </c>
      <c r="N13" s="18">
        <v>6.3449670175479422E-2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1.1116656921852406E-2</v>
      </c>
      <c r="L14" s="18">
        <v>2.6468230766315252E-4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3.5063289784811429E-2</v>
      </c>
      <c r="K19" s="18">
        <v>0.12389016932109351</v>
      </c>
      <c r="L19" s="18">
        <v>0.2830191449164608</v>
      </c>
      <c r="M19" s="18">
        <v>0.77855245053080069</v>
      </c>
      <c r="N19" s="18">
        <v>-0.21495719408116654</v>
      </c>
      <c r="O19" s="18">
        <v>0.28508377365078941</v>
      </c>
      <c r="P19" s="18">
        <v>-0.21495719408116654</v>
      </c>
      <c r="Q19" s="18">
        <v>0.28508377365078941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-0.2433731694873989</v>
      </c>
      <c r="K20" s="18">
        <v>0.1005288562816103</v>
      </c>
      <c r="L20" s="18">
        <v>-2.4209284626260992</v>
      </c>
      <c r="M20" s="18">
        <v>1.9882133938086775E-2</v>
      </c>
      <c r="N20" s="18">
        <v>-0.4462486149545819</v>
      </c>
      <c r="O20" s="18">
        <v>-4.0497724020215925E-2</v>
      </c>
      <c r="P20" s="18">
        <v>-0.4462486149545819</v>
      </c>
      <c r="Q20" s="18">
        <v>-4.0497724020215925E-2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4.8765292544246157E-2</v>
      </c>
      <c r="K21" s="18">
        <v>6.0289919450687797E-2</v>
      </c>
      <c r="L21" s="18">
        <v>0.8088465366773655</v>
      </c>
      <c r="M21" s="18">
        <v>0.42316178980879926</v>
      </c>
      <c r="N21" s="18">
        <v>-7.2904690763584828E-2</v>
      </c>
      <c r="O21" s="18">
        <v>0.17043527585207713</v>
      </c>
      <c r="P21" s="18">
        <v>-7.2904690763584828E-2</v>
      </c>
      <c r="Q21" s="18">
        <v>0.17043527585207713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97</v>
      </c>
      <c r="J22" s="18">
        <v>5.9104736863138984E-3</v>
      </c>
      <c r="K22" s="18">
        <v>4.0339774962626033E-3</v>
      </c>
      <c r="L22" s="18">
        <v>1.465172696622584</v>
      </c>
      <c r="M22" s="18">
        <v>0.15032024897464713</v>
      </c>
      <c r="N22" s="18">
        <v>-2.2304224884750279E-3</v>
      </c>
      <c r="O22" s="18">
        <v>1.4051369861102826E-2</v>
      </c>
      <c r="P22" s="18">
        <v>-2.2304224884750279E-3</v>
      </c>
      <c r="Q22" s="18">
        <v>1.4051369861102826E-2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1.1867018097475091E-4</v>
      </c>
      <c r="K23" s="22">
        <v>5.9126657359592388E-5</v>
      </c>
      <c r="L23" s="22">
        <v>2.0070503944275231</v>
      </c>
      <c r="M23" s="22">
        <v>5.1208718980229925E-2</v>
      </c>
      <c r="N23" s="22">
        <v>-6.522443914581136E-7</v>
      </c>
      <c r="O23" s="22">
        <v>2.3799260634095994E-4</v>
      </c>
      <c r="P23" s="22">
        <v>-6.522443914581136E-7</v>
      </c>
      <c r="Q23" s="22">
        <v>2.3799260634095994E-4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-6.9465789635458014E-3</v>
      </c>
      <c r="C2" s="16">
        <f>'ALL VARS'!G2</f>
        <v>4.1358024691357251E-3</v>
      </c>
      <c r="D2" s="16">
        <f>'ALL VARS'!H2</f>
        <v>1.2436722704831005E-2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4.1358024691357251E-3</v>
      </c>
      <c r="C3" s="16">
        <f>'ALL VARS'!G3</f>
        <v>1.2436722704831005E-2</v>
      </c>
      <c r="D3" s="16">
        <f>'ALL VARS'!H3</f>
        <v>8.127520161290272E-3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1.2436722704831005E-2</v>
      </c>
      <c r="C4" s="16">
        <f>'ALL VARS'!G4</f>
        <v>8.127520161290272E-3</v>
      </c>
      <c r="D4" s="16">
        <f>'ALL VARS'!H4</f>
        <v>1.4055711730130262E-2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8.127520161290272E-3</v>
      </c>
      <c r="C5" s="16">
        <f>'ALL VARS'!G5</f>
        <v>1.4055711730130262E-2</v>
      </c>
      <c r="D5" s="16">
        <f>'ALL VARS'!H5</f>
        <v>1.1372447660894413E-2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0.47920266290709623</v>
      </c>
    </row>
    <row r="6" spans="1:14" x14ac:dyDescent="0.25">
      <c r="A6" s="20">
        <f>'ALL VARS'!A6</f>
        <v>43976</v>
      </c>
      <c r="B6" s="16">
        <f>'ALL VARS'!F6</f>
        <v>1.4055711730130262E-2</v>
      </c>
      <c r="C6" s="16">
        <f>'ALL VARS'!G6</f>
        <v>1.1372447660894413E-2</v>
      </c>
      <c r="D6" s="16">
        <f>'ALL VARS'!H6</f>
        <v>7.1128354348519375E-4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0.22963519213725209</v>
      </c>
    </row>
    <row r="7" spans="1:14" x14ac:dyDescent="0.25">
      <c r="A7" s="20">
        <f>'ALL VARS'!A7</f>
        <v>43973</v>
      </c>
      <c r="B7" s="16">
        <f>'ALL VARS'!F7</f>
        <v>1.1372447660894413E-2</v>
      </c>
      <c r="C7" s="16">
        <f>'ALL VARS'!G7</f>
        <v>7.1128354348519375E-4</v>
      </c>
      <c r="D7" s="16">
        <f>'ALL VARS'!H7</f>
        <v>-7.3812580231065825E-3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0.13245759138841895</v>
      </c>
    </row>
    <row r="8" spans="1:14" x14ac:dyDescent="0.25">
      <c r="A8" s="20">
        <f>'ALL VARS'!A8</f>
        <v>43972</v>
      </c>
      <c r="B8" s="16">
        <f>'ALL VARS'!F8</f>
        <v>7.1128354348519375E-4</v>
      </c>
      <c r="C8" s="16">
        <f>'ALL VARS'!G8</f>
        <v>-7.3812580231065825E-3</v>
      </c>
      <c r="D8" s="16">
        <f>'ALL VARS'!H8</f>
        <v>-1.72999295188045E-3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1.6107773426791015E-2</v>
      </c>
    </row>
    <row r="9" spans="1:14" ht="15.75" thickBot="1" x14ac:dyDescent="0.3">
      <c r="A9" s="20">
        <f>'ALL VARS'!A9</f>
        <v>43971</v>
      </c>
      <c r="B9" s="16">
        <f>'ALL VARS'!F9</f>
        <v>-7.3812580231065825E-3</v>
      </c>
      <c r="C9" s="16">
        <f>'ALL VARS'!G9</f>
        <v>-1.72999295188045E-3</v>
      </c>
      <c r="D9" s="16">
        <f>'ALL VARS'!H9</f>
        <v>4.0530108080287924E-3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-1.72999295188045E-3</v>
      </c>
      <c r="C10" s="16">
        <f>'ALL VARS'!G10</f>
        <v>4.0530108080287924E-3</v>
      </c>
      <c r="D10" s="16">
        <f>'ALL VARS'!H10</f>
        <v>1.7400270670877764E-3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4.0530108080287924E-3</v>
      </c>
      <c r="C11" s="16">
        <f>'ALL VARS'!G11</f>
        <v>1.7400270670877764E-3</v>
      </c>
      <c r="D11" s="16">
        <f>'ALL VARS'!H11</f>
        <v>2.6492633755492156E-3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1.7400270670877764E-3</v>
      </c>
      <c r="C12" s="16">
        <f>'ALL VARS'!G12</f>
        <v>2.6492633755492156E-3</v>
      </c>
      <c r="D12" s="16">
        <f>'ALL VARS'!H12</f>
        <v>-2.1125869702719818E-2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2.6492633755492156E-3</v>
      </c>
      <c r="C13" s="16">
        <f>'ALL VARS'!G13</f>
        <v>-2.1125869702719818E-2</v>
      </c>
      <c r="D13" s="16">
        <f>'ALL VARS'!H13</f>
        <v>-1.9595683988589834E-2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3.2483463217921858E-3</v>
      </c>
      <c r="L13" s="18">
        <v>6.4966926435843712E-4</v>
      </c>
      <c r="M13" s="18">
        <v>2.5039248863203345</v>
      </c>
      <c r="N13" s="18">
        <v>4.5552716717346016E-2</v>
      </c>
    </row>
    <row r="14" spans="1:14" x14ac:dyDescent="0.25">
      <c r="A14" s="20">
        <f>'ALL VARS'!A14</f>
        <v>43963</v>
      </c>
      <c r="B14" s="16">
        <f>'ALL VARS'!F14</f>
        <v>-2.1125869702719818E-2</v>
      </c>
      <c r="C14" s="16">
        <f>'ALL VARS'!G14</f>
        <v>-1.9595683988589834E-2</v>
      </c>
      <c r="D14" s="16">
        <f>'ALL VARS'!H14</f>
        <v>1.1605294523555576E-2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1.089733532029106E-2</v>
      </c>
      <c r="L14" s="18">
        <v>2.5946036476883475E-4</v>
      </c>
    </row>
    <row r="15" spans="1:14" ht="15.75" thickBot="1" x14ac:dyDescent="0.3">
      <c r="A15" s="20">
        <f>'ALL VARS'!A15</f>
        <v>43962</v>
      </c>
      <c r="B15" s="16">
        <f>'ALL VARS'!F15</f>
        <v>-1.9595683988589834E-2</v>
      </c>
      <c r="C15" s="16">
        <f>'ALL VARS'!G15</f>
        <v>1.1605294523555576E-2</v>
      </c>
      <c r="D15" s="16">
        <f>'ALL VARS'!H15</f>
        <v>4.9804564367670664E-3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1.4145681642083246E-2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1.1605294523555576E-2</v>
      </c>
      <c r="C16" s="16">
        <f>'ALL VARS'!G16</f>
        <v>4.9804564367670664E-3</v>
      </c>
      <c r="D16" s="16">
        <f>'ALL VARS'!H16</f>
        <v>-4.3311782060134188E-3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4.9804564367670664E-3</v>
      </c>
      <c r="C17" s="16">
        <f>'ALL VARS'!G17</f>
        <v>-4.3311782060134188E-3</v>
      </c>
      <c r="D17" s="16">
        <f>'ALL VARS'!H17</f>
        <v>-4.3920190739109787E-4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-4.3311782060134188E-3</v>
      </c>
      <c r="C18" s="16">
        <f>'ALL VARS'!G18</f>
        <v>-4.3920190739109787E-4</v>
      </c>
      <c r="D18" s="16">
        <f>'ALL VARS'!H18</f>
        <v>9.4203353639393133E-4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-4.3920190739109787E-4</v>
      </c>
      <c r="C19" s="16">
        <f>'ALL VARS'!G19</f>
        <v>9.4203353639393133E-4</v>
      </c>
      <c r="D19" s="16">
        <f>'ALL VARS'!H19</f>
        <v>4.0355634024843079E-3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4.7844089821300326E-2</v>
      </c>
      <c r="K19" s="18">
        <v>0.12281709913298837</v>
      </c>
      <c r="L19" s="18">
        <v>0.38955560877963713</v>
      </c>
      <c r="M19" s="18">
        <v>0.69883355926360624</v>
      </c>
      <c r="N19" s="18">
        <v>-0.20001085073222274</v>
      </c>
      <c r="O19" s="18">
        <v>0.29569903037482342</v>
      </c>
      <c r="P19" s="18">
        <v>-0.20001085073222274</v>
      </c>
      <c r="Q19" s="18">
        <v>0.29569903037482342</v>
      </c>
    </row>
    <row r="20" spans="1:17" x14ac:dyDescent="0.25">
      <c r="A20" s="20">
        <f>'ALL VARS'!A20</f>
        <v>43955</v>
      </c>
      <c r="B20" s="16">
        <f>'ALL VARS'!F20</f>
        <v>9.4203353639393133E-4</v>
      </c>
      <c r="C20" s="16">
        <f>'ALL VARS'!G20</f>
        <v>4.0355634024843079E-3</v>
      </c>
      <c r="D20" s="16">
        <f>'ALL VARS'!H20</f>
        <v>-9.6790308480078878E-3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-0.25865333335133295</v>
      </c>
      <c r="K20" s="18">
        <v>0.10164365488331095</v>
      </c>
      <c r="L20" s="18">
        <v>-2.5447071304969544</v>
      </c>
      <c r="M20" s="18">
        <v>1.4700960259361314E-2</v>
      </c>
      <c r="N20" s="18">
        <v>-0.46377853347893561</v>
      </c>
      <c r="O20" s="18">
        <v>-5.3528133223730318E-2</v>
      </c>
      <c r="P20" s="18">
        <v>-0.46377853347893561</v>
      </c>
      <c r="Q20" s="18">
        <v>-5.3528133223730318E-2</v>
      </c>
    </row>
    <row r="21" spans="1:17" x14ac:dyDescent="0.25">
      <c r="A21" s="20">
        <f>'ALL VARS'!A21</f>
        <v>43952</v>
      </c>
      <c r="B21" s="16">
        <f>'ALL VARS'!F21</f>
        <v>4.0355634024843079E-3</v>
      </c>
      <c r="C21" s="16">
        <f>'ALL VARS'!G21</f>
        <v>-9.6790308480078878E-3</v>
      </c>
      <c r="D21" s="16">
        <f>'ALL VARS'!H21</f>
        <v>-1.7485735321185487E-2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-0.20454505380838925</v>
      </c>
      <c r="K21" s="18">
        <v>0.12039536555246202</v>
      </c>
      <c r="L21" s="18">
        <v>-1.6989445803813701</v>
      </c>
      <c r="M21" s="18">
        <v>9.6726619864826183E-2</v>
      </c>
      <c r="N21" s="18">
        <v>-0.44751273813395109</v>
      </c>
      <c r="O21" s="18">
        <v>3.8422630517172596E-2</v>
      </c>
      <c r="P21" s="18">
        <v>-0.44751273813395109</v>
      </c>
      <c r="Q21" s="18">
        <v>3.8422630517172596E-2</v>
      </c>
    </row>
    <row r="22" spans="1:17" x14ac:dyDescent="0.25">
      <c r="A22" s="20">
        <f>'ALL VARS'!A22</f>
        <v>43951</v>
      </c>
      <c r="B22" s="16">
        <f>'ALL VARS'!F22</f>
        <v>-9.6790308480078878E-3</v>
      </c>
      <c r="C22" s="16">
        <f>'ALL VARS'!G22</f>
        <v>-1.7485735321185487E-2</v>
      </c>
      <c r="D22" s="16">
        <f>'ALL VARS'!H22</f>
        <v>2.7685492801772923E-3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98</v>
      </c>
      <c r="J22" s="18">
        <v>4.4651428484571891E-3</v>
      </c>
      <c r="K22" s="18">
        <v>9.2651818477674543E-3</v>
      </c>
      <c r="L22" s="18">
        <v>0.48192716795225271</v>
      </c>
      <c r="M22" s="18">
        <v>0.63235959082203119</v>
      </c>
      <c r="N22" s="18">
        <v>-1.4232751111807912E-2</v>
      </c>
      <c r="O22" s="18">
        <v>2.3163036808722288E-2</v>
      </c>
      <c r="P22" s="18">
        <v>-1.4232751111807912E-2</v>
      </c>
      <c r="Q22" s="18">
        <v>2.3163036808722288E-2</v>
      </c>
    </row>
    <row r="23" spans="1:17" ht="15.75" thickBot="1" x14ac:dyDescent="0.3">
      <c r="A23" s="20">
        <f>'ALL VARS'!A23</f>
        <v>43950</v>
      </c>
      <c r="B23" s="16">
        <f>'ALL VARS'!F23</f>
        <v>-1.7485735321185487E-2</v>
      </c>
      <c r="C23" s="16">
        <f>'ALL VARS'!G23</f>
        <v>2.7685492801772923E-3</v>
      </c>
      <c r="D23" s="16">
        <f>'ALL VARS'!H23</f>
        <v>1.1575802837938668E-2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7.284664515142546E-5</v>
      </c>
      <c r="K23" s="22">
        <v>5.7701331579706362E-5</v>
      </c>
      <c r="L23" s="22">
        <v>1.2624777133747418</v>
      </c>
      <c r="M23" s="22">
        <v>0.21374198599375235</v>
      </c>
      <c r="N23" s="22">
        <v>-4.3599356337840136E-5</v>
      </c>
      <c r="O23" s="22">
        <v>1.8929264664069106E-4</v>
      </c>
      <c r="P23" s="22">
        <v>-4.3599356337840136E-5</v>
      </c>
      <c r="Q23" s="22">
        <v>1.8929264664069106E-4</v>
      </c>
    </row>
    <row r="24" spans="1:17" x14ac:dyDescent="0.25">
      <c r="A24" s="20">
        <f>'ALL VARS'!A24</f>
        <v>43949</v>
      </c>
      <c r="B24" s="16">
        <f>'ALL VARS'!F24</f>
        <v>2.7685492801772923E-3</v>
      </c>
      <c r="C24" s="16">
        <f>'ALL VARS'!G24</f>
        <v>1.1575802837938668E-2</v>
      </c>
      <c r="D24" s="16">
        <f>'ALL VARS'!H24</f>
        <v>8.0301129234629925E-3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1.1575802837938668E-2</v>
      </c>
      <c r="C25" s="16">
        <f>'ALL VARS'!G25</f>
        <v>8.0301129234629925E-3</v>
      </c>
      <c r="D25" s="16">
        <f>'ALL VARS'!H25</f>
        <v>1.0523646506910083E-2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8.0301129234629925E-3</v>
      </c>
      <c r="C26" s="16">
        <f>'ALL VARS'!G26</f>
        <v>1.0523646506910083E-2</v>
      </c>
      <c r="D26" s="16">
        <f>'ALL VARS'!H26</f>
        <v>-8.4857627757872547E-3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1.0523646506910083E-2</v>
      </c>
      <c r="C27" s="16">
        <f>'ALL VARS'!G27</f>
        <v>-8.4857627757872547E-3</v>
      </c>
      <c r="D27" s="16">
        <f>'ALL VARS'!H27</f>
        <v>1.369950299477511E-2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-8.4857627757872547E-3</v>
      </c>
      <c r="C28" s="16">
        <f>'ALL VARS'!G28</f>
        <v>1.369950299477511E-2</v>
      </c>
      <c r="D28" s="16">
        <f>'ALL VARS'!H28</f>
        <v>-3.6941580756013809E-2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1.369950299477511E-2</v>
      </c>
      <c r="C29" s="16">
        <f>'ALL VARS'!G29</f>
        <v>-3.6941580756013809E-2</v>
      </c>
      <c r="D29" s="16">
        <f>'ALL VARS'!H29</f>
        <v>8.5984522785907615E-4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-3.6941580756013809E-2</v>
      </c>
      <c r="C30" s="16">
        <f>'ALL VARS'!G30</f>
        <v>8.5984522785907615E-4</v>
      </c>
      <c r="D30" s="16">
        <f>'ALL VARS'!H30</f>
        <v>2.2802939883158461E-2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8.5984522785907615E-4</v>
      </c>
      <c r="C31" s="16">
        <f>'ALL VARS'!G31</f>
        <v>2.2802939883158461E-2</v>
      </c>
      <c r="D31" s="16">
        <f>'ALL VARS'!H31</f>
        <v>-7.8529136802741734E-3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2.2802939883158461E-2</v>
      </c>
      <c r="C32" s="16">
        <f>'ALL VARS'!G32</f>
        <v>-7.8529136802741734E-3</v>
      </c>
      <c r="D32" s="16">
        <f>'ALL VARS'!H32</f>
        <v>-1.7031182993322316E-2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-7.8529136802741734E-3</v>
      </c>
      <c r="C33" s="16">
        <f>'ALL VARS'!G33</f>
        <v>-1.7031182993322316E-2</v>
      </c>
      <c r="D33" s="16">
        <f>'ALL VARS'!H33</f>
        <v>1.1902547889157445E-2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-1.7031182993322316E-2</v>
      </c>
      <c r="C34" s="16">
        <f>'ALL VARS'!G34</f>
        <v>1.1902547889157445E-2</v>
      </c>
      <c r="D34" s="16">
        <f>'ALL VARS'!H34</f>
        <v>6.2379140415445072E-3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1.1902547889157445E-2</v>
      </c>
      <c r="C35" s="16">
        <f>'ALL VARS'!G35</f>
        <v>6.2379140415445072E-3</v>
      </c>
      <c r="D35" s="16">
        <f>'ALL VARS'!H35</f>
        <v>-3.233227631660823E-3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6.2379140415445072E-3</v>
      </c>
      <c r="C36" s="16">
        <f>'ALL VARS'!G36</f>
        <v>-3.233227631660823E-3</v>
      </c>
      <c r="D36" s="16">
        <f>'ALL VARS'!H36</f>
        <v>-1.7412023460410521E-2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-3.233227631660823E-3</v>
      </c>
      <c r="C37" s="16">
        <f>'ALL VARS'!G37</f>
        <v>-1.7412023460410521E-2</v>
      </c>
      <c r="D37" s="16">
        <f>'ALL VARS'!H37</f>
        <v>-5.4955119985347384E-4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-1.7412023460410521E-2</v>
      </c>
      <c r="C38" s="16">
        <f>'ALL VARS'!G38</f>
        <v>-5.4955119985347384E-4</v>
      </c>
      <c r="D38" s="16">
        <f>'ALL VARS'!H38</f>
        <v>4.0536247537963178E-2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-5.4955119985347384E-4</v>
      </c>
      <c r="C39" s="16">
        <f>'ALL VARS'!G39</f>
        <v>4.0536247537963178E-2</v>
      </c>
      <c r="D39" s="16">
        <f>'ALL VARS'!H39</f>
        <v>-1.0063526007925169E-2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4.0536247537963178E-2</v>
      </c>
      <c r="C40" s="16">
        <f>'ALL VARS'!G40</f>
        <v>-1.0063526007925169E-2</v>
      </c>
      <c r="D40" s="16">
        <f>'ALL VARS'!H40</f>
        <v>1.8709553405523265E-2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-1.0063526007925169E-2</v>
      </c>
      <c r="C41" s="16">
        <f>'ALL VARS'!G41</f>
        <v>1.8709553405523265E-2</v>
      </c>
      <c r="D41" s="16">
        <f>'ALL VARS'!H41</f>
        <v>-2.2607715430861808E-2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1.8709553405523265E-2</v>
      </c>
      <c r="C42" s="16">
        <f>'ALL VARS'!G42</f>
        <v>-2.2607715430861808E-2</v>
      </c>
      <c r="D42" s="16">
        <f>'ALL VARS'!H42</f>
        <v>3.0991735537190156E-2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-2.2607715430861808E-2</v>
      </c>
      <c r="C43" s="16">
        <f>'ALL VARS'!G43</f>
        <v>3.0991735537190156E-2</v>
      </c>
      <c r="D43" s="16">
        <f>'ALL VARS'!H43</f>
        <v>3.2671022803040448E-2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3.0991735537190156E-2</v>
      </c>
      <c r="C44" s="16">
        <f>'ALL VARS'!G44</f>
        <v>3.2671022803040448E-2</v>
      </c>
      <c r="D44" s="16">
        <f>'ALL VARS'!H44</f>
        <v>-2.8060397900330585E-2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3.2671022803040448E-2</v>
      </c>
      <c r="C45" s="16">
        <f>'ALL VARS'!G45</f>
        <v>-2.8060397900330585E-2</v>
      </c>
      <c r="D45" s="16">
        <f>'ALL VARS'!H45</f>
        <v>2.1852857426660564E-2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-2.8060397900330585E-2</v>
      </c>
      <c r="C46" s="16">
        <f>'ALL VARS'!G46</f>
        <v>2.1852857426660564E-2</v>
      </c>
      <c r="D46" s="16">
        <f>'ALL VARS'!H46</f>
        <v>5.3068340306833925E-2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2.1852857426660564E-2</v>
      </c>
      <c r="C47" s="16">
        <f>'ALL VARS'!G47</f>
        <v>5.3068340306833925E-2</v>
      </c>
      <c r="D47" s="16">
        <f>'ALL VARS'!H47</f>
        <v>7.6414952709803391E-2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5.3068340306833925E-2</v>
      </c>
      <c r="C48" s="16">
        <f>'ALL VARS'!G48</f>
        <v>7.6414952709803391E-2</v>
      </c>
      <c r="D48" s="16">
        <f>'ALL VARS'!H48</f>
        <v>-9.0027322404371626E-2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78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>
        <f>IF('Eq7 avec Sent_t'!M21&lt;0.1,'Eq7 avec Sent_t'!J21,"-")</f>
        <v>-1.7794480285234841E-2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>
        <f>IF('Eq7 avec Sent__t_k, k=0'!M21&lt;0.1,'Eq7 avec Sent__t_k, k=0'!J21,"-")</f>
        <v>-0.42242423552273489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>
        <f>IF('Eq7 avec Sent__t_k, k=3'!M21&lt;0.1,'Eq7 avec Sent__t_k, k=3'!J21,"-")</f>
        <v>-0.20904763318920999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>
        <f>IF('Eq4 avec Sent__t_+_1_k, k=6'!M21&lt;0.1,'Eq4 avec Sent__t_+_1_k, k=6'!J21,"-")</f>
        <v>6.8483132035944999E-2</v>
      </c>
      <c r="C12" s="7">
        <f>IF('Eq4 avec Sent__t_+_1_k, k=6'!M22&lt;0.1,'Eq4 avec Sent__t_+_1_k, k=6'!J22,"-")</f>
        <v>5.7531558608187629E-3</v>
      </c>
      <c r="D12" s="7">
        <f>IF('Eq7 avec Sent__t_k, k=6'!M21&lt;0.1,'Eq7 avec Sent__t_k, k=6'!J21,"-")</f>
        <v>-0.12612088836202995</v>
      </c>
      <c r="E12" s="7">
        <f>IF('Eq7 avec Sent__t_k, k=6'!M22&lt;0.1,'Eq7 avec Sent__t_k, k=6'!J22,"-")</f>
        <v>-6.8723125350607329E-3</v>
      </c>
      <c r="G12" s="7" t="str">
        <f t="shared" si="0"/>
        <v>No</v>
      </c>
      <c r="H12" s="7" t="str">
        <f t="shared" si="1"/>
        <v>Yes</v>
      </c>
      <c r="I12" s="7" t="str">
        <f t="shared" si="2"/>
        <v>No</v>
      </c>
      <c r="J12" s="7" t="str">
        <f t="shared" si="3"/>
        <v>Yes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>
        <f>IF('Eq7 avec Sent__t_k, k=7'!M21&lt;0.1,'Eq7 avec Sent__t_k, k=7'!J21,"-")</f>
        <v>-7.3713170972715056E-2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>
        <f>IF('Eq7 avec Sent__t_k, k=9'!M21&lt;0.1,'Eq7 avec Sent__t_k, k=9'!J21,"-")</f>
        <v>-0.20454505380838925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1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