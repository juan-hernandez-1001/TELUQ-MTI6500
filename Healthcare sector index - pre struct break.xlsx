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49DC4DF9-D737-493F-A31F-16133141F041}" xr6:coauthVersionLast="47" xr6:coauthVersionMax="47" xr10:uidLastSave="{00000000-0000-0000-0000-000000000000}"/>
  <bookViews>
    <workbookView xWindow="-120" yWindow="-120" windowWidth="20730" windowHeight="11160" tabRatio="744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I14" i="112" s="1"/>
  <c r="G15" i="112"/>
  <c r="I15" i="112" s="1"/>
  <c r="G13" i="112"/>
  <c r="I13" i="112" s="1"/>
  <c r="G12" i="112"/>
  <c r="I12" i="112" s="1"/>
  <c r="G11" i="112"/>
  <c r="I11" i="112" s="1"/>
  <c r="G10" i="112"/>
  <c r="H10" i="112" s="1"/>
  <c r="G9" i="112"/>
  <c r="I9" i="112" s="1"/>
  <c r="G8" i="112"/>
  <c r="I8" i="112" s="1"/>
  <c r="G7" i="112"/>
  <c r="I7" i="112" s="1"/>
  <c r="G6" i="112"/>
  <c r="I6" i="112" s="1"/>
  <c r="G5" i="112"/>
  <c r="I5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I10" i="112"/>
  <c r="J10" i="112" s="1"/>
  <c r="H9" i="112"/>
  <c r="J9" i="112" s="1"/>
  <c r="H8" i="112"/>
  <c r="J8" i="112" s="1"/>
  <c r="H7" i="112"/>
  <c r="J7" i="112" s="1"/>
  <c r="H6" i="112"/>
  <c r="J6" i="112" s="1"/>
  <c r="H5" i="112"/>
  <c r="J5" i="112" s="1"/>
  <c r="B16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B13" i="42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<sst xmlns="http://schemas.openxmlformats.org/spreadsheetml/2006/main" count="768" uniqueCount="106">
  <si>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</si>
  <si>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</si>
  <si>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</si>
  <si>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</si>
  <si>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</si>
  <si>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</si>
  <si>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</si>
  <si>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</si>
  <si>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</si>
  <si>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</si>
  <si>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</si>
  <si>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</si>
  <si>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</si>
  <si>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</si>
  <si>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</si>
  <si>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</si>
  <si>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</si>
  <si>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</si>
  <si>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</si>
  <si>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</si>
  <si>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</si>
  <si>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</si>
  <si>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</si>
  <si>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</si>
  <si>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</si>
  <si>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</si>
  <si>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</si>
  <si>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</si>
  <si>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</si>
  <si>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</si>
  <si>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</si>
  <si>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</si>
  <si>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</si>
  <si>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</si>
  <si>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</si>
  <si>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</si>
  <si>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</si>
  <si>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</si>
  <si>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</si>
  <si>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</si>
  <si>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</si>
  <si>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</si>
  <si>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</si>
  <si>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</si>
  <si>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</si>
  <si>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</si>
  <si>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</si>
  <si>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</si>
  <si>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</si>
  <si>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</si>
  <si>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</si>
  <si>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</si>
  <si>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</si>
  <si>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</si>
  <si>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</si>
  <si>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</si>
  <si>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</si>
  <si>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</si>
  <si>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</si>
  <si>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</si>
  <si>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</si>
  <si>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</si>
  <si>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</si>
  <si>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</si>
  <si>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</si>
  <si>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</si>
  <si>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</si>
  <si>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</si>
  <si>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</si>
  <si>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</si>
  <si>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</si>
  <si>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</si>
  <si>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</si>
  <si>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</si>
  <si>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</si>
  <si>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</si>
  <si>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</si>
  <si>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</si>
  <si>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</si>
  <si>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</si>
  <si>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</si>
  <si>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</si>
  <si>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</si>
  <si>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</si>
  <si>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</si>
  <si>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</si>
  <si>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</si>
  <si>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</si>
  <si>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</si>
  <si>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</si>
  <si>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</si>
  <si>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</si>
  <si>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</si>
  <si>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</si>
  <si>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</si>
  <si>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</si>
  <si>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</si>
  <si>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</si>
  <si>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Healthcare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</si>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</sst>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80132623608968E-2"/>
          <c:y val="4.1025635001650421E-2"/>
          <c:w val="0.92737459219466722"/>
          <c:h val="0.76429553962953001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42.34</c:v>
                </c:pt>
                <c:pt idx="1">
                  <c:v>42.99</c:v>
                </c:pt>
                <c:pt idx="2">
                  <c:v>41.71</c:v>
                </c:pt>
                <c:pt idx="3">
                  <c:v>38.08</c:v>
                </c:pt>
                <c:pt idx="4">
                  <c:v>41.54</c:v>
                </c:pt>
                <c:pt idx="5">
                  <c:v>41.44</c:v>
                </c:pt>
                <c:pt idx="6">
                  <c:v>46.43</c:v>
                </c:pt>
                <c:pt idx="7">
                  <c:v>43.38</c:v>
                </c:pt>
                <c:pt idx="8">
                  <c:v>50.96</c:v>
                </c:pt>
                <c:pt idx="9">
                  <c:v>54.74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</c:valAx>
      <c:valAx>
        <c:axId val="119367040"/>
        <c:scaling>
          <c:orientation val="minMax"/>
          <c:max val="60"/>
          <c:min val="35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C1" t="str">
            <v>Date_2</v>
          </cell>
        </row>
        <row r="123">
          <cell r="G123">
            <v>52.56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42.34</v>
      </c>
      <c r="C2" s="13">
        <v>-1.5119795301232811E-2</v>
      </c>
      <c r="D2" s="14">
        <v>9.646422257646918E-2</v>
      </c>
      <c r="F2" s="13">
        <v>6.9910250354274769E-2</v>
      </c>
      <c r="G2" s="13">
        <v>-1.5119795301232811E-2</v>
      </c>
      <c r="H2" s="13">
        <v>3.0688084392232105E-2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42.99</v>
      </c>
      <c r="C3" s="13">
        <v>3.0688084392232105E-2</v>
      </c>
      <c r="D3" s="14">
        <v>-0.26341802316407364</v>
      </c>
      <c r="F3" s="13">
        <v>-1.5119795301232811E-2</v>
      </c>
      <c r="G3" s="13">
        <v>3.0688084392232105E-2</v>
      </c>
      <c r="H3" s="13">
        <v>9.5325630252100918E-2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41.71</v>
      </c>
      <c r="C4" s="13">
        <v>9.5325630252100918E-2</v>
      </c>
      <c r="D4" s="14">
        <v>-1.0060927661305124E-2</v>
      </c>
      <c r="F4" s="13">
        <v>3.0688084392232105E-2</v>
      </c>
      <c r="G4" s="13">
        <v>9.5325630252100918E-2</v>
      </c>
      <c r="H4" s="13">
        <v>-8.3293211362542155E-2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38.08</v>
      </c>
      <c r="C5" s="13">
        <v>-8.3293211362542155E-2</v>
      </c>
      <c r="D5" s="14">
        <v>-0.20595118422061204</v>
      </c>
      <c r="F5" s="13">
        <v>9.5325630252100918E-2</v>
      </c>
      <c r="G5" s="13">
        <v>-8.3293211362542155E-2</v>
      </c>
      <c r="H5" s="13">
        <v>2.4131274131274473E-3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41.54</v>
      </c>
      <c r="C6" s="13">
        <v>2.4131274131274473E-3</v>
      </c>
      <c r="D6" s="14">
        <v>-0.11883065734918301</v>
      </c>
      <c r="F6" s="13">
        <v>-8.3293211362542155E-2</v>
      </c>
      <c r="G6" s="13">
        <v>2.4131274131274473E-3</v>
      </c>
      <c r="H6" s="13">
        <v>-0.10747361619642477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41.44</v>
      </c>
      <c r="C7" s="13">
        <v>-0.10747361619642477</v>
      </c>
      <c r="D7" s="14">
        <v>3.1907220238021443E-2</v>
      </c>
      <c r="F7" s="13">
        <v>2.4131274131274473E-3</v>
      </c>
      <c r="G7" s="13">
        <v>-0.10747361619642477</v>
      </c>
      <c r="H7" s="13">
        <v>7.0308898109727916E-2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46.43</v>
      </c>
      <c r="C8" s="13">
        <v>7.0308898109727916E-2</v>
      </c>
      <c r="D8" s="14">
        <v>-0.35427594827488063</v>
      </c>
      <c r="F8" s="13">
        <v>-0.10747361619642477</v>
      </c>
      <c r="G8" s="13">
        <v>7.0308898109727916E-2</v>
      </c>
      <c r="H8" s="13">
        <v>-0.14874411302982729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43.38</v>
      </c>
      <c r="C9" s="13">
        <v>-0.14874411302982729</v>
      </c>
      <c r="D9" s="14">
        <v>-6.778317345306277E-2</v>
      </c>
      <c r="F9" s="13">
        <v>7.0308898109727916E-2</v>
      </c>
      <c r="G9" s="13">
        <v>-0.14874411302982729</v>
      </c>
      <c r="H9" s="13">
        <v>-6.9053708439897721E-2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50.96</v>
      </c>
      <c r="C10" s="13">
        <v>-6.9053708439897721E-2</v>
      </c>
      <c r="D10" s="14">
        <v>-5.6557500781491396E-2</v>
      </c>
      <c r="F10" s="13">
        <v>-0.14874411302982729</v>
      </c>
      <c r="G10" s="13">
        <v>-6.9053708439897721E-2</v>
      </c>
      <c r="H10" s="13">
        <v>4.147640791476407E-2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54.74</v>
      </c>
      <c r="C11" s="13">
        <v>4.147640791476407E-2</v>
      </c>
      <c r="D11" s="14">
        <v>4.3987865692802837E-2</v>
      </c>
      <c r="F11" s="13">
        <v>-6.9053708439897721E-2</v>
      </c>
      <c r="G11" s="13">
        <v>4.147640791476407E-2</v>
      </c>
      <c r="H11" s="13">
        <v>-9.7992105714776054E-2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workbookViewId="0">
      <selection activeCell="B13" sqref="B13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3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42.34</v>
      </c>
    </row>
    <row r="3" spans="1:2" x14ac:dyDescent="0.25">
      <c r="A3" s="17">
        <f>'ALL VARS'!A3</f>
        <v>43910</v>
      </c>
      <c r="B3" s="18">
        <f>'ALL VARS'!B3</f>
        <v>42.99</v>
      </c>
    </row>
    <row r="4" spans="1:2" x14ac:dyDescent="0.25">
      <c r="A4" s="17">
        <f>'ALL VARS'!A4</f>
        <v>43909</v>
      </c>
      <c r="B4" s="18">
        <f>'ALL VARS'!B4</f>
        <v>41.71</v>
      </c>
    </row>
    <row r="5" spans="1:2" x14ac:dyDescent="0.25">
      <c r="A5" s="17">
        <f>'ALL VARS'!A5</f>
        <v>43908</v>
      </c>
      <c r="B5" s="18">
        <f>'ALL VARS'!B5</f>
        <v>38.08</v>
      </c>
    </row>
    <row r="6" spans="1:2" x14ac:dyDescent="0.25">
      <c r="A6" s="17">
        <f>'ALL VARS'!A6</f>
        <v>43907</v>
      </c>
      <c r="B6" s="18">
        <f>'ALL VARS'!B6</f>
        <v>41.54</v>
      </c>
    </row>
    <row r="7" spans="1:2" x14ac:dyDescent="0.25">
      <c r="A7" s="17">
        <f>'ALL VARS'!A7</f>
        <v>43906</v>
      </c>
      <c r="B7" s="18">
        <f>'ALL VARS'!B7</f>
        <v>41.44</v>
      </c>
    </row>
    <row r="8" spans="1:2" x14ac:dyDescent="0.25">
      <c r="A8" s="17">
        <f>'ALL VARS'!A8</f>
        <v>43903</v>
      </c>
      <c r="B8" s="18">
        <f>'ALL VARS'!B8</f>
        <v>46.43</v>
      </c>
    </row>
    <row r="9" spans="1:2" x14ac:dyDescent="0.25">
      <c r="A9" s="17">
        <f>'ALL VARS'!A9</f>
        <v>43902</v>
      </c>
      <c r="B9" s="18">
        <f>'ALL VARS'!B9</f>
        <v>43.38</v>
      </c>
    </row>
    <row r="10" spans="1:2" x14ac:dyDescent="0.25">
      <c r="A10" s="17">
        <f>'ALL VARS'!A10</f>
        <v>43901</v>
      </c>
      <c r="B10" s="18">
        <f>'ALL VARS'!B10</f>
        <v>50.96</v>
      </c>
    </row>
    <row r="11" spans="1:2" x14ac:dyDescent="0.25">
      <c r="A11" s="17">
        <f>'ALL VARS'!A11</f>
        <v>43900</v>
      </c>
      <c r="B11" s="18">
        <f>'ALL VARS'!B11</f>
        <v>54.74</v>
      </c>
    </row>
    <row r="13" spans="1:2" x14ac:dyDescent="0.25">
      <c r="B13" s="19">
        <f>(B2-'[1]SPTSX Health Care_ret'!$G$123)/'[1]SPTSX Health Care_ret'!$G$123</f>
        <v>-0.19444444444444442</v>
      </c>
    </row>
    <row r="20" spans="4:8" x14ac:dyDescent="0.25">
      <c r="D20" s="17" t="s">
        <v>104</v>
      </c>
      <c r="E20" s="18">
        <f>MAX(B2:B11)</f>
        <v>54.74</v>
      </c>
      <c r="G20" s="19"/>
      <c r="H20" s="19"/>
    </row>
    <row r="21" spans="4:8" x14ac:dyDescent="0.25">
      <c r="D21" s="17" t="s">
        <v>31</v>
      </c>
      <c r="E21" s="18">
        <f>QUARTILE(B2:B11, 3)</f>
        <v>45.667500000000004</v>
      </c>
    </row>
    <row r="22" spans="4:8" x14ac:dyDescent="0.25">
      <c r="D22" s="17" t="s">
        <v>32</v>
      </c>
      <c r="E22" s="18">
        <f>MEDIAN(B2:B11)</f>
        <v>42.665000000000006</v>
      </c>
    </row>
    <row r="23" spans="4:8" x14ac:dyDescent="0.25">
      <c r="D23" s="17" t="s">
        <v>33</v>
      </c>
      <c r="E23" s="18">
        <f>QUARTILE(B2:B11, 1)</f>
        <v>41.582499999999996</v>
      </c>
    </row>
    <row r="24" spans="4:8" x14ac:dyDescent="0.25">
      <c r="D24" s="17" t="s">
        <v>105</v>
      </c>
      <c r="E24" s="18">
        <f>MIN(B2:B11)</f>
        <v>38.08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0.51579510735319245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0.26604459276949127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-0.52111973301491576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9.8036836762641438E-2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1.7419406194119615E-2</v>
      </c>
      <c r="L13" s="15">
        <v>3.4838812388239227E-3</v>
      </c>
      <c r="M13" s="15">
        <v>0.36248059507236013</v>
      </c>
      <c r="N13" s="15">
        <v>0.85229684149120144</v>
      </c>
    </row>
    <row r="14" spans="1:14" x14ac:dyDescent="0.25">
      <c r="I14" s="15" t="s">
        <v>63</v>
      </c>
      <c r="J14" s="15">
        <v>5</v>
      </c>
      <c r="K14" s="15">
        <v>4.8056106812124015E-2</v>
      </c>
      <c r="L14" s="15">
        <v>9.6112213624248034E-3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-0.36319634997568373</v>
      </c>
      <c r="K19" s="15">
        <v>0.7086005827262688</v>
      </c>
      <c r="L19" s="15">
        <v>-0.51255440487830628</v>
      </c>
      <c r="M19" s="15">
        <v>0.63009491300691922</v>
      </c>
      <c r="N19" s="15">
        <v>-2.1847121366531383</v>
      </c>
      <c r="O19" s="15">
        <v>1.4583194367017707</v>
      </c>
      <c r="P19" s="15">
        <v>-2.1847121366531383</v>
      </c>
      <c r="Q19" s="15">
        <v>1.4583194367017707</v>
      </c>
    </row>
    <row r="20" spans="9:17" x14ac:dyDescent="0.25">
      <c r="I20" s="15" t="s">
        <v>54</v>
      </c>
      <c r="J20" s="15">
        <v>0.25975917322491821</v>
      </c>
      <c r="K20" s="15">
        <v>0.53865283708072331</v>
      </c>
      <c r="L20" s="15">
        <v>0.48223856878338561</v>
      </c>
      <c r="M20" s="15">
        <v>0.6500061503561454</v>
      </c>
      <c r="N20" s="15">
        <v>-1.1248920254887564</v>
      </c>
      <c r="O20" s="15">
        <v>1.644410371938593</v>
      </c>
      <c r="P20" s="15">
        <v>-1.1248920254887564</v>
      </c>
      <c r="Q20" s="15">
        <v>1.644410371938593</v>
      </c>
    </row>
    <row r="21" spans="9:17" x14ac:dyDescent="0.25">
      <c r="I21" s="15" t="s">
        <v>5</v>
      </c>
      <c r="J21" s="15">
        <v>-2.8572255765789825E-2</v>
      </c>
      <c r="K21" s="15">
        <v>0.40286220506007969</v>
      </c>
      <c r="L21" s="15">
        <v>-7.0923147932253378E-2</v>
      </c>
      <c r="M21" s="15">
        <v>0.94620830172468007</v>
      </c>
      <c r="N21" s="15">
        <v>-1.0641625223576232</v>
      </c>
      <c r="O21" s="15">
        <v>1.0070180108260434</v>
      </c>
      <c r="P21" s="15">
        <v>-1.0641625223576232</v>
      </c>
      <c r="Q21" s="15">
        <v>1.0070180108260434</v>
      </c>
    </row>
    <row r="22" spans="9:17" x14ac:dyDescent="0.25">
      <c r="I22" s="15" t="s">
        <v>18</v>
      </c>
      <c r="J22" s="15">
        <v>-1.9985475299427447E-2</v>
      </c>
      <c r="K22" s="15">
        <v>2.8628651245002558E-2</v>
      </c>
      <c r="L22" s="15">
        <v>-0.69809349830674017</v>
      </c>
      <c r="M22" s="15">
        <v>0.5162431831714922</v>
      </c>
      <c r="N22" s="15">
        <v>-9.3577766168597989E-2</v>
      </c>
      <c r="O22" s="15">
        <v>5.3606815569743102E-2</v>
      </c>
      <c r="P22" s="15">
        <v>-9.3577766168597989E-2</v>
      </c>
      <c r="Q22" s="15">
        <v>5.3606815569743102E-2</v>
      </c>
    </row>
    <row r="23" spans="9:17" ht="15.75" thickBot="1" x14ac:dyDescent="0.3">
      <c r="I23" s="21" t="s">
        <v>3</v>
      </c>
      <c r="J23" s="21">
        <v>-3.9724118296647048E-4</v>
      </c>
      <c r="K23" s="21">
        <v>7.4804569731284519E-4</v>
      </c>
      <c r="L23" s="21">
        <v>-0.53103865765614799</v>
      </c>
      <c r="M23" s="21">
        <v>0.61812534968374644</v>
      </c>
      <c r="N23" s="21">
        <v>-2.3201538647047715E-3</v>
      </c>
      <c r="O23" s="21">
        <v>1.5256714987718304E-3</v>
      </c>
      <c r="P23" s="21">
        <v>-2.3201538647047715E-3</v>
      </c>
      <c r="Q23" s="21">
        <v>1.5256714987718304E-3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0.7098405925492175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0.50387366683062429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-9.3027399704876321E-2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8.0602886027947435E-2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3.2991386826072208E-2</v>
      </c>
      <c r="L13" s="15">
        <v>6.5982773652144416E-3</v>
      </c>
      <c r="M13" s="15">
        <v>1.015615646949753</v>
      </c>
      <c r="N13" s="15">
        <v>0.50818205589501242</v>
      </c>
    </row>
    <row r="14" spans="1:14" x14ac:dyDescent="0.25">
      <c r="I14" s="15" t="s">
        <v>63</v>
      </c>
      <c r="J14" s="15">
        <v>5</v>
      </c>
      <c r="K14" s="15">
        <v>3.2484126180171422E-2</v>
      </c>
      <c r="L14" s="15">
        <v>6.4968252360342845E-3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-0.39027805012235395</v>
      </c>
      <c r="K19" s="15">
        <v>0.37489451909457505</v>
      </c>
      <c r="L19" s="15">
        <v>-1.0410342916320365</v>
      </c>
      <c r="M19" s="15">
        <v>0.34555678092581682</v>
      </c>
      <c r="N19" s="15">
        <v>-1.3539750911864803</v>
      </c>
      <c r="O19" s="15">
        <v>0.5734189909417724</v>
      </c>
      <c r="P19" s="15">
        <v>-1.3539750911864803</v>
      </c>
      <c r="Q19" s="15">
        <v>0.5734189909417724</v>
      </c>
    </row>
    <row r="20" spans="9:17" x14ac:dyDescent="0.25">
      <c r="I20" s="15" t="s">
        <v>54</v>
      </c>
      <c r="J20" s="15">
        <v>9.1519570543658786E-3</v>
      </c>
      <c r="K20" s="15">
        <v>0.41796899861807912</v>
      </c>
      <c r="L20" s="15">
        <v>2.1896258058910528E-2</v>
      </c>
      <c r="M20" s="15">
        <v>0.98337766179005048</v>
      </c>
      <c r="N20" s="15">
        <v>-1.0652715586523684</v>
      </c>
      <c r="O20" s="15">
        <v>1.0835754727611002</v>
      </c>
      <c r="P20" s="15">
        <v>-1.0652715586523684</v>
      </c>
      <c r="Q20" s="15">
        <v>1.0835754727611002</v>
      </c>
    </row>
    <row r="21" spans="9:17" x14ac:dyDescent="0.25">
      <c r="I21" s="15" t="s">
        <v>8</v>
      </c>
      <c r="J21" s="15">
        <v>7.897753043497457</v>
      </c>
      <c r="K21" s="15">
        <v>4.1523898678705491</v>
      </c>
      <c r="L21" s="15">
        <v>1.9019777272377425</v>
      </c>
      <c r="M21" s="15">
        <v>0.1155696322788109</v>
      </c>
      <c r="N21" s="15">
        <v>-2.7763049253308543</v>
      </c>
      <c r="O21" s="15">
        <v>18.571811012325767</v>
      </c>
      <c r="P21" s="15">
        <v>-2.7763049253308543</v>
      </c>
      <c r="Q21" s="15">
        <v>18.571811012325767</v>
      </c>
    </row>
    <row r="22" spans="9:17" x14ac:dyDescent="0.25">
      <c r="I22" s="15" t="s">
        <v>78</v>
      </c>
      <c r="J22" s="15">
        <v>-0.63018593610484108</v>
      </c>
      <c r="K22" s="15">
        <v>0.35594683868067578</v>
      </c>
      <c r="L22" s="15">
        <v>-1.7704495942164793</v>
      </c>
      <c r="M22" s="15">
        <v>0.13686831445077857</v>
      </c>
      <c r="N22" s="15">
        <v>-1.5451764140695561</v>
      </c>
      <c r="O22" s="15">
        <v>0.28480454185987381</v>
      </c>
      <c r="P22" s="15">
        <v>-1.5451764140695561</v>
      </c>
      <c r="Q22" s="15">
        <v>0.28480454185987381</v>
      </c>
    </row>
    <row r="23" spans="9:17" ht="15.75" thickBot="1" x14ac:dyDescent="0.3">
      <c r="I23" s="21" t="s">
        <v>3</v>
      </c>
      <c r="J23" s="21">
        <v>4.0970751323402894E-4</v>
      </c>
      <c r="K23" s="21">
        <v>5.9434837863465756E-4</v>
      </c>
      <c r="L23" s="21">
        <v>0.68933899369796003</v>
      </c>
      <c r="M23" s="21">
        <v>0.52128826256154603</v>
      </c>
      <c r="N23" s="21">
        <v>-1.1181136329241168E-3</v>
      </c>
      <c r="O23" s="21">
        <v>1.9375286593921745E-3</v>
      </c>
      <c r="P23" s="21">
        <v>-1.1181136329241168E-3</v>
      </c>
      <c r="Q23" s="21">
        <v>1.9375286593921745E-3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0.56688142054647683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0.32135454496079158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-0.42156181907057516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9.4270524893041538E-2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2.1040853688195811E-2</v>
      </c>
      <c r="L13" s="15">
        <v>4.2081707376391622E-3</v>
      </c>
      <c r="M13" s="15">
        <v>0.4735234614401499</v>
      </c>
      <c r="N13" s="15">
        <v>0.78330699786098712</v>
      </c>
    </row>
    <row r="14" spans="1:14" x14ac:dyDescent="0.25">
      <c r="I14" s="15" t="s">
        <v>63</v>
      </c>
      <c r="J14" s="15">
        <v>5</v>
      </c>
      <c r="K14" s="15">
        <v>4.4434659318047819E-2</v>
      </c>
      <c r="L14" s="15">
        <v>8.886931863609563E-3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0.37087644068659514</v>
      </c>
      <c r="K19" s="15">
        <v>0.70386608881405799</v>
      </c>
      <c r="L19" s="15">
        <v>0.52691335266838013</v>
      </c>
      <c r="M19" s="15">
        <v>0.62078529959311179</v>
      </c>
      <c r="N19" s="15">
        <v>-1.4384689419391996</v>
      </c>
      <c r="O19" s="15">
        <v>2.1802218233123898</v>
      </c>
      <c r="P19" s="15">
        <v>-1.4384689419391996</v>
      </c>
      <c r="Q19" s="15">
        <v>2.1802218233123898</v>
      </c>
    </row>
    <row r="20" spans="9:17" x14ac:dyDescent="0.25">
      <c r="I20" s="15" t="s">
        <v>54</v>
      </c>
      <c r="J20" s="15">
        <v>0.62943239949348484</v>
      </c>
      <c r="K20" s="15">
        <v>0.54441841105178934</v>
      </c>
      <c r="L20" s="15">
        <v>1.1561556088403635</v>
      </c>
      <c r="M20" s="15">
        <v>0.29985515387310663</v>
      </c>
      <c r="N20" s="15">
        <v>-0.7700396789422298</v>
      </c>
      <c r="O20" s="15">
        <v>2.0289044779291996</v>
      </c>
      <c r="P20" s="15">
        <v>-0.7700396789422298</v>
      </c>
      <c r="Q20" s="15">
        <v>2.0289044779291996</v>
      </c>
    </row>
    <row r="21" spans="9:17" x14ac:dyDescent="0.25">
      <c r="I21" s="15" t="s">
        <v>9</v>
      </c>
      <c r="J21" s="15">
        <v>-5.0314253950619268</v>
      </c>
      <c r="K21" s="15">
        <v>4.4493464677027061</v>
      </c>
      <c r="L21" s="15">
        <v>-1.1308234662291339</v>
      </c>
      <c r="M21" s="15">
        <v>0.30943519056449437</v>
      </c>
      <c r="N21" s="15">
        <v>-16.468834605391102</v>
      </c>
      <c r="O21" s="15">
        <v>6.4059838152672501</v>
      </c>
      <c r="P21" s="15">
        <v>-16.468834605391102</v>
      </c>
      <c r="Q21" s="15">
        <v>6.4059838152672501</v>
      </c>
    </row>
    <row r="22" spans="9:17" x14ac:dyDescent="0.25">
      <c r="I22" s="15" t="s">
        <v>79</v>
      </c>
      <c r="J22" s="15">
        <v>-0.17432972688839943</v>
      </c>
      <c r="K22" s="15">
        <v>0.37111646670732507</v>
      </c>
      <c r="L22" s="15">
        <v>-0.46974398208496021</v>
      </c>
      <c r="M22" s="15">
        <v>0.65831123194736119</v>
      </c>
      <c r="N22" s="15">
        <v>-1.1283149751117785</v>
      </c>
      <c r="O22" s="15">
        <v>0.77965552133497962</v>
      </c>
      <c r="P22" s="15">
        <v>-1.1283149751117785</v>
      </c>
      <c r="Q22" s="15">
        <v>0.77965552133497962</v>
      </c>
    </row>
    <row r="23" spans="9:17" ht="15.75" thickBot="1" x14ac:dyDescent="0.3">
      <c r="I23" s="21" t="s">
        <v>3</v>
      </c>
      <c r="J23" s="21">
        <v>-1.9258217243053077E-4</v>
      </c>
      <c r="K23" s="21">
        <v>6.2047639744680714E-4</v>
      </c>
      <c r="L23" s="21">
        <v>-0.31037791803682696</v>
      </c>
      <c r="M23" s="21">
        <v>0.76879442719413149</v>
      </c>
      <c r="N23" s="21">
        <v>-1.787567529148352E-3</v>
      </c>
      <c r="O23" s="21">
        <v>1.4024031842872905E-3</v>
      </c>
      <c r="P23" s="21">
        <v>-1.787567529148352E-3</v>
      </c>
      <c r="Q23" s="21">
        <v>1.4024031842872905E-3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0.60871832079839661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0.37053799407561971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-0.33303161066388454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9.079025030898194E-2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2.4261165250405663E-2</v>
      </c>
      <c r="L13" s="15">
        <v>4.8522330500811329E-3</v>
      </c>
      <c r="M13" s="15">
        <v>0.5886582360621998</v>
      </c>
      <c r="N13" s="15">
        <v>0.71450268909408687</v>
      </c>
    </row>
    <row r="14" spans="1:14" x14ac:dyDescent="0.25">
      <c r="I14" s="15" t="s">
        <v>63</v>
      </c>
      <c r="J14" s="15">
        <v>5</v>
      </c>
      <c r="K14" s="15">
        <v>4.1214347755837967E-2</v>
      </c>
      <c r="L14" s="15">
        <v>8.2428695511675941E-3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-0.29452296955591972</v>
      </c>
      <c r="K19" s="15">
        <v>0.65929925648495991</v>
      </c>
      <c r="L19" s="15">
        <v>-0.44672122205349163</v>
      </c>
      <c r="M19" s="15">
        <v>0.67376079925841492</v>
      </c>
      <c r="N19" s="15">
        <v>-1.9893056625246857</v>
      </c>
      <c r="O19" s="15">
        <v>1.4002597234128462</v>
      </c>
      <c r="P19" s="15">
        <v>-1.9893056625246857</v>
      </c>
      <c r="Q19" s="15">
        <v>1.4002597234128462</v>
      </c>
    </row>
    <row r="20" spans="9:17" x14ac:dyDescent="0.25">
      <c r="I20" s="15" t="s">
        <v>54</v>
      </c>
      <c r="J20" s="15">
        <v>6.6560594396640083E-2</v>
      </c>
      <c r="K20" s="15">
        <v>0.42067606410785668</v>
      </c>
      <c r="L20" s="15">
        <v>0.15822291800175892</v>
      </c>
      <c r="M20" s="15">
        <v>0.88047290484805929</v>
      </c>
      <c r="N20" s="15">
        <v>-1.0148216546859943</v>
      </c>
      <c r="O20" s="15">
        <v>1.1479428434792744</v>
      </c>
      <c r="P20" s="15">
        <v>-1.0148216546859943</v>
      </c>
      <c r="Q20" s="15">
        <v>1.1479428434792744</v>
      </c>
    </row>
    <row r="21" spans="9:17" x14ac:dyDescent="0.25">
      <c r="I21" s="15" t="s">
        <v>10</v>
      </c>
      <c r="J21" s="15">
        <v>-1.6483715938542602</v>
      </c>
      <c r="K21" s="15">
        <v>4.0781201512523166</v>
      </c>
      <c r="L21" s="15">
        <v>-0.40419887907129837</v>
      </c>
      <c r="M21" s="15">
        <v>0.70277555291381777</v>
      </c>
      <c r="N21" s="15">
        <v>-12.131513178205887</v>
      </c>
      <c r="O21" s="15">
        <v>8.8347699904973656</v>
      </c>
      <c r="P21" s="15">
        <v>-12.131513178205887</v>
      </c>
      <c r="Q21" s="15">
        <v>8.8347699904973656</v>
      </c>
    </row>
    <row r="22" spans="9:17" x14ac:dyDescent="0.25">
      <c r="I22" s="15" t="s">
        <v>80</v>
      </c>
      <c r="J22" s="15">
        <v>-0.57620111779530403</v>
      </c>
      <c r="K22" s="15">
        <v>0.41401329940918741</v>
      </c>
      <c r="L22" s="15">
        <v>-1.3917454309259263</v>
      </c>
      <c r="M22" s="15">
        <v>0.22273897082735</v>
      </c>
      <c r="N22" s="15">
        <v>-1.6404561849684205</v>
      </c>
      <c r="O22" s="15">
        <v>0.48805394937781232</v>
      </c>
      <c r="P22" s="15">
        <v>-1.6404561849684205</v>
      </c>
      <c r="Q22" s="15">
        <v>0.48805394937781232</v>
      </c>
    </row>
    <row r="23" spans="9:17" ht="15.75" thickBot="1" x14ac:dyDescent="0.3">
      <c r="I23" s="21" t="s">
        <v>3</v>
      </c>
      <c r="J23" s="21">
        <v>-6.0177055835001732E-4</v>
      </c>
      <c r="K23" s="21">
        <v>7.5995616593970479E-4</v>
      </c>
      <c r="L23" s="21">
        <v>-0.79184903724797473</v>
      </c>
      <c r="M23" s="21">
        <v>0.46434068649382709</v>
      </c>
      <c r="N23" s="21">
        <v>-2.5553000743944398E-3</v>
      </c>
      <c r="O23" s="21">
        <v>1.3517589576944049E-3</v>
      </c>
      <c r="P23" s="21">
        <v>-2.5553000743944398E-3</v>
      </c>
      <c r="Q23" s="21">
        <v>1.3517589576944049E-3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0.59554086247983529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0.3546689188832261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-0.36159594601019301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9.192756234665922E-2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2.3222129411249036E-2</v>
      </c>
      <c r="L13" s="15">
        <v>4.6444258822498068E-3</v>
      </c>
      <c r="M13" s="15">
        <v>0.5495921849439761</v>
      </c>
      <c r="N13" s="15">
        <v>0.73734579117226695</v>
      </c>
    </row>
    <row r="14" spans="1:14" x14ac:dyDescent="0.25">
      <c r="I14" s="15" t="s">
        <v>63</v>
      </c>
      <c r="J14" s="15">
        <v>5</v>
      </c>
      <c r="K14" s="15">
        <v>4.2253383594994594E-2</v>
      </c>
      <c r="L14" s="15">
        <v>8.4506767189989184E-3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-3.3020277881891061E-2</v>
      </c>
      <c r="K19" s="15">
        <v>0.62392119907398191</v>
      </c>
      <c r="L19" s="15">
        <v>-5.2923795394193132E-2</v>
      </c>
      <c r="M19" s="15">
        <v>0.95984203982692873</v>
      </c>
      <c r="N19" s="15">
        <v>-1.6368607790898984</v>
      </c>
      <c r="O19" s="15">
        <v>1.5708202233261161</v>
      </c>
      <c r="P19" s="15">
        <v>-1.6368607790898984</v>
      </c>
      <c r="Q19" s="15">
        <v>1.5708202233261161</v>
      </c>
    </row>
    <row r="20" spans="9:17" x14ac:dyDescent="0.25">
      <c r="I20" s="15" t="s">
        <v>54</v>
      </c>
      <c r="J20" s="15">
        <v>0.26609612379595421</v>
      </c>
      <c r="K20" s="15">
        <v>0.47879369964035945</v>
      </c>
      <c r="L20" s="15">
        <v>0.55576362846008487</v>
      </c>
      <c r="M20" s="15">
        <v>0.60232252430864464</v>
      </c>
      <c r="N20" s="15">
        <v>-0.96468226351666342</v>
      </c>
      <c r="O20" s="15">
        <v>1.4968745111085719</v>
      </c>
      <c r="P20" s="15">
        <v>-0.96468226351666342</v>
      </c>
      <c r="Q20" s="15">
        <v>1.4968745111085719</v>
      </c>
    </row>
    <row r="21" spans="9:17" x14ac:dyDescent="0.25">
      <c r="I21" s="15" t="s">
        <v>11</v>
      </c>
      <c r="J21" s="15">
        <v>-3.2648394486548473</v>
      </c>
      <c r="K21" s="15">
        <v>3.2672666486073245</v>
      </c>
      <c r="L21" s="15">
        <v>-0.99925711605034995</v>
      </c>
      <c r="M21" s="15">
        <v>0.36354398208628014</v>
      </c>
      <c r="N21" s="15">
        <v>-11.663615747745174</v>
      </c>
      <c r="O21" s="15">
        <v>5.1339368504354805</v>
      </c>
      <c r="P21" s="15">
        <v>-11.663615747745174</v>
      </c>
      <c r="Q21" s="15">
        <v>5.1339368504354805</v>
      </c>
    </row>
    <row r="22" spans="9:17" x14ac:dyDescent="0.25">
      <c r="I22" s="15" t="s">
        <v>81</v>
      </c>
      <c r="J22" s="15">
        <v>-0.46668320943598574</v>
      </c>
      <c r="K22" s="15">
        <v>0.40125504405515761</v>
      </c>
      <c r="L22" s="15">
        <v>-1.1630587985127838</v>
      </c>
      <c r="M22" s="15">
        <v>0.29729011914199344</v>
      </c>
      <c r="N22" s="15">
        <v>-1.498142137141623</v>
      </c>
      <c r="O22" s="15">
        <v>0.56477571826965167</v>
      </c>
      <c r="P22" s="15">
        <v>-1.498142137141623</v>
      </c>
      <c r="Q22" s="15">
        <v>0.56477571826965167</v>
      </c>
    </row>
    <row r="23" spans="9:17" ht="15.75" thickBot="1" x14ac:dyDescent="0.3">
      <c r="I23" s="21" t="s">
        <v>3</v>
      </c>
      <c r="J23" s="21">
        <v>-6.8092272497239823E-4</v>
      </c>
      <c r="K23" s="21">
        <v>7.3048658792558541E-4</v>
      </c>
      <c r="L23" s="21">
        <v>-0.93214952365663939</v>
      </c>
      <c r="M23" s="21">
        <v>0.39404647138356447</v>
      </c>
      <c r="N23" s="21">
        <v>-2.5586982790698578E-3</v>
      </c>
      <c r="O23" s="21">
        <v>1.1968528291250616E-3</v>
      </c>
      <c r="P23" s="21">
        <v>-2.5586982790698578E-3</v>
      </c>
      <c r="Q23" s="21">
        <v>1.1968528291250616E-3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0.7934884343186932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0.62962389539753105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0.13332301171555586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6.9642753325957485E-2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4.1224947552142822E-2</v>
      </c>
      <c r="L13" s="15">
        <v>8.2449895104285652E-3</v>
      </c>
      <c r="M13" s="15">
        <v>1.6999581980951963</v>
      </c>
      <c r="N13" s="15">
        <v>0.31365974622978049</v>
      </c>
    </row>
    <row r="14" spans="1:14" x14ac:dyDescent="0.25">
      <c r="I14" s="15" t="s">
        <v>63</v>
      </c>
      <c r="J14" s="15">
        <v>5</v>
      </c>
      <c r="K14" s="15">
        <v>2.4250565454100807E-2</v>
      </c>
      <c r="L14" s="15">
        <v>4.8501130908201618E-3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-0.62326183960882564</v>
      </c>
      <c r="K19" s="15">
        <v>0.3385122523042286</v>
      </c>
      <c r="L19" s="15">
        <v>-1.8411795595767273</v>
      </c>
      <c r="M19" s="15">
        <v>0.12495790702442895</v>
      </c>
      <c r="N19" s="15">
        <v>-1.493435286522413</v>
      </c>
      <c r="O19" s="15">
        <v>0.24691160730476169</v>
      </c>
      <c r="P19" s="15">
        <v>-1.493435286522413</v>
      </c>
      <c r="Q19" s="15">
        <v>0.24691160730476169</v>
      </c>
    </row>
    <row r="20" spans="9:17" x14ac:dyDescent="0.25">
      <c r="I20" s="15" t="s">
        <v>54</v>
      </c>
      <c r="J20" s="15">
        <v>4.1515269384734328E-2</v>
      </c>
      <c r="K20" s="15">
        <v>0.3246507470242368</v>
      </c>
      <c r="L20" s="15">
        <v>0.12787670986518632</v>
      </c>
      <c r="M20" s="15">
        <v>0.90323056752898168</v>
      </c>
      <c r="N20" s="15">
        <v>-0.79302604384152919</v>
      </c>
      <c r="O20" s="15">
        <v>0.87605658261099795</v>
      </c>
      <c r="P20" s="15">
        <v>-0.79302604384152919</v>
      </c>
      <c r="Q20" s="15">
        <v>0.87605658261099795</v>
      </c>
    </row>
    <row r="21" spans="9:17" x14ac:dyDescent="0.25">
      <c r="I21" s="15" t="s">
        <v>12</v>
      </c>
      <c r="J21" s="15">
        <v>7.4335773886100345</v>
      </c>
      <c r="K21" s="15">
        <v>3.2891488070445289</v>
      </c>
      <c r="L21" s="15">
        <v>2.2600307327808284</v>
      </c>
      <c r="M21" s="15">
        <v>7.3348879487473775E-2</v>
      </c>
      <c r="N21" s="15">
        <v>-1.0214487894834861</v>
      </c>
      <c r="O21" s="15">
        <v>15.888603566703555</v>
      </c>
      <c r="P21" s="15">
        <v>-1.0214487894834861</v>
      </c>
      <c r="Q21" s="15">
        <v>15.888603566703555</v>
      </c>
    </row>
    <row r="22" spans="9:17" x14ac:dyDescent="0.25">
      <c r="I22" s="15" t="s">
        <v>82</v>
      </c>
      <c r="J22" s="15">
        <v>-0.66680660066624964</v>
      </c>
      <c r="K22" s="15">
        <v>0.25553552765191373</v>
      </c>
      <c r="L22" s="15">
        <v>-2.6094477225670261</v>
      </c>
      <c r="M22" s="15">
        <v>4.770160399895821E-2</v>
      </c>
      <c r="N22" s="15">
        <v>-1.3236815864080005</v>
      </c>
      <c r="O22" s="15">
        <v>-9.9316149244988994E-3</v>
      </c>
      <c r="P22" s="15">
        <v>-1.3236815864080005</v>
      </c>
      <c r="Q22" s="15">
        <v>-9.9316149244988994E-3</v>
      </c>
    </row>
    <row r="23" spans="9:17" ht="15.75" thickBot="1" x14ac:dyDescent="0.3">
      <c r="I23" s="21" t="s">
        <v>3</v>
      </c>
      <c r="J23" s="21">
        <v>9.2442057335415312E-5</v>
      </c>
      <c r="K23" s="21">
        <v>5.3907908589349482E-4</v>
      </c>
      <c r="L23" s="21">
        <v>0.17148143891020654</v>
      </c>
      <c r="M23" s="21">
        <v>0.87056930740322203</v>
      </c>
      <c r="N23" s="21">
        <v>-1.2933048488338312E-3</v>
      </c>
      <c r="O23" s="21">
        <v>1.478188963504662E-3</v>
      </c>
      <c r="P23" s="21">
        <v>-1.2933048488338312E-3</v>
      </c>
      <c r="Q23" s="21">
        <v>1.478188963504662E-3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0.85072207393309962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0.7237280470770342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0.30271048473866158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6.0148229977062463E-2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4.7386465159375654E-2</v>
      </c>
      <c r="L13" s="15">
        <v>9.4772930318751305E-3</v>
      </c>
      <c r="M13" s="15">
        <v>2.6196218596204535</v>
      </c>
      <c r="N13" s="15">
        <v>0.18596663815988704</v>
      </c>
    </row>
    <row r="14" spans="1:14" x14ac:dyDescent="0.25">
      <c r="I14" s="15" t="s">
        <v>63</v>
      </c>
      <c r="J14" s="15">
        <v>5</v>
      </c>
      <c r="K14" s="15">
        <v>1.8089047846867979E-2</v>
      </c>
      <c r="L14" s="15">
        <v>3.6178095693735956E-3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-0.90496669695436283</v>
      </c>
      <c r="K19" s="15">
        <v>0.34750036130985607</v>
      </c>
      <c r="L19" s="15">
        <v>-2.6042180029488664</v>
      </c>
      <c r="M19" s="15">
        <v>4.8004013580235504E-2</v>
      </c>
      <c r="N19" s="15">
        <v>-1.7982448136145353</v>
      </c>
      <c r="O19" s="15">
        <v>-1.1688580294190287E-2</v>
      </c>
      <c r="P19" s="15">
        <v>-1.7982448136145353</v>
      </c>
      <c r="Q19" s="15">
        <v>-1.1688580294190287E-2</v>
      </c>
    </row>
    <row r="20" spans="9:17" x14ac:dyDescent="0.25">
      <c r="I20" s="15" t="s">
        <v>54</v>
      </c>
      <c r="J20" s="15">
        <v>0.20885870593500849</v>
      </c>
      <c r="K20" s="15">
        <v>0.24937823814762533</v>
      </c>
      <c r="L20" s="15">
        <v>0.83751777014067141</v>
      </c>
      <c r="M20" s="15">
        <v>0.44048524160427338</v>
      </c>
      <c r="N20" s="15">
        <v>-0.43218846325026433</v>
      </c>
      <c r="O20" s="15">
        <v>0.84990587512028126</v>
      </c>
      <c r="P20" s="15">
        <v>-0.43218846325026433</v>
      </c>
      <c r="Q20" s="15">
        <v>0.84990587512028126</v>
      </c>
    </row>
    <row r="21" spans="9:17" x14ac:dyDescent="0.25">
      <c r="I21" s="15" t="s">
        <v>13</v>
      </c>
      <c r="J21" s="15">
        <v>11.26513859507897</v>
      </c>
      <c r="K21" s="15">
        <v>4.9109905372058815</v>
      </c>
      <c r="L21" s="15">
        <v>2.293862818454603</v>
      </c>
      <c r="M21" s="15">
        <v>7.0309235628783426E-2</v>
      </c>
      <c r="N21" s="15">
        <v>-1.3589644748442975</v>
      </c>
      <c r="O21" s="15">
        <v>23.889241665002238</v>
      </c>
      <c r="P21" s="15">
        <v>-1.3589644748442975</v>
      </c>
      <c r="Q21" s="15">
        <v>23.889241665002238</v>
      </c>
    </row>
    <row r="22" spans="9:17" x14ac:dyDescent="0.25">
      <c r="I22" s="15" t="s">
        <v>83</v>
      </c>
      <c r="J22" s="15">
        <v>-1.7280258447958416</v>
      </c>
      <c r="K22" s="15">
        <v>0.5479536269593368</v>
      </c>
      <c r="L22" s="15">
        <v>-3.1535986984608044</v>
      </c>
      <c r="M22" s="15">
        <v>2.5276404562378597E-2</v>
      </c>
      <c r="N22" s="15">
        <v>-3.1365854850285499</v>
      </c>
      <c r="O22" s="15">
        <v>-0.31946620456313313</v>
      </c>
      <c r="P22" s="15">
        <v>-3.1365854850285499</v>
      </c>
      <c r="Q22" s="15">
        <v>-0.31946620456313313</v>
      </c>
    </row>
    <row r="23" spans="9:17" ht="15.75" thickBot="1" x14ac:dyDescent="0.3">
      <c r="I23" s="21" t="s">
        <v>3</v>
      </c>
      <c r="J23" s="21">
        <v>-6.6226524010175528E-5</v>
      </c>
      <c r="K23" s="21">
        <v>4.9726174394105582E-4</v>
      </c>
      <c r="L23" s="21">
        <v>-0.13318242317475734</v>
      </c>
      <c r="M23" s="21">
        <v>0.89924330446287004</v>
      </c>
      <c r="N23" s="21">
        <v>-1.34447853054189E-3</v>
      </c>
      <c r="O23" s="21">
        <v>1.212025482521539E-3</v>
      </c>
      <c r="P23" s="21">
        <v>-1.34447853054189E-3</v>
      </c>
      <c r="Q23" s="21">
        <v>1.212025482521539E-3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0.57798028625052267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0.3340612112942361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-0.39868981967037503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9.3383814252006619E-2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2.1872829184977259E-2</v>
      </c>
      <c r="L13" s="15">
        <v>4.3745658369954516E-3</v>
      </c>
      <c r="M13" s="15">
        <v>0.50163951546278918</v>
      </c>
      <c r="N13" s="15">
        <v>0.76612087139236473</v>
      </c>
    </row>
    <row r="14" spans="1:14" x14ac:dyDescent="0.25">
      <c r="I14" s="15" t="s">
        <v>63</v>
      </c>
      <c r="J14" s="15">
        <v>5</v>
      </c>
      <c r="K14" s="15">
        <v>4.3602683821266371E-2</v>
      </c>
      <c r="L14" s="15">
        <v>8.7205367642532745E-3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-0.34298041372906946</v>
      </c>
      <c r="K19" s="15">
        <v>0.66451727043710618</v>
      </c>
      <c r="L19" s="15">
        <v>-0.51613468752055724</v>
      </c>
      <c r="M19" s="15">
        <v>0.62776624712902107</v>
      </c>
      <c r="N19" s="15">
        <v>-2.0511764385813196</v>
      </c>
      <c r="O19" s="15">
        <v>1.3652156111231806</v>
      </c>
      <c r="P19" s="15">
        <v>-2.0511764385813196</v>
      </c>
      <c r="Q19" s="15">
        <v>1.3652156111231806</v>
      </c>
    </row>
    <row r="20" spans="9:17" x14ac:dyDescent="0.25">
      <c r="I20" s="15" t="s">
        <v>54</v>
      </c>
      <c r="J20" s="15">
        <v>0.27509014460380077</v>
      </c>
      <c r="K20" s="15">
        <v>0.47487920559336383</v>
      </c>
      <c r="L20" s="15">
        <v>0.57928446089795471</v>
      </c>
      <c r="M20" s="15">
        <v>0.58751523132184869</v>
      </c>
      <c r="N20" s="15">
        <v>-0.94562571541590357</v>
      </c>
      <c r="O20" s="15">
        <v>1.4958060046235051</v>
      </c>
      <c r="P20" s="15">
        <v>-0.94562571541590357</v>
      </c>
      <c r="Q20" s="15">
        <v>1.4958060046235051</v>
      </c>
    </row>
    <row r="21" spans="9:17" x14ac:dyDescent="0.25">
      <c r="I21" s="15" t="s">
        <v>14</v>
      </c>
      <c r="J21" s="15">
        <v>-1.4260850063225969</v>
      </c>
      <c r="K21" s="15">
        <v>3.8239405250494189</v>
      </c>
      <c r="L21" s="15">
        <v>-0.3729359797781287</v>
      </c>
      <c r="M21" s="15">
        <v>0.72448339138329421</v>
      </c>
      <c r="N21" s="15">
        <v>-11.255837060568226</v>
      </c>
      <c r="O21" s="15">
        <v>8.4036670479230331</v>
      </c>
      <c r="P21" s="15">
        <v>-11.255837060568226</v>
      </c>
      <c r="Q21" s="15">
        <v>8.4036670479230331</v>
      </c>
    </row>
    <row r="22" spans="9:17" x14ac:dyDescent="0.25">
      <c r="I22" s="15" t="s">
        <v>84</v>
      </c>
      <c r="J22" s="15">
        <v>-2.315968288239223E-2</v>
      </c>
      <c r="K22" s="15">
        <v>0.27726836209456385</v>
      </c>
      <c r="L22" s="15">
        <v>-8.3528040153724781E-2</v>
      </c>
      <c r="M22" s="15">
        <v>0.93667273570597809</v>
      </c>
      <c r="N22" s="15">
        <v>-0.73590069807931069</v>
      </c>
      <c r="O22" s="15">
        <v>0.68958133231452623</v>
      </c>
      <c r="P22" s="15">
        <v>-0.73590069807931069</v>
      </c>
      <c r="Q22" s="15">
        <v>0.68958133231452623</v>
      </c>
    </row>
    <row r="23" spans="9:17" ht="15.75" thickBot="1" x14ac:dyDescent="0.3">
      <c r="I23" s="21" t="s">
        <v>3</v>
      </c>
      <c r="J23" s="21">
        <v>-5.6622855460785671E-4</v>
      </c>
      <c r="K23" s="21">
        <v>7.1333618156222398E-4</v>
      </c>
      <c r="L23" s="21">
        <v>-0.79377517816046017</v>
      </c>
      <c r="M23" s="21">
        <v>0.46331557267262424</v>
      </c>
      <c r="N23" s="21">
        <v>-2.3999175856338783E-3</v>
      </c>
      <c r="O23" s="21">
        <v>1.2674604764181647E-3</v>
      </c>
      <c r="P23" s="21">
        <v>-2.3999175856338783E-3</v>
      </c>
      <c r="Q23" s="21">
        <v>1.2674604764181647E-3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0.42767955907487376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0.18290980525047845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-0.67076235054913869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0.10344022396881827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1.1976113332647191E-2</v>
      </c>
      <c r="L13" s="15">
        <v>2.3952226665294382E-3</v>
      </c>
      <c r="M13" s="15">
        <v>0.22385509754715555</v>
      </c>
      <c r="N13" s="15">
        <v>0.93398483577513536</v>
      </c>
    </row>
    <row r="14" spans="1:14" x14ac:dyDescent="0.25">
      <c r="I14" s="15" t="s">
        <v>63</v>
      </c>
      <c r="J14" s="15">
        <v>5</v>
      </c>
      <c r="K14" s="15">
        <v>5.3499399673596439E-2</v>
      </c>
      <c r="L14" s="15">
        <v>1.0699879934719287E-2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-0.26157717023328492</v>
      </c>
      <c r="K19" s="15">
        <v>0.76206565214146582</v>
      </c>
      <c r="L19" s="15">
        <v>-0.34324755288239539</v>
      </c>
      <c r="M19" s="15">
        <v>0.74537364500080183</v>
      </c>
      <c r="N19" s="15">
        <v>-2.2205292931904794</v>
      </c>
      <c r="O19" s="15">
        <v>1.6973749527239097</v>
      </c>
      <c r="P19" s="15">
        <v>-2.2205292931904794</v>
      </c>
      <c r="Q19" s="15">
        <v>1.6973749527239097</v>
      </c>
    </row>
    <row r="20" spans="9:17" x14ac:dyDescent="0.25">
      <c r="I20" s="15" t="s">
        <v>54</v>
      </c>
      <c r="J20" s="15">
        <v>0.25302690629556951</v>
      </c>
      <c r="K20" s="15">
        <v>0.59291356610846857</v>
      </c>
      <c r="L20" s="15">
        <v>0.42675175735358423</v>
      </c>
      <c r="M20" s="15">
        <v>0.68731103600939836</v>
      </c>
      <c r="N20" s="15">
        <v>-1.2711059368452113</v>
      </c>
      <c r="O20" s="15">
        <v>1.7771597494363502</v>
      </c>
      <c r="P20" s="15">
        <v>-1.2711059368452113</v>
      </c>
      <c r="Q20" s="15">
        <v>1.7771597494363502</v>
      </c>
    </row>
    <row r="21" spans="9:17" x14ac:dyDescent="0.25">
      <c r="I21" s="15" t="s">
        <v>15</v>
      </c>
      <c r="J21" s="15">
        <v>-0.16249707235505909</v>
      </c>
      <c r="K21" s="15">
        <v>1.538409751047894</v>
      </c>
      <c r="L21" s="15">
        <v>-0.10562665261603649</v>
      </c>
      <c r="M21" s="15">
        <v>0.91998529707538323</v>
      </c>
      <c r="N21" s="15">
        <v>-4.1171052341645611</v>
      </c>
      <c r="O21" s="15">
        <v>3.7921110894544428</v>
      </c>
      <c r="P21" s="15">
        <v>-4.1171052341645611</v>
      </c>
      <c r="Q21" s="15">
        <v>3.7921110894544428</v>
      </c>
    </row>
    <row r="22" spans="9:17" x14ac:dyDescent="0.25">
      <c r="I22" s="15" t="s">
        <v>85</v>
      </c>
      <c r="J22" s="15">
        <v>-6.2890030102143238E-2</v>
      </c>
      <c r="K22" s="15">
        <v>0.12468234260534705</v>
      </c>
      <c r="L22" s="15">
        <v>-0.5044020571638359</v>
      </c>
      <c r="M22" s="15">
        <v>0.6354154770840037</v>
      </c>
      <c r="N22" s="15">
        <v>-0.3833961952280322</v>
      </c>
      <c r="O22" s="15">
        <v>0.25761613502374575</v>
      </c>
      <c r="P22" s="15">
        <v>-0.3833961952280322</v>
      </c>
      <c r="Q22" s="15">
        <v>0.25761613502374575</v>
      </c>
    </row>
    <row r="23" spans="9:17" ht="15.75" thickBot="1" x14ac:dyDescent="0.3">
      <c r="I23" s="21" t="s">
        <v>3</v>
      </c>
      <c r="J23" s="21">
        <v>-3.0076925108052073E-4</v>
      </c>
      <c r="K23" s="21">
        <v>7.7751190994730093E-4</v>
      </c>
      <c r="L23" s="21">
        <v>-0.38683555484173432</v>
      </c>
      <c r="M23" s="21">
        <v>0.7147941444863295</v>
      </c>
      <c r="N23" s="21">
        <v>-2.2994272437819509E-3</v>
      </c>
      <c r="O23" s="21">
        <v>1.6978887416209095E-3</v>
      </c>
      <c r="P23" s="21">
        <v>-2.2994272437819509E-3</v>
      </c>
      <c r="Q23" s="21">
        <v>1.6978887416209095E-3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0.51126545303038984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0.26139236346236971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-0.52949374576773445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9.8347052739398838E-2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1.7114799093613152E-2</v>
      </c>
      <c r="L13" s="15">
        <v>3.4229598187226302E-3</v>
      </c>
      <c r="M13" s="15">
        <v>0.35389880977632215</v>
      </c>
      <c r="N13" s="15">
        <v>0.85761689108368189</v>
      </c>
    </row>
    <row r="14" spans="1:14" x14ac:dyDescent="0.25">
      <c r="I14" s="15" t="s">
        <v>63</v>
      </c>
      <c r="J14" s="15">
        <v>5</v>
      </c>
      <c r="K14" s="15">
        <v>4.8360713912630478E-2</v>
      </c>
      <c r="L14" s="15">
        <v>9.6721427825260959E-3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-0.3319635476311717</v>
      </c>
      <c r="K19" s="15">
        <v>0.68409264626441202</v>
      </c>
      <c r="L19" s="15">
        <v>-0.48526109649607729</v>
      </c>
      <c r="M19" s="15">
        <v>0.64800564637176661</v>
      </c>
      <c r="N19" s="15">
        <v>-2.0904796780108481</v>
      </c>
      <c r="O19" s="15">
        <v>1.4265525827485048</v>
      </c>
      <c r="P19" s="15">
        <v>-2.0904796780108481</v>
      </c>
      <c r="Q19" s="15">
        <v>1.4265525827485048</v>
      </c>
    </row>
    <row r="20" spans="9:17" x14ac:dyDescent="0.25">
      <c r="I20" s="15" t="s">
        <v>54</v>
      </c>
      <c r="J20" s="15">
        <v>0.29942028319113173</v>
      </c>
      <c r="K20" s="15">
        <v>0.51130039463827026</v>
      </c>
      <c r="L20" s="15">
        <v>0.58560542164838858</v>
      </c>
      <c r="M20" s="15">
        <v>0.58357412894429916</v>
      </c>
      <c r="N20" s="15">
        <v>-1.0149192238196854</v>
      </c>
      <c r="O20" s="15">
        <v>1.6137597902019487</v>
      </c>
      <c r="P20" s="15">
        <v>-1.0149192238196854</v>
      </c>
      <c r="Q20" s="15">
        <v>1.6137597902019487</v>
      </c>
    </row>
    <row r="21" spans="9:17" x14ac:dyDescent="0.25">
      <c r="I21" s="15" t="s">
        <v>16</v>
      </c>
      <c r="J21" s="15">
        <v>-0.27363039099612324</v>
      </c>
      <c r="K21" s="15">
        <v>2.6993231569117269</v>
      </c>
      <c r="L21" s="15">
        <v>-0.1013700009557883</v>
      </c>
      <c r="M21" s="15">
        <v>0.92319631915592304</v>
      </c>
      <c r="N21" s="15">
        <v>-7.2124614666658831</v>
      </c>
      <c r="O21" s="15">
        <v>6.6652006846736365</v>
      </c>
      <c r="P21" s="15">
        <v>-7.2124614666658831</v>
      </c>
      <c r="Q21" s="15">
        <v>6.6652006846736365</v>
      </c>
    </row>
    <row r="22" spans="9:17" x14ac:dyDescent="0.25">
      <c r="I22" s="15" t="s">
        <v>86</v>
      </c>
      <c r="J22" s="15">
        <v>-7.6081787606443199E-2</v>
      </c>
      <c r="K22" s="15">
        <v>0.18676003349896877</v>
      </c>
      <c r="L22" s="15">
        <v>-0.40737724330544894</v>
      </c>
      <c r="M22" s="15">
        <v>0.70058602156651517</v>
      </c>
      <c r="N22" s="15">
        <v>-0.55616373734172209</v>
      </c>
      <c r="O22" s="15">
        <v>0.40400016212883566</v>
      </c>
      <c r="P22" s="15">
        <v>-0.55616373734172209</v>
      </c>
      <c r="Q22" s="15">
        <v>0.40400016212883566</v>
      </c>
    </row>
    <row r="23" spans="9:17" ht="15.75" thickBot="1" x14ac:dyDescent="0.3">
      <c r="I23" s="21" t="s">
        <v>3</v>
      </c>
      <c r="J23" s="21">
        <v>-3.7074340997591534E-4</v>
      </c>
      <c r="K23" s="21">
        <v>7.1404057866759874E-4</v>
      </c>
      <c r="L23" s="21">
        <v>-0.519218964652854</v>
      </c>
      <c r="M23" s="21">
        <v>0.62576411611974447</v>
      </c>
      <c r="N23" s="21">
        <v>-2.2062431514060878E-3</v>
      </c>
      <c r="O23" s="21">
        <v>1.4647563314542573E-3</v>
      </c>
      <c r="P23" s="21">
        <v>-2.2062431514060878E-3</v>
      </c>
      <c r="Q23" s="21">
        <v>1.4647563314542573E-3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0.58779084325668141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0.34549807541640065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-0.3781034642504788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9.2578452434338029E-2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2.2621663730558683E-2</v>
      </c>
      <c r="L13" s="15">
        <v>4.5243327461117365E-3</v>
      </c>
      <c r="M13" s="15">
        <v>0.5278793880342062</v>
      </c>
      <c r="N13" s="15">
        <v>0.75028240969317228</v>
      </c>
    </row>
    <row r="14" spans="1:14" x14ac:dyDescent="0.25">
      <c r="I14" s="15" t="s">
        <v>63</v>
      </c>
      <c r="J14" s="15">
        <v>5</v>
      </c>
      <c r="K14" s="15">
        <v>4.2853849275684947E-2</v>
      </c>
      <c r="L14" s="15">
        <v>8.5707698551369896E-3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-5.4406461022567201E-2</v>
      </c>
      <c r="K19" s="15">
        <v>0.6263867144355344</v>
      </c>
      <c r="L19" s="15">
        <v>-8.6857622884922367E-2</v>
      </c>
      <c r="M19" s="15">
        <v>0.93415584950996955</v>
      </c>
      <c r="N19" s="15">
        <v>-1.6645847712344635</v>
      </c>
      <c r="O19" s="15">
        <v>1.5557718491893291</v>
      </c>
      <c r="P19" s="15">
        <v>-1.6645847712344635</v>
      </c>
      <c r="Q19" s="15">
        <v>1.5557718491893291</v>
      </c>
    </row>
    <row r="20" spans="9:17" x14ac:dyDescent="0.25">
      <c r="I20" s="15" t="s">
        <v>54</v>
      </c>
      <c r="J20" s="15">
        <v>0.44009522613271579</v>
      </c>
      <c r="K20" s="15">
        <v>0.47259992106483739</v>
      </c>
      <c r="L20" s="15">
        <v>0.93122153965052779</v>
      </c>
      <c r="M20" s="15">
        <v>0.39448231995118177</v>
      </c>
      <c r="N20" s="15">
        <v>-0.77476154647971152</v>
      </c>
      <c r="O20" s="15">
        <v>1.6549519987451431</v>
      </c>
      <c r="P20" s="15">
        <v>-0.77476154647971152</v>
      </c>
      <c r="Q20" s="15">
        <v>1.6549519987451431</v>
      </c>
    </row>
    <row r="21" spans="9:17" x14ac:dyDescent="0.25">
      <c r="I21" s="15" t="s">
        <v>17</v>
      </c>
      <c r="J21" s="15">
        <v>-2.8669276786846165</v>
      </c>
      <c r="K21" s="15">
        <v>3.5937216356557014</v>
      </c>
      <c r="L21" s="15">
        <v>-0.79776008532211318</v>
      </c>
      <c r="M21" s="15">
        <v>0.46120005886842264</v>
      </c>
      <c r="N21" s="15">
        <v>-12.10488323763439</v>
      </c>
      <c r="O21" s="15">
        <v>6.3710278802651565</v>
      </c>
      <c r="P21" s="15">
        <v>-12.10488323763439</v>
      </c>
      <c r="Q21" s="15">
        <v>6.3710278802651565</v>
      </c>
    </row>
    <row r="22" spans="9:17" x14ac:dyDescent="0.25">
      <c r="I22" s="15" t="s">
        <v>87</v>
      </c>
      <c r="J22" s="15">
        <v>-5.5690217729046615E-2</v>
      </c>
      <c r="K22" s="15">
        <v>0.27405950262848638</v>
      </c>
      <c r="L22" s="15">
        <v>-0.2032048412659494</v>
      </c>
      <c r="M22" s="15">
        <v>0.84698574032736484</v>
      </c>
      <c r="N22" s="15">
        <v>-0.76018259706935665</v>
      </c>
      <c r="O22" s="15">
        <v>0.64880216161126347</v>
      </c>
      <c r="P22" s="15">
        <v>-0.76018259706935665</v>
      </c>
      <c r="Q22" s="15">
        <v>0.64880216161126347</v>
      </c>
    </row>
    <row r="23" spans="9:17" ht="15.75" thickBot="1" x14ac:dyDescent="0.3">
      <c r="I23" s="21" t="s">
        <v>3</v>
      </c>
      <c r="J23" s="21">
        <v>-4.4763840910128642E-4</v>
      </c>
      <c r="K23" s="21">
        <v>6.519807136029386E-4</v>
      </c>
      <c r="L23" s="21">
        <v>-0.68658228650288222</v>
      </c>
      <c r="M23" s="21">
        <v>0.52288384452333325</v>
      </c>
      <c r="N23" s="21">
        <v>-2.1236081886742029E-3</v>
      </c>
      <c r="O23" s="21">
        <v>1.22833137047163E-3</v>
      </c>
      <c r="P23" s="21">
        <v>-2.1236081886742029E-3</v>
      </c>
      <c r="Q23" s="21">
        <v>1.22833137047163E-3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0.45200842909345346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0.20431161997153155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-0.63223908405124318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0.10207654468629991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1.3377408130772719E-2</v>
      </c>
      <c r="L13" s="15">
        <v>2.675481626154544E-3</v>
      </c>
      <c r="M13" s="15">
        <v>0.25677341167684464</v>
      </c>
      <c r="N13" s="15">
        <v>0.91582137974778943</v>
      </c>
    </row>
    <row r="14" spans="1:14" x14ac:dyDescent="0.25">
      <c r="I14" s="15" t="s">
        <v>63</v>
      </c>
      <c r="J14" s="15">
        <v>5</v>
      </c>
      <c r="K14" s="15">
        <v>5.209810487547091E-2</v>
      </c>
      <c r="L14" s="15">
        <v>1.0419620975094182E-2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-0.27179182356342585</v>
      </c>
      <c r="K19" s="15">
        <v>0.46842471335082442</v>
      </c>
      <c r="L19" s="15">
        <v>-0.58022520122645338</v>
      </c>
      <c r="M19" s="15">
        <v>0.5869276500900622</v>
      </c>
      <c r="N19" s="15">
        <v>-1.4759158830662027</v>
      </c>
      <c r="O19" s="15">
        <v>0.93233223593935111</v>
      </c>
      <c r="P19" s="15">
        <v>-1.4759158830662027</v>
      </c>
      <c r="Q19" s="15">
        <v>0.93233223593935111</v>
      </c>
    </row>
    <row r="20" spans="9:17" x14ac:dyDescent="0.25">
      <c r="I20" s="15" t="s">
        <v>54</v>
      </c>
      <c r="J20" s="15">
        <v>3.2285003414005559E-3</v>
      </c>
      <c r="K20" s="15">
        <v>0.52876734108369272</v>
      </c>
      <c r="L20" s="15">
        <v>6.1057105659813289E-3</v>
      </c>
      <c r="M20" s="15">
        <v>0.99536449740804622</v>
      </c>
      <c r="N20" s="15">
        <v>-1.3560112219260518</v>
      </c>
      <c r="O20" s="15">
        <v>1.3624682226088529</v>
      </c>
      <c r="P20" s="15">
        <v>-1.3560112219260518</v>
      </c>
      <c r="Q20" s="15">
        <v>1.3624682226088529</v>
      </c>
    </row>
    <row r="21" spans="9:17" x14ac:dyDescent="0.25">
      <c r="I21" s="15" t="s">
        <v>19</v>
      </c>
      <c r="J21" s="15">
        <v>0.24242513097851484</v>
      </c>
      <c r="K21" s="15">
        <v>0.34430374550347165</v>
      </c>
      <c r="L21" s="15">
        <v>0.70410250874273583</v>
      </c>
      <c r="M21" s="15">
        <v>0.51279972711768762</v>
      </c>
      <c r="N21" s="15">
        <v>-0.64263582315425793</v>
      </c>
      <c r="O21" s="15">
        <v>1.1274860851112876</v>
      </c>
      <c r="P21" s="15">
        <v>-0.64263582315425793</v>
      </c>
      <c r="Q21" s="15">
        <v>1.1274860851112876</v>
      </c>
    </row>
    <row r="22" spans="9:17" x14ac:dyDescent="0.25">
      <c r="I22" s="15" t="s">
        <v>30</v>
      </c>
      <c r="J22" s="15">
        <v>-1.2762356002998684E-2</v>
      </c>
      <c r="K22" s="15">
        <v>2.8986480799105797E-2</v>
      </c>
      <c r="L22" s="15">
        <v>-0.44028649395039321</v>
      </c>
      <c r="M22" s="15">
        <v>0.67811212514251318</v>
      </c>
      <c r="N22" s="15">
        <v>-8.7274477024200867E-2</v>
      </c>
      <c r="O22" s="15">
        <v>6.1749765018203492E-2</v>
      </c>
      <c r="P22" s="15">
        <v>-8.7274477024200867E-2</v>
      </c>
      <c r="Q22" s="15">
        <v>6.1749765018203492E-2</v>
      </c>
    </row>
    <row r="23" spans="9:17" ht="15.75" thickBot="1" x14ac:dyDescent="0.3">
      <c r="I23" s="21" t="s">
        <v>3</v>
      </c>
      <c r="J23" s="21">
        <v>4.7702605685846819E-5</v>
      </c>
      <c r="K23" s="21">
        <v>7.8397154015580719E-4</v>
      </c>
      <c r="L23" s="21">
        <v>6.0847369123076027E-2</v>
      </c>
      <c r="M23" s="21">
        <v>0.95383804021336105</v>
      </c>
      <c r="N23" s="21">
        <v>-1.9675603950944972E-3</v>
      </c>
      <c r="O23" s="21">
        <v>2.0629656064661906E-3</v>
      </c>
      <c r="P23" s="21">
        <v>-1.9675603950944972E-3</v>
      </c>
      <c r="Q23" s="21">
        <v>2.0629656064661906E-3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0.35860942140289437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0.12860071711891866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-0.76851870918594645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0.10682257727644622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8.4201979263320154E-3</v>
      </c>
      <c r="L13" s="15">
        <v>1.6840395852664031E-3</v>
      </c>
      <c r="M13" s="15">
        <v>0.14757955353569943</v>
      </c>
      <c r="N13" s="15">
        <v>0.97022332973582825</v>
      </c>
    </row>
    <row r="14" spans="1:14" x14ac:dyDescent="0.25">
      <c r="I14" s="15" t="s">
        <v>63</v>
      </c>
      <c r="J14" s="15">
        <v>5</v>
      </c>
      <c r="K14" s="15">
        <v>5.7055315079911614E-2</v>
      </c>
      <c r="L14" s="15">
        <v>1.1411063015982322E-2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-0.21252640851001459</v>
      </c>
      <c r="K19" s="15">
        <v>0.562298761004555</v>
      </c>
      <c r="L19" s="15">
        <v>-0.37795994451478609</v>
      </c>
      <c r="M19" s="15">
        <v>0.72097436154701655</v>
      </c>
      <c r="N19" s="15">
        <v>-1.6579613897491292</v>
      </c>
      <c r="O19" s="15">
        <v>1.2329085727290998</v>
      </c>
      <c r="P19" s="15">
        <v>-1.6579613897491292</v>
      </c>
      <c r="Q19" s="15">
        <v>1.2329085727290998</v>
      </c>
    </row>
    <row r="20" spans="9:17" x14ac:dyDescent="0.25">
      <c r="I20" s="15" t="s">
        <v>54</v>
      </c>
      <c r="J20" s="15">
        <v>0.18889249287695928</v>
      </c>
      <c r="K20" s="15">
        <v>0.44703977668877054</v>
      </c>
      <c r="L20" s="15">
        <v>0.42254068368611053</v>
      </c>
      <c r="M20" s="15">
        <v>0.69018575609430799</v>
      </c>
      <c r="N20" s="15">
        <v>-0.96025983688610883</v>
      </c>
      <c r="O20" s="15">
        <v>1.3380448226400274</v>
      </c>
      <c r="P20" s="15">
        <v>-0.96025983688610883</v>
      </c>
      <c r="Q20" s="15">
        <v>1.3380448226400274</v>
      </c>
    </row>
    <row r="21" spans="9:17" x14ac:dyDescent="0.25">
      <c r="I21" s="15" t="s">
        <v>20</v>
      </c>
      <c r="J21" s="15">
        <v>-0.36582959710737856</v>
      </c>
      <c r="K21" s="15">
        <v>6.97234369923821</v>
      </c>
      <c r="L21" s="15">
        <v>-5.2468669487327292E-2</v>
      </c>
      <c r="M21" s="15">
        <v>0.96018700242749744</v>
      </c>
      <c r="N21" s="15">
        <v>-18.28880966218243</v>
      </c>
      <c r="O21" s="15">
        <v>17.557150467967674</v>
      </c>
      <c r="P21" s="15">
        <v>-18.28880966218243</v>
      </c>
      <c r="Q21" s="15">
        <v>17.557150467967674</v>
      </c>
    </row>
    <row r="22" spans="9:17" x14ac:dyDescent="0.25">
      <c r="I22" s="15" t="s">
        <v>88</v>
      </c>
      <c r="J22" s="15">
        <v>-6.9793284643294385E-3</v>
      </c>
      <c r="K22" s="15">
        <v>0.48781400569057232</v>
      </c>
      <c r="L22" s="15">
        <v>-1.4307355637419993E-2</v>
      </c>
      <c r="M22" s="15">
        <v>0.98913810885583797</v>
      </c>
      <c r="N22" s="15">
        <v>-1.2609451506615046</v>
      </c>
      <c r="O22" s="15">
        <v>1.2469864937328459</v>
      </c>
      <c r="P22" s="15">
        <v>-1.2609451506615046</v>
      </c>
      <c r="Q22" s="15">
        <v>1.2469864937328459</v>
      </c>
    </row>
    <row r="23" spans="9:17" ht="15.75" thickBot="1" x14ac:dyDescent="0.3">
      <c r="I23" s="21" t="s">
        <v>3</v>
      </c>
      <c r="J23" s="21">
        <v>-1.4456383948673027E-4</v>
      </c>
      <c r="K23" s="21">
        <v>7.6123498079312148E-4</v>
      </c>
      <c r="L23" s="21">
        <v>-0.18990698422202165</v>
      </c>
      <c r="M23" s="21">
        <v>0.85685111200400432</v>
      </c>
      <c r="N23" s="21">
        <v>-2.1013806537644878E-3</v>
      </c>
      <c r="O23" s="21">
        <v>1.8122529747910271E-3</v>
      </c>
      <c r="P23" s="21">
        <v>-2.1013806537644878E-3</v>
      </c>
      <c r="Q23" s="21">
        <v>1.8122529747910271E-3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0.5377049749213072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0.28912664005512356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-0.47957204790077756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9.6482949711192867E-2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1.8930715081380764E-2</v>
      </c>
      <c r="L13" s="15">
        <v>3.7861430162761528E-3</v>
      </c>
      <c r="M13" s="15">
        <v>0.40672031946385423</v>
      </c>
      <c r="N13" s="15">
        <v>0.82474211402881803</v>
      </c>
    </row>
    <row r="14" spans="1:14" x14ac:dyDescent="0.25">
      <c r="I14" s="15" t="s">
        <v>63</v>
      </c>
      <c r="J14" s="15">
        <v>5</v>
      </c>
      <c r="K14" s="15">
        <v>4.6544797924862866E-2</v>
      </c>
      <c r="L14" s="15">
        <v>9.3089595849725724E-3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-0.17270348842915761</v>
      </c>
      <c r="K19" s="15">
        <v>0.42692648287356905</v>
      </c>
      <c r="L19" s="15">
        <v>-0.40452746633734221</v>
      </c>
      <c r="M19" s="15">
        <v>0.70254904173872079</v>
      </c>
      <c r="N19" s="15">
        <v>-1.2701529504560525</v>
      </c>
      <c r="O19" s="15">
        <v>0.92474597359773725</v>
      </c>
      <c r="P19" s="15">
        <v>-1.2701529504560525</v>
      </c>
      <c r="Q19" s="15">
        <v>0.92474597359773725</v>
      </c>
    </row>
    <row r="20" spans="9:17" x14ac:dyDescent="0.25">
      <c r="I20" s="15" t="s">
        <v>54</v>
      </c>
      <c r="J20" s="15">
        <v>-3.6826535425955272E-2</v>
      </c>
      <c r="K20" s="15">
        <v>0.4651792398109913</v>
      </c>
      <c r="L20" s="15">
        <v>-7.9166334767902358E-2</v>
      </c>
      <c r="M20" s="15">
        <v>0.93997108451423639</v>
      </c>
      <c r="N20" s="15">
        <v>-1.2326078395991991</v>
      </c>
      <c r="O20" s="15">
        <v>1.1589547687472883</v>
      </c>
      <c r="P20" s="15">
        <v>-1.2326078395991991</v>
      </c>
      <c r="Q20" s="15">
        <v>1.1589547687472883</v>
      </c>
    </row>
    <row r="21" spans="9:17" x14ac:dyDescent="0.25">
      <c r="I21" s="15" t="s">
        <v>21</v>
      </c>
      <c r="J21" s="15">
        <v>2.8774204380970327</v>
      </c>
      <c r="K21" s="15">
        <v>3.4678730701880491</v>
      </c>
      <c r="L21" s="15">
        <v>0.82973637727202099</v>
      </c>
      <c r="M21" s="15">
        <v>0.4444834467422506</v>
      </c>
      <c r="N21" s="15">
        <v>-6.0370310844207058</v>
      </c>
      <c r="O21" s="15">
        <v>11.791871960614772</v>
      </c>
      <c r="P21" s="15">
        <v>-6.0370310844207058</v>
      </c>
      <c r="Q21" s="15">
        <v>11.791871960614772</v>
      </c>
    </row>
    <row r="22" spans="9:17" x14ac:dyDescent="0.25">
      <c r="I22" s="15" t="s">
        <v>89</v>
      </c>
      <c r="J22" s="15">
        <v>0.10861051666013392</v>
      </c>
      <c r="K22" s="15">
        <v>0.43385058373738861</v>
      </c>
      <c r="L22" s="15">
        <v>0.25034083329913481</v>
      </c>
      <c r="M22" s="15">
        <v>0.8122848441999484</v>
      </c>
      <c r="N22" s="15">
        <v>-1.0066379132754093</v>
      </c>
      <c r="O22" s="15">
        <v>1.2238589465956771</v>
      </c>
      <c r="P22" s="15">
        <v>-1.0066379132754093</v>
      </c>
      <c r="Q22" s="15">
        <v>1.2238589465956771</v>
      </c>
    </row>
    <row r="23" spans="9:17" ht="15.75" thickBot="1" x14ac:dyDescent="0.3">
      <c r="I23" s="21" t="s">
        <v>3</v>
      </c>
      <c r="J23" s="21">
        <v>1.8503387976878362E-5</v>
      </c>
      <c r="K23" s="21">
        <v>6.5998713937861695E-4</v>
      </c>
      <c r="L23" s="21">
        <v>2.8035982631872867E-2</v>
      </c>
      <c r="M23" s="21">
        <v>0.97871805236084464</v>
      </c>
      <c r="N23" s="21">
        <v>-1.6780475642633674E-3</v>
      </c>
      <c r="O23" s="21">
        <v>1.7150543402171239E-3</v>
      </c>
      <c r="P23" s="21">
        <v>-1.6780475642633674E-3</v>
      </c>
      <c r="Q23" s="21">
        <v>1.7150543402171239E-3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0.57536057897131276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0.33103979583420423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-0.40412836749843234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9.3595419277352404E-2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2.1675000457726676E-2</v>
      </c>
      <c r="L13" s="15">
        <v>4.335000091545335E-3</v>
      </c>
      <c r="M13" s="15">
        <v>0.4948572333193067</v>
      </c>
      <c r="N13" s="15">
        <v>0.77024773425390736</v>
      </c>
    </row>
    <row r="14" spans="1:14" x14ac:dyDescent="0.25">
      <c r="I14" s="15" t="s">
        <v>63</v>
      </c>
      <c r="J14" s="15">
        <v>5</v>
      </c>
      <c r="K14" s="15">
        <v>4.3800512548516954E-2</v>
      </c>
      <c r="L14" s="15">
        <v>8.7601025097033911E-3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-0.3180853923216278</v>
      </c>
      <c r="K19" s="15">
        <v>0.4560186326097988</v>
      </c>
      <c r="L19" s="15">
        <v>-0.69752718326710073</v>
      </c>
      <c r="M19" s="15">
        <v>0.51656852619543692</v>
      </c>
      <c r="N19" s="15">
        <v>-1.4903186060200868</v>
      </c>
      <c r="O19" s="15">
        <v>0.85414782137683121</v>
      </c>
      <c r="P19" s="15">
        <v>-1.4903186060200868</v>
      </c>
      <c r="Q19" s="15">
        <v>0.85414782137683121</v>
      </c>
    </row>
    <row r="20" spans="9:17" x14ac:dyDescent="0.25">
      <c r="I20" s="15" t="s">
        <v>54</v>
      </c>
      <c r="J20" s="15">
        <v>-0.21979019027895916</v>
      </c>
      <c r="K20" s="15">
        <v>0.50419807149734464</v>
      </c>
      <c r="L20" s="15">
        <v>-0.43592033112351303</v>
      </c>
      <c r="M20" s="15">
        <v>0.68107276698931773</v>
      </c>
      <c r="N20" s="15">
        <v>-1.5158725944328935</v>
      </c>
      <c r="O20" s="15">
        <v>1.0762922138749751</v>
      </c>
      <c r="P20" s="15">
        <v>-1.5158725944328935</v>
      </c>
      <c r="Q20" s="15">
        <v>1.0762922138749751</v>
      </c>
    </row>
    <row r="21" spans="9:17" x14ac:dyDescent="0.25">
      <c r="I21" s="15" t="s">
        <v>22</v>
      </c>
      <c r="J21" s="15">
        <v>4.1153836236844654</v>
      </c>
      <c r="K21" s="15">
        <v>3.3122820149775292</v>
      </c>
      <c r="L21" s="15">
        <v>1.2424617242962581</v>
      </c>
      <c r="M21" s="15">
        <v>0.26915841325893242</v>
      </c>
      <c r="N21" s="15">
        <v>-4.3991083585216231</v>
      </c>
      <c r="O21" s="15">
        <v>12.629875605890554</v>
      </c>
      <c r="P21" s="15">
        <v>-4.3991083585216231</v>
      </c>
      <c r="Q21" s="15">
        <v>12.629875605890554</v>
      </c>
    </row>
    <row r="22" spans="9:17" x14ac:dyDescent="0.25">
      <c r="I22" s="15" t="s">
        <v>90</v>
      </c>
      <c r="J22" s="15">
        <v>-0.15075584826663344</v>
      </c>
      <c r="K22" s="15">
        <v>0.61529254159337132</v>
      </c>
      <c r="L22" s="15">
        <v>-0.24501491254263166</v>
      </c>
      <c r="M22" s="15">
        <v>0.81618310028463492</v>
      </c>
      <c r="N22" s="15">
        <v>-1.7324156792890555</v>
      </c>
      <c r="O22" s="15">
        <v>1.4309039827557888</v>
      </c>
      <c r="P22" s="15">
        <v>-1.7324156792890555</v>
      </c>
      <c r="Q22" s="15">
        <v>1.4309039827557888</v>
      </c>
    </row>
    <row r="23" spans="9:17" ht="15.75" thickBot="1" x14ac:dyDescent="0.3">
      <c r="I23" s="21" t="s">
        <v>3</v>
      </c>
      <c r="J23" s="21">
        <v>1.6954070178478616E-4</v>
      </c>
      <c r="K23" s="21">
        <v>7.2533164456558565E-4</v>
      </c>
      <c r="L23" s="21">
        <v>0.23374232057161545</v>
      </c>
      <c r="M23" s="21">
        <v>0.82445372805780681</v>
      </c>
      <c r="N23" s="21">
        <v>-1.6949836485477242E-3</v>
      </c>
      <c r="O23" s="21">
        <v>2.0340650521172964E-3</v>
      </c>
      <c r="P23" s="21">
        <v>-1.6949836485477242E-3</v>
      </c>
      <c r="Q23" s="21">
        <v>2.0340650521172964E-3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0.5791494146433952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0.33541404448178735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-0.39625471993278277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9.3288912925705778E-2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2.1961406631944048E-2</v>
      </c>
      <c r="L13" s="15">
        <v>4.3922813263888097E-3</v>
      </c>
      <c r="M13" s="15">
        <v>0.50469625741676627</v>
      </c>
      <c r="N13" s="15">
        <v>0.76426514476133267</v>
      </c>
    </row>
    <row r="14" spans="1:14" x14ac:dyDescent="0.25">
      <c r="I14" s="15" t="s">
        <v>63</v>
      </c>
      <c r="J14" s="15">
        <v>5</v>
      </c>
      <c r="K14" s="15">
        <v>4.3514106374299581E-2</v>
      </c>
      <c r="L14" s="15">
        <v>8.7028212748599156E-3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-0.26098436610997505</v>
      </c>
      <c r="K19" s="15">
        <v>0.44113832910601591</v>
      </c>
      <c r="L19" s="15">
        <v>-0.59161571074286401</v>
      </c>
      <c r="M19" s="15">
        <v>0.57984189099519401</v>
      </c>
      <c r="N19" s="15">
        <v>-1.3949665419128543</v>
      </c>
      <c r="O19" s="15">
        <v>0.87299780969290408</v>
      </c>
      <c r="P19" s="15">
        <v>-1.3949665419128543</v>
      </c>
      <c r="Q19" s="15">
        <v>0.87299780969290408</v>
      </c>
    </row>
    <row r="20" spans="9:17" x14ac:dyDescent="0.25">
      <c r="I20" s="15" t="s">
        <v>54</v>
      </c>
      <c r="J20" s="15">
        <v>-8.3020825437550946E-2</v>
      </c>
      <c r="K20" s="15">
        <v>0.43956406635421102</v>
      </c>
      <c r="L20" s="15">
        <v>-0.18887081950563908</v>
      </c>
      <c r="M20" s="15">
        <v>0.85762109226132233</v>
      </c>
      <c r="N20" s="15">
        <v>-1.2129562300061216</v>
      </c>
      <c r="O20" s="15">
        <v>1.0469145791310199</v>
      </c>
      <c r="P20" s="15">
        <v>-1.2129562300061216</v>
      </c>
      <c r="Q20" s="15">
        <v>1.0469145791310199</v>
      </c>
    </row>
    <row r="21" spans="9:17" x14ac:dyDescent="0.25">
      <c r="I21" s="15" t="s">
        <v>23</v>
      </c>
      <c r="J21" s="15">
        <v>2.7975107941160582</v>
      </c>
      <c r="K21" s="15">
        <v>2.3049301038238812</v>
      </c>
      <c r="L21" s="15">
        <v>1.2137074306396471</v>
      </c>
      <c r="M21" s="15">
        <v>0.27905777811329158</v>
      </c>
      <c r="N21" s="15">
        <v>-3.1275006631849367</v>
      </c>
      <c r="O21" s="15">
        <v>8.722522251417054</v>
      </c>
      <c r="P21" s="15">
        <v>-3.1275006631849367</v>
      </c>
      <c r="Q21" s="15">
        <v>8.722522251417054</v>
      </c>
    </row>
    <row r="22" spans="9:17" x14ac:dyDescent="0.25">
      <c r="I22" s="15" t="s">
        <v>91</v>
      </c>
      <c r="J22" s="15">
        <v>-0.21301220222373532</v>
      </c>
      <c r="K22" s="15">
        <v>0.69590979131750819</v>
      </c>
      <c r="L22" s="15">
        <v>-0.30609168728673442</v>
      </c>
      <c r="M22" s="15">
        <v>0.77186991700488872</v>
      </c>
      <c r="N22" s="15">
        <v>-2.0019052710259806</v>
      </c>
      <c r="O22" s="15">
        <v>1.5758808665785098</v>
      </c>
      <c r="P22" s="15">
        <v>-2.0019052710259806</v>
      </c>
      <c r="Q22" s="15">
        <v>1.5758808665785098</v>
      </c>
    </row>
    <row r="23" spans="9:17" ht="15.75" thickBot="1" x14ac:dyDescent="0.3">
      <c r="I23" s="21" t="s">
        <v>3</v>
      </c>
      <c r="J23" s="21">
        <v>8.975353910334998E-5</v>
      </c>
      <c r="K23" s="21">
        <v>7.1990099284060909E-4</v>
      </c>
      <c r="L23" s="21">
        <v>0.1246748372289327</v>
      </c>
      <c r="M23" s="21">
        <v>0.90563836113437968</v>
      </c>
      <c r="N23" s="21">
        <v>-1.7608108765492685E-3</v>
      </c>
      <c r="O23" s="21">
        <v>1.9403179547559685E-3</v>
      </c>
      <c r="P23" s="21">
        <v>-1.7608108765492685E-3</v>
      </c>
      <c r="Q23" s="21">
        <v>1.9403179547559685E-3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0.3633556063368652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0.13202729665643095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-0.76235086601842428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0.10661234265021691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8.6445549794073318E-3</v>
      </c>
      <c r="L13" s="15">
        <v>1.7289109958814664E-3</v>
      </c>
      <c r="M13" s="15">
        <v>0.15210996399753218</v>
      </c>
      <c r="N13" s="15">
        <v>0.96836835310531422</v>
      </c>
    </row>
    <row r="14" spans="1:14" x14ac:dyDescent="0.25">
      <c r="I14" s="15" t="s">
        <v>63</v>
      </c>
      <c r="J14" s="15">
        <v>5</v>
      </c>
      <c r="K14" s="15">
        <v>5.6830958026836298E-2</v>
      </c>
      <c r="L14" s="15">
        <v>1.1366191605367259E-2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-0.31482478030767225</v>
      </c>
      <c r="K19" s="15">
        <v>0.68870473886621297</v>
      </c>
      <c r="L19" s="15">
        <v>-0.45712590975627043</v>
      </c>
      <c r="M19" s="15">
        <v>0.66675543549952598</v>
      </c>
      <c r="N19" s="15">
        <v>-2.0851966721538111</v>
      </c>
      <c r="O19" s="15">
        <v>1.4555471115384666</v>
      </c>
      <c r="P19" s="15">
        <v>-2.0851966721538111</v>
      </c>
      <c r="Q19" s="15">
        <v>1.4555471115384666</v>
      </c>
    </row>
    <row r="20" spans="9:17" x14ac:dyDescent="0.25">
      <c r="I20" s="15" t="s">
        <v>54</v>
      </c>
      <c r="J20" s="15">
        <v>0.10350626478896807</v>
      </c>
      <c r="K20" s="15">
        <v>0.60362734783271477</v>
      </c>
      <c r="L20" s="15">
        <v>0.1714737828903887</v>
      </c>
      <c r="M20" s="15">
        <v>0.87057501860098085</v>
      </c>
      <c r="N20" s="15">
        <v>-1.4481672310431324</v>
      </c>
      <c r="O20" s="15">
        <v>1.6551797606210683</v>
      </c>
      <c r="P20" s="15">
        <v>-1.4481672310431324</v>
      </c>
      <c r="Q20" s="15">
        <v>1.6551797606210683</v>
      </c>
    </row>
    <row r="21" spans="9:17" x14ac:dyDescent="0.25">
      <c r="I21" s="15" t="s">
        <v>24</v>
      </c>
      <c r="J21" s="15">
        <v>1.2181072196775906</v>
      </c>
      <c r="K21" s="15">
        <v>9.6383191497796386</v>
      </c>
      <c r="L21" s="15">
        <v>0.12638170626518838</v>
      </c>
      <c r="M21" s="15">
        <v>0.90435465844588936</v>
      </c>
      <c r="N21" s="15">
        <v>-23.557980912811598</v>
      </c>
      <c r="O21" s="15">
        <v>25.994195352166781</v>
      </c>
      <c r="P21" s="15">
        <v>-23.557980912811598</v>
      </c>
      <c r="Q21" s="15">
        <v>25.994195352166781</v>
      </c>
    </row>
    <row r="22" spans="9:17" x14ac:dyDescent="0.25">
      <c r="I22" s="15" t="s">
        <v>92</v>
      </c>
      <c r="J22" s="15">
        <v>-0.10746070517303892</v>
      </c>
      <c r="K22" s="15">
        <v>0.64751882186696341</v>
      </c>
      <c r="L22" s="15">
        <v>-0.16595765488824255</v>
      </c>
      <c r="M22" s="15">
        <v>0.87469221212541171</v>
      </c>
      <c r="N22" s="15">
        <v>-1.7719608268968818</v>
      </c>
      <c r="O22" s="15">
        <v>1.5570394165508039</v>
      </c>
      <c r="P22" s="15">
        <v>-1.7719608268968818</v>
      </c>
      <c r="Q22" s="15">
        <v>1.5570394165508039</v>
      </c>
    </row>
    <row r="23" spans="9:17" ht="15.75" thickBot="1" x14ac:dyDescent="0.3">
      <c r="I23" s="21" t="s">
        <v>3</v>
      </c>
      <c r="J23" s="21">
        <v>-1.578798058276676E-4</v>
      </c>
      <c r="K23" s="21">
        <v>8.5165774316498357E-4</v>
      </c>
      <c r="L23" s="21">
        <v>-0.18537940515980614</v>
      </c>
      <c r="M23" s="21">
        <v>0.86021689983221905</v>
      </c>
      <c r="N23" s="21">
        <v>-2.3471357305865923E-3</v>
      </c>
      <c r="O23" s="21">
        <v>2.0313761189312569E-3</v>
      </c>
      <c r="P23" s="21">
        <v>-2.3471357305865923E-3</v>
      </c>
      <c r="Q23" s="21">
        <v>2.0313761189312569E-3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0.41458226174707796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0.17187845175532265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-0.69061878684041922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0.10413614473644103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1.1253829803398646E-2</v>
      </c>
      <c r="L13" s="15">
        <v>2.2507659606797294E-3</v>
      </c>
      <c r="M13" s="15">
        <v>0.2075522030789366</v>
      </c>
      <c r="N13" s="15">
        <v>0.94250963130462595</v>
      </c>
    </row>
    <row r="14" spans="1:14" x14ac:dyDescent="0.25">
      <c r="I14" s="15" t="s">
        <v>63</v>
      </c>
      <c r="J14" s="15">
        <v>5</v>
      </c>
      <c r="K14" s="15">
        <v>5.4221683202844984E-2</v>
      </c>
      <c r="L14" s="15">
        <v>1.0844336640568997E-2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-0.32572473573108723</v>
      </c>
      <c r="K19" s="15">
        <v>0.7143492211876783</v>
      </c>
      <c r="L19" s="15">
        <v>-0.45597408952100027</v>
      </c>
      <c r="M19" s="15">
        <v>0.66752907044597376</v>
      </c>
      <c r="N19" s="15">
        <v>-2.1620178680170814</v>
      </c>
      <c r="O19" s="15">
        <v>1.5105683965549068</v>
      </c>
      <c r="P19" s="15">
        <v>-2.1620178680170814</v>
      </c>
      <c r="Q19" s="15">
        <v>1.5105683965549068</v>
      </c>
    </row>
    <row r="20" spans="9:17" x14ac:dyDescent="0.25">
      <c r="I20" s="15" t="s">
        <v>54</v>
      </c>
      <c r="J20" s="15">
        <v>2.4475324215671182E-2</v>
      </c>
      <c r="K20" s="15">
        <v>0.77979741156428128</v>
      </c>
      <c r="L20" s="15">
        <v>3.1386772837028842E-2</v>
      </c>
      <c r="M20" s="15">
        <v>0.97617543598949463</v>
      </c>
      <c r="N20" s="15">
        <v>-1.9800577374276862</v>
      </c>
      <c r="O20" s="15">
        <v>2.0290083858590284</v>
      </c>
      <c r="P20" s="15">
        <v>-1.9800577374276862</v>
      </c>
      <c r="Q20" s="15">
        <v>2.0290083858590284</v>
      </c>
    </row>
    <row r="21" spans="9:17" x14ac:dyDescent="0.25">
      <c r="I21" s="15" t="s">
        <v>25</v>
      </c>
      <c r="J21" s="15">
        <v>4.5453774475627462</v>
      </c>
      <c r="K21" s="15">
        <v>16.397983339413209</v>
      </c>
      <c r="L21" s="15">
        <v>0.27719124684300356</v>
      </c>
      <c r="M21" s="15">
        <v>0.79272807640542275</v>
      </c>
      <c r="N21" s="15">
        <v>-37.606980665799767</v>
      </c>
      <c r="O21" s="15">
        <v>46.697735560925267</v>
      </c>
      <c r="P21" s="15">
        <v>-37.606980665799767</v>
      </c>
      <c r="Q21" s="15">
        <v>46.697735560925267</v>
      </c>
    </row>
    <row r="22" spans="9:17" x14ac:dyDescent="0.25">
      <c r="I22" s="15" t="s">
        <v>93</v>
      </c>
      <c r="J22" s="15">
        <v>-8.3334208782288186E-2</v>
      </c>
      <c r="K22" s="15">
        <v>1.6662311808485162</v>
      </c>
      <c r="L22" s="15">
        <v>-5.0013593395756069E-2</v>
      </c>
      <c r="M22" s="15">
        <v>0.96204799515204786</v>
      </c>
      <c r="N22" s="15">
        <v>-4.3665178162423315</v>
      </c>
      <c r="O22" s="15">
        <v>4.1998493986777552</v>
      </c>
      <c r="P22" s="15">
        <v>-4.3665178162423315</v>
      </c>
      <c r="Q22" s="15">
        <v>4.1998493986777552</v>
      </c>
    </row>
    <row r="23" spans="9:17" ht="15.75" thickBot="1" x14ac:dyDescent="0.3">
      <c r="I23" s="21" t="s">
        <v>3</v>
      </c>
      <c r="J23" s="21">
        <v>6.9262206017105802E-5</v>
      </c>
      <c r="K23" s="21">
        <v>7.8715925686781007E-4</v>
      </c>
      <c r="L23" s="21">
        <v>8.7990080041372376E-2</v>
      </c>
      <c r="M23" s="21">
        <v>0.93330000364352272</v>
      </c>
      <c r="N23" s="21">
        <v>-1.954195081440267E-3</v>
      </c>
      <c r="O23" s="21">
        <v>2.0927194934744786E-3</v>
      </c>
      <c r="P23" s="21">
        <v>-1.954195081440267E-3</v>
      </c>
      <c r="Q23" s="21">
        <v>2.0927194934744786E-3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0.47088512542119615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0.2217328013429356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-0.60088095758271598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0.10095290395823532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1.4518068918240215E-2</v>
      </c>
      <c r="L13" s="15">
        <v>2.9036137836480429E-3</v>
      </c>
      <c r="M13" s="15">
        <v>0.28490575181061933</v>
      </c>
      <c r="N13" s="15">
        <v>0.89950998708923668</v>
      </c>
    </row>
    <row r="14" spans="1:14" x14ac:dyDescent="0.25">
      <c r="I14" s="15" t="s">
        <v>63</v>
      </c>
      <c r="J14" s="15">
        <v>5</v>
      </c>
      <c r="K14" s="15">
        <v>5.0957444088003415E-2</v>
      </c>
      <c r="L14" s="15">
        <v>1.0191488817600684E-2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-0.16825111936861342</v>
      </c>
      <c r="K19" s="15">
        <v>0.506653245012196</v>
      </c>
      <c r="L19" s="15">
        <v>-0.33208337462550613</v>
      </c>
      <c r="M19" s="15">
        <v>0.75329522305852603</v>
      </c>
      <c r="N19" s="15">
        <v>-1.4706447479631599</v>
      </c>
      <c r="O19" s="15">
        <v>1.1341425092259332</v>
      </c>
      <c r="P19" s="15">
        <v>-1.4706447479631599</v>
      </c>
      <c r="Q19" s="15">
        <v>1.1341425092259332</v>
      </c>
    </row>
    <row r="20" spans="9:17" x14ac:dyDescent="0.25">
      <c r="I20" s="15" t="s">
        <v>54</v>
      </c>
      <c r="J20" s="15">
        <v>0.12959110100363658</v>
      </c>
      <c r="K20" s="15">
        <v>0.5489553758763317</v>
      </c>
      <c r="L20" s="15">
        <v>0.23606855256087478</v>
      </c>
      <c r="M20" s="15">
        <v>0.8227448276011543</v>
      </c>
      <c r="N20" s="15">
        <v>-1.2815436167989676</v>
      </c>
      <c r="O20" s="15">
        <v>1.5407258188062407</v>
      </c>
      <c r="P20" s="15">
        <v>-1.2815436167989676</v>
      </c>
      <c r="Q20" s="15">
        <v>1.5407258188062407</v>
      </c>
    </row>
    <row r="21" spans="9:17" x14ac:dyDescent="0.25">
      <c r="I21" s="15" t="s">
        <v>26</v>
      </c>
      <c r="J21" s="15">
        <v>2.5826907815676385</v>
      </c>
      <c r="K21" s="15">
        <v>3.3730752958495849</v>
      </c>
      <c r="L21" s="15">
        <v>0.76567836619168317</v>
      </c>
      <c r="M21" s="15">
        <v>0.47843415069321327</v>
      </c>
      <c r="N21" s="15">
        <v>-6.0880753041768934</v>
      </c>
      <c r="O21" s="15">
        <v>11.25345686731217</v>
      </c>
      <c r="P21" s="15">
        <v>-6.0880753041768934</v>
      </c>
      <c r="Q21" s="15">
        <v>11.25345686731217</v>
      </c>
    </row>
    <row r="22" spans="9:17" x14ac:dyDescent="0.25">
      <c r="I22" s="15" t="s">
        <v>94</v>
      </c>
      <c r="J22" s="15">
        <v>-0.12080694787018721</v>
      </c>
      <c r="K22" s="15">
        <v>0.20996408492977459</v>
      </c>
      <c r="L22" s="15">
        <v>-0.57536958242450265</v>
      </c>
      <c r="M22" s="15">
        <v>0.5899643079229363</v>
      </c>
      <c r="N22" s="15">
        <v>-0.66053681072666626</v>
      </c>
      <c r="O22" s="15">
        <v>0.41892291498629186</v>
      </c>
      <c r="P22" s="15">
        <v>-0.66053681072666626</v>
      </c>
      <c r="Q22" s="15">
        <v>0.41892291498629186</v>
      </c>
    </row>
    <row r="23" spans="9:17" ht="15.75" thickBot="1" x14ac:dyDescent="0.3">
      <c r="I23" s="21" t="s">
        <v>3</v>
      </c>
      <c r="J23" s="21">
        <v>5.9343428419264993E-5</v>
      </c>
      <c r="K23" s="21">
        <v>8.5943657434221147E-4</v>
      </c>
      <c r="L23" s="21">
        <v>6.9049223864698542E-2</v>
      </c>
      <c r="M23" s="21">
        <v>0.94762683676926751</v>
      </c>
      <c r="N23" s="21">
        <v>-2.1499086184663236E-3</v>
      </c>
      <c r="O23" s="21">
        <v>2.2685954753048532E-3</v>
      </c>
      <c r="P23" s="21">
        <v>-2.1499086184663236E-3</v>
      </c>
      <c r="Q23" s="21">
        <v>2.2685954753048532E-3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0.42965668005393776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0.18460486271497184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-0.66771124711305063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0.10333287464939091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1.2087098089709959E-2</v>
      </c>
      <c r="L13" s="15">
        <v>2.4174196179419919E-3</v>
      </c>
      <c r="M13" s="15">
        <v>0.2263992686167341</v>
      </c>
      <c r="N13" s="15">
        <v>0.932623785997299</v>
      </c>
    </row>
    <row r="14" spans="1:14" x14ac:dyDescent="0.25">
      <c r="I14" s="15" t="s">
        <v>63</v>
      </c>
      <c r="J14" s="15">
        <v>5</v>
      </c>
      <c r="K14" s="15">
        <v>5.338841491653367E-2</v>
      </c>
      <c r="L14" s="15">
        <v>1.0677682983306734E-2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-0.26849802460815969</v>
      </c>
      <c r="K19" s="15">
        <v>0.45479746359195733</v>
      </c>
      <c r="L19" s="15">
        <v>-0.59036834217935563</v>
      </c>
      <c r="M19" s="15">
        <v>0.58061525633572042</v>
      </c>
      <c r="N19" s="15">
        <v>-1.4375921234111135</v>
      </c>
      <c r="O19" s="15">
        <v>0.90059607419479426</v>
      </c>
      <c r="P19" s="15">
        <v>-1.4375921234111135</v>
      </c>
      <c r="Q19" s="15">
        <v>0.90059607419479426</v>
      </c>
    </row>
    <row r="20" spans="9:17" x14ac:dyDescent="0.25">
      <c r="I20" s="15" t="s">
        <v>54</v>
      </c>
      <c r="J20" s="15">
        <v>4.1980207846501099E-3</v>
      </c>
      <c r="K20" s="15">
        <v>0.51923542628961639</v>
      </c>
      <c r="L20" s="15">
        <v>8.0850045511119649E-3</v>
      </c>
      <c r="M20" s="15">
        <v>0.99386183661712701</v>
      </c>
      <c r="N20" s="15">
        <v>-1.3305391344543165</v>
      </c>
      <c r="O20" s="15">
        <v>1.3389351760236168</v>
      </c>
      <c r="P20" s="15">
        <v>-1.3305391344543165</v>
      </c>
      <c r="Q20" s="15">
        <v>1.3389351760236168</v>
      </c>
    </row>
    <row r="21" spans="9:17" x14ac:dyDescent="0.25">
      <c r="I21" s="15" t="s">
        <v>27</v>
      </c>
      <c r="J21" s="15">
        <v>0.70657460561462015</v>
      </c>
      <c r="K21" s="15">
        <v>1.2533315190705883</v>
      </c>
      <c r="L21" s="15">
        <v>0.56375715033368234</v>
      </c>
      <c r="M21" s="15">
        <v>0.59726531930263316</v>
      </c>
      <c r="N21" s="15">
        <v>-2.5152166313387041</v>
      </c>
      <c r="O21" s="15">
        <v>3.9283658425679442</v>
      </c>
      <c r="P21" s="15">
        <v>-2.5152166313387041</v>
      </c>
      <c r="Q21" s="15">
        <v>3.9283658425679442</v>
      </c>
    </row>
    <row r="22" spans="9:17" x14ac:dyDescent="0.25">
      <c r="I22" s="15" t="s">
        <v>95</v>
      </c>
      <c r="J22" s="15">
        <v>-7.2950101031839937E-2</v>
      </c>
      <c r="K22" s="15">
        <v>0.13593838571109523</v>
      </c>
      <c r="L22" s="15">
        <v>-0.53664092485898762</v>
      </c>
      <c r="M22" s="15">
        <v>0.61452366192077013</v>
      </c>
      <c r="N22" s="15">
        <v>-0.42239084610650457</v>
      </c>
      <c r="O22" s="15">
        <v>0.27649064404282464</v>
      </c>
      <c r="P22" s="15">
        <v>-0.42239084610650457</v>
      </c>
      <c r="Q22" s="15">
        <v>0.27649064404282464</v>
      </c>
    </row>
    <row r="23" spans="9:17" ht="15.75" thickBot="1" x14ac:dyDescent="0.3">
      <c r="I23" s="21" t="s">
        <v>3</v>
      </c>
      <c r="J23" s="21">
        <v>-8.1772072141464734E-5</v>
      </c>
      <c r="K23" s="21">
        <v>7.5634149497347616E-4</v>
      </c>
      <c r="L23" s="21">
        <v>-0.10811527951977878</v>
      </c>
      <c r="M23" s="21">
        <v>0.91810878762594605</v>
      </c>
      <c r="N23" s="21">
        <v>-2.0260097806582976E-3</v>
      </c>
      <c r="O23" s="21">
        <v>1.8624656363753682E-3</v>
      </c>
      <c r="P23" s="21">
        <v>-2.0260097806582976E-3</v>
      </c>
      <c r="Q23" s="21">
        <v>1.8624656363753682E-3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0.38572206149968391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0.14878150872756593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-0.73219328429038133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0.10557837600234561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9.741545609780293E-3</v>
      </c>
      <c r="L13" s="15">
        <v>1.9483091219560586E-3</v>
      </c>
      <c r="M13" s="15">
        <v>0.17478650928407538</v>
      </c>
      <c r="N13" s="15">
        <v>0.95845274929582125</v>
      </c>
    </row>
    <row r="14" spans="1:14" x14ac:dyDescent="0.25">
      <c r="I14" s="15" t="s">
        <v>63</v>
      </c>
      <c r="J14" s="15">
        <v>5</v>
      </c>
      <c r="K14" s="15">
        <v>5.5733967396463337E-2</v>
      </c>
      <c r="L14" s="15">
        <v>1.1146793479292667E-2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-0.21452573845186088</v>
      </c>
      <c r="K19" s="15">
        <v>0.48623338116883191</v>
      </c>
      <c r="L19" s="15">
        <v>-0.44119911704986864</v>
      </c>
      <c r="M19" s="15">
        <v>0.67749411485157507</v>
      </c>
      <c r="N19" s="15">
        <v>-1.4644284359644888</v>
      </c>
      <c r="O19" s="15">
        <v>1.0353769590607671</v>
      </c>
      <c r="P19" s="15">
        <v>-1.4644284359644888</v>
      </c>
      <c r="Q19" s="15">
        <v>1.0353769590607671</v>
      </c>
    </row>
    <row r="20" spans="9:17" x14ac:dyDescent="0.25">
      <c r="I20" s="15" t="s">
        <v>54</v>
      </c>
      <c r="J20" s="15">
        <v>0.16589284885642108</v>
      </c>
      <c r="K20" s="15">
        <v>0.5175646749400763</v>
      </c>
      <c r="L20" s="15">
        <v>0.32052583356008246</v>
      </c>
      <c r="M20" s="15">
        <v>0.7615323051211248</v>
      </c>
      <c r="N20" s="15">
        <v>-1.1645495033115529</v>
      </c>
      <c r="O20" s="15">
        <v>1.4963352010243951</v>
      </c>
      <c r="P20" s="15">
        <v>-1.1645495033115529</v>
      </c>
      <c r="Q20" s="15">
        <v>1.4963352010243951</v>
      </c>
    </row>
    <row r="21" spans="9:17" x14ac:dyDescent="0.25">
      <c r="I21" s="15" t="s">
        <v>28</v>
      </c>
      <c r="J21" s="15">
        <v>0.66660318805987673</v>
      </c>
      <c r="K21" s="15">
        <v>2.1973697975162532</v>
      </c>
      <c r="L21" s="15">
        <v>0.30336413507337567</v>
      </c>
      <c r="M21" s="15">
        <v>0.77382949169043358</v>
      </c>
      <c r="N21" s="15">
        <v>-4.9819156996112515</v>
      </c>
      <c r="O21" s="15">
        <v>6.3151220757310043</v>
      </c>
      <c r="P21" s="15">
        <v>-4.9819156996112515</v>
      </c>
      <c r="Q21" s="15">
        <v>6.3151220757310043</v>
      </c>
    </row>
    <row r="22" spans="9:17" x14ac:dyDescent="0.25">
      <c r="I22" s="15" t="s">
        <v>96</v>
      </c>
      <c r="J22" s="15">
        <v>-1.7474152840957984E-2</v>
      </c>
      <c r="K22" s="15">
        <v>0.1519652765155354</v>
      </c>
      <c r="L22" s="15">
        <v>-0.11498780011874359</v>
      </c>
      <c r="M22" s="15">
        <v>0.91292985359927625</v>
      </c>
      <c r="N22" s="15">
        <v>-0.40811333229924318</v>
      </c>
      <c r="O22" s="15">
        <v>0.3731650266173272</v>
      </c>
      <c r="P22" s="15">
        <v>-0.40811333229924318</v>
      </c>
      <c r="Q22" s="15">
        <v>0.3731650266173272</v>
      </c>
    </row>
    <row r="23" spans="9:17" ht="15.75" thickBot="1" x14ac:dyDescent="0.3">
      <c r="I23" s="21" t="s">
        <v>3</v>
      </c>
      <c r="J23" s="21">
        <v>2.7167800991371921E-6</v>
      </c>
      <c r="K23" s="21">
        <v>7.9700234271322889E-4</v>
      </c>
      <c r="L23" s="21">
        <v>3.4087479465725015E-3</v>
      </c>
      <c r="M23" s="21">
        <v>0.99741203896531694</v>
      </c>
      <c r="N23" s="21">
        <v>-2.0460429650390782E-3</v>
      </c>
      <c r="O23" s="21">
        <v>2.0514765252373523E-3</v>
      </c>
      <c r="P23" s="21">
        <v>-2.0460429650390782E-3</v>
      </c>
      <c r="Q23" s="21">
        <v>2.0514765252373523E-3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6.9910250354274769E-2</v>
      </c>
      <c r="C2" s="13">
        <f>'ALL VARS'!G2</f>
        <v>-1.5119795301232811E-2</v>
      </c>
      <c r="D2" s="13">
        <f>'ALL VARS'!H2</f>
        <v>3.0688084392232105E-2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-1.5119795301232811E-2</v>
      </c>
      <c r="C3" s="13">
        <f>'ALL VARS'!G3</f>
        <v>3.0688084392232105E-2</v>
      </c>
      <c r="D3" s="13">
        <f>'ALL VARS'!H3</f>
        <v>9.5325630252100918E-2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3.0688084392232105E-2</v>
      </c>
      <c r="C4" s="13">
        <f>'ALL VARS'!G4</f>
        <v>9.5325630252100918E-2</v>
      </c>
      <c r="D4" s="13">
        <f>'ALL VARS'!H4</f>
        <v>-8.3293211362542155E-2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9.5325630252100918E-2</v>
      </c>
      <c r="C5" s="13">
        <f>'ALL VARS'!G5</f>
        <v>-8.3293211362542155E-2</v>
      </c>
      <c r="D5" s="13">
        <f>'ALL VARS'!H5</f>
        <v>2.4131274131274473E-3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0.5271420424751454</v>
      </c>
    </row>
    <row r="6" spans="1:14" x14ac:dyDescent="0.25">
      <c r="A6" s="17">
        <f>'ALL VARS'!A6</f>
        <v>43907</v>
      </c>
      <c r="B6" s="13">
        <f>'ALL VARS'!F6</f>
        <v>-8.3293211362542155E-2</v>
      </c>
      <c r="C6" s="13">
        <f>'ALL VARS'!G6</f>
        <v>2.4131274131274473E-3</v>
      </c>
      <c r="D6" s="13">
        <f>'ALL VARS'!H6</f>
        <v>-0.10747361619642477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0.27787873294486798</v>
      </c>
    </row>
    <row r="7" spans="1:14" x14ac:dyDescent="0.25">
      <c r="A7" s="17">
        <f>'ALL VARS'!A7</f>
        <v>43906</v>
      </c>
      <c r="B7" s="13">
        <f>'ALL VARS'!F7</f>
        <v>2.4131274131274473E-3</v>
      </c>
      <c r="C7" s="13">
        <f>'ALL VARS'!G7</f>
        <v>-0.10747361619642477</v>
      </c>
      <c r="D7" s="13">
        <f>'ALL VARS'!H7</f>
        <v>7.0308898109727916E-2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-0.49981828069923767</v>
      </c>
    </row>
    <row r="8" spans="1:14" x14ac:dyDescent="0.25">
      <c r="A8" s="17">
        <f>'ALL VARS'!A8</f>
        <v>43903</v>
      </c>
      <c r="B8" s="13">
        <f>'ALL VARS'!F8</f>
        <v>-0.10747361619642477</v>
      </c>
      <c r="C8" s="13">
        <f>'ALL VARS'!G8</f>
        <v>7.0308898109727916E-2</v>
      </c>
      <c r="D8" s="13">
        <f>'ALL VARS'!H8</f>
        <v>-0.14874411302982729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9.7243262402238878E-2</v>
      </c>
    </row>
    <row r="9" spans="1:14" ht="15.75" thickBot="1" x14ac:dyDescent="0.3">
      <c r="A9" s="17">
        <f>'ALL VARS'!A9</f>
        <v>43902</v>
      </c>
      <c r="B9" s="13">
        <f>'ALL VARS'!F9</f>
        <v>7.0308898109727916E-2</v>
      </c>
      <c r="C9" s="13">
        <f>'ALL VARS'!G9</f>
        <v>-0.14874411302982729</v>
      </c>
      <c r="D9" s="13">
        <f>'ALL VARS'!H9</f>
        <v>-6.9053708439897721E-2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-0.14874411302982729</v>
      </c>
      <c r="C10" s="13">
        <f>'ALL VARS'!G10</f>
        <v>-6.9053708439897721E-2</v>
      </c>
      <c r="D10" s="13">
        <f>'ALL VARS'!H10</f>
        <v>4.147640791476407E-2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-6.9053708439897721E-2</v>
      </c>
      <c r="C11" s="13">
        <f>'ALL VARS'!G11</f>
        <v>4.147640791476407E-2</v>
      </c>
      <c r="D11" s="13">
        <f>'ALL VARS'!H11</f>
        <v>-9.7992105714776054E-2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1.8194252593090203E-2</v>
      </c>
      <c r="L13" s="15">
        <v>3.6388505186180408E-3</v>
      </c>
      <c r="M13" s="15">
        <v>0.38480895885822552</v>
      </c>
      <c r="N13" s="15">
        <v>0.83840527889177652</v>
      </c>
    </row>
    <row r="14" spans="1:14" x14ac:dyDescent="0.25">
      <c r="I14" s="15" t="s">
        <v>63</v>
      </c>
      <c r="J14" s="15">
        <v>5</v>
      </c>
      <c r="K14" s="15">
        <v>4.7281260413153427E-2</v>
      </c>
      <c r="L14" s="15">
        <v>9.4562520826306853E-3</v>
      </c>
    </row>
    <row r="15" spans="1:14" ht="15.75" thickBot="1" x14ac:dyDescent="0.3">
      <c r="I15" s="21" t="s">
        <v>64</v>
      </c>
      <c r="J15" s="21">
        <v>10</v>
      </c>
      <c r="K15" s="21">
        <v>6.547551300624363E-2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-0.1226974295900015</v>
      </c>
      <c r="K19" s="15">
        <v>0.45753889281677135</v>
      </c>
      <c r="L19" s="15">
        <v>-0.26816830550651705</v>
      </c>
      <c r="M19" s="15">
        <v>0.79928164894565434</v>
      </c>
      <c r="N19" s="15">
        <v>-1.2988385965619447</v>
      </c>
      <c r="O19" s="15">
        <v>1.0534437373819419</v>
      </c>
      <c r="P19" s="15">
        <v>-1.2988385965619447</v>
      </c>
      <c r="Q19" s="15">
        <v>1.0534437373819419</v>
      </c>
    </row>
    <row r="20" spans="9:17" x14ac:dyDescent="0.25">
      <c r="I20" s="15" t="s">
        <v>54</v>
      </c>
      <c r="J20" s="15">
        <v>3.3919479538102218E-2</v>
      </c>
      <c r="K20" s="15">
        <v>0.50732679723064855</v>
      </c>
      <c r="L20" s="15">
        <v>6.6859231018859891E-2</v>
      </c>
      <c r="M20" s="15">
        <v>0.94928491003208593</v>
      </c>
      <c r="N20" s="15">
        <v>-1.2702055701545509</v>
      </c>
      <c r="O20" s="15">
        <v>1.3380445292307552</v>
      </c>
      <c r="P20" s="15">
        <v>-1.2702055701545509</v>
      </c>
      <c r="Q20" s="15">
        <v>1.3380445292307552</v>
      </c>
    </row>
    <row r="21" spans="9:17" x14ac:dyDescent="0.25">
      <c r="I21" s="15" t="s">
        <v>29</v>
      </c>
      <c r="J21" s="15">
        <v>3.3875480084972707</v>
      </c>
      <c r="K21" s="15">
        <v>3.616865085541312</v>
      </c>
      <c r="L21" s="15">
        <v>0.93659783497019189</v>
      </c>
      <c r="M21" s="15">
        <v>0.39196257035694115</v>
      </c>
      <c r="N21" s="15">
        <v>-5.909899682342413</v>
      </c>
      <c r="O21" s="15">
        <v>12.684995699336955</v>
      </c>
      <c r="P21" s="15">
        <v>-5.909899682342413</v>
      </c>
      <c r="Q21" s="15">
        <v>12.684995699336955</v>
      </c>
    </row>
    <row r="22" spans="9:17" x14ac:dyDescent="0.25">
      <c r="I22" s="15" t="s">
        <v>97</v>
      </c>
      <c r="J22" s="15">
        <v>-0.11015305852361862</v>
      </c>
      <c r="K22" s="15">
        <v>0.28002650223067932</v>
      </c>
      <c r="L22" s="15">
        <v>-0.3933665479736525</v>
      </c>
      <c r="M22" s="15">
        <v>0.71026225177040136</v>
      </c>
      <c r="N22" s="15">
        <v>-0.82998409865457501</v>
      </c>
      <c r="O22" s="15">
        <v>0.60967798160733766</v>
      </c>
      <c r="P22" s="15">
        <v>-0.82998409865457501</v>
      </c>
      <c r="Q22" s="15">
        <v>0.60967798160733766</v>
      </c>
    </row>
    <row r="23" spans="9:17" ht="15.75" thickBot="1" x14ac:dyDescent="0.3">
      <c r="I23" s="21" t="s">
        <v>3</v>
      </c>
      <c r="J23" s="21">
        <v>1.9077574940998469E-4</v>
      </c>
      <c r="K23" s="21">
        <v>7.3445007387618391E-4</v>
      </c>
      <c r="L23" s="21">
        <v>0.25975318976160428</v>
      </c>
      <c r="M23" s="21">
        <v>0.80541068508173663</v>
      </c>
      <c r="N23" s="21">
        <v>-1.6971882696778834E-3</v>
      </c>
      <c r="O23" s="21">
        <v>2.0787397684978526E-3</v>
      </c>
      <c r="P23" s="21">
        <v>-1.6971882696778834E-3</v>
      </c>
      <c r="Q23" s="21">
        <v>2.0787397684978526E-3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 t="str">
        <f>IF('Eq4 avec Sent__t_+_1_k, k=0'!M21&lt;0.1,'Eq4 avec Sent__t_+_1_k, k=0'!J21,"-")</f>
        <v>-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 t="str">
        <f>IF('Eq4 avec Sent__t_+_1_k, k=3'!M22&lt;0.1,'Eq4 avec Sent__t_+_1_k, k=3'!J22,"-")</f>
        <v>-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>
        <f>IF('Eq4 avec Sent__t_+_1_k, k=4'!M21&lt;0.1,'Eq4 avec Sent__t_+_1_k, k=4'!J21,"-")</f>
        <v>7.4335773886100345</v>
      </c>
      <c r="C10" s="4">
        <f>IF('Eq4 avec Sent__t_+_1_k, k=4'!M22&lt;0.1,'Eq4 avec Sent__t_+_1_k, k=4'!J22,"-")</f>
        <v>-0.66680660066624964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>
        <f>IF('Eq4 avec Sent__t_+_1_k, k=5'!M21&lt;0.1,'Eq4 avec Sent__t_+_1_k, k=5'!J21,"-")</f>
        <v>11.26513859507897</v>
      </c>
      <c r="C11" s="4">
        <f>IF('Eq4 avec Sent__t_+_1_k, k=5'!M22&lt;0.1,'Eq4 avec Sent__t_+_1_k, k=5'!J22,"-")</f>
        <v>-1.7280258447958416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