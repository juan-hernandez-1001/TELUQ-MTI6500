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4751F563-7EFE-4615-908E-AC18AD0620EF}" xr6:coauthVersionLast="47" xr6:coauthVersionMax="47" xr10:uidLastSave="{00000000-0000-0000-0000-000000000000}"/>
  <bookViews>
    <workbookView xWindow="-120" yWindow="-120" windowWidth="20730" windowHeight="11160" firstSheet="2" activeTab="2" xr2:uid="{795554E3-061B-4252-AEC4-092F66015514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2" l="1"/>
  <c r="B10" i="112"/>
  <c r="E15" i="112" l="1"/>
  <c r="D15" i="112"/>
  <c r="E14" i="112"/>
  <c r="D14" i="112"/>
  <c r="E13" i="112"/>
  <c r="D13" i="112"/>
  <c r="E12" i="112"/>
  <c r="D12" i="112"/>
  <c r="E11" i="112"/>
  <c r="D11" i="112"/>
  <c r="E10" i="112"/>
  <c r="D10" i="112"/>
  <c r="G10" i="112" s="1"/>
  <c r="E9" i="112"/>
  <c r="D9" i="112"/>
  <c r="E8" i="112"/>
  <c r="D8" i="112"/>
  <c r="E7" i="112"/>
  <c r="D7" i="112"/>
  <c r="E6" i="112"/>
  <c r="D6" i="112"/>
  <c r="E5" i="112"/>
  <c r="D5" i="112"/>
  <c r="C15" i="112"/>
  <c r="B15" i="112"/>
  <c r="C14" i="112"/>
  <c r="B14" i="112"/>
  <c r="C13" i="112"/>
  <c r="B13" i="112"/>
  <c r="C12" i="112"/>
  <c r="B12" i="112"/>
  <c r="C11" i="112"/>
  <c r="B11" i="112"/>
  <c r="C9" i="112"/>
  <c r="B9" i="112"/>
  <c r="C8" i="112"/>
  <c r="B8" i="112"/>
  <c r="C7" i="112"/>
  <c r="B7" i="112"/>
  <c r="C6" i="112"/>
  <c r="B6" i="112"/>
  <c r="C5" i="112"/>
  <c r="B5" i="112"/>
  <c r="G15" i="112" l="1"/>
  <c r="H15" i="112" s="1"/>
  <c r="G14" i="112"/>
  <c r="I14" i="112" s="1"/>
  <c r="G13" i="112"/>
  <c r="I13" i="112" s="1"/>
  <c r="G12" i="112"/>
  <c r="I12" i="112" s="1"/>
  <c r="G11" i="112"/>
  <c r="H11" i="112" s="1"/>
  <c r="I10" i="112"/>
  <c r="H10" i="112"/>
  <c r="J10" i="112" s="1"/>
  <c r="G9" i="112"/>
  <c r="I9" i="112" s="1"/>
  <c r="G8" i="112"/>
  <c r="H8" i="112" s="1"/>
  <c r="G7" i="112"/>
  <c r="I7" i="112" s="1"/>
  <c r="G6" i="112"/>
  <c r="I6" i="112" s="1"/>
  <c r="G5" i="112"/>
  <c r="I5" i="112" s="1"/>
  <c r="I15" i="112" l="1"/>
  <c r="J15" i="112"/>
  <c r="H14" i="112"/>
  <c r="J14" i="112" s="1"/>
  <c r="H13" i="112"/>
  <c r="J13" i="112" s="1"/>
  <c r="H12" i="112"/>
  <c r="J12" i="112" s="1"/>
  <c r="I11" i="112"/>
  <c r="J11" i="112" s="1"/>
  <c r="H9" i="112"/>
  <c r="J9" i="112" s="1"/>
  <c r="I8" i="112"/>
  <c r="J8" i="112" s="1"/>
  <c r="H7" i="112"/>
  <c r="J7" i="112" s="1"/>
  <c r="H6" i="112"/>
  <c r="J6" i="112" s="1"/>
  <c r="H5" i="112"/>
  <c r="J5" i="112" s="1"/>
  <c r="B16" i="112" l="1"/>
  <c r="A1" i="97"/>
  <c r="A1" i="107"/>
  <c r="F1" i="110"/>
  <c r="E1" i="110"/>
  <c r="A48" i="110"/>
  <c r="A47" i="110"/>
  <c r="A46" i="110"/>
  <c r="A45" i="110"/>
  <c r="A44" i="110"/>
  <c r="A43" i="110"/>
  <c r="A42" i="110"/>
  <c r="A41" i="110"/>
  <c r="A40" i="110"/>
  <c r="A39" i="110"/>
  <c r="A38" i="110"/>
  <c r="A37" i="110"/>
  <c r="A36" i="110"/>
  <c r="A35" i="110"/>
  <c r="A34" i="110"/>
  <c r="A33" i="110"/>
  <c r="A32" i="110"/>
  <c r="A31" i="110"/>
  <c r="A30" i="110"/>
  <c r="A29" i="110"/>
  <c r="A28" i="110"/>
  <c r="A27" i="110"/>
  <c r="A26" i="110"/>
  <c r="A25" i="110"/>
  <c r="A24" i="110"/>
  <c r="A23" i="110"/>
  <c r="A22" i="110"/>
  <c r="A21" i="110"/>
  <c r="A20" i="110"/>
  <c r="A19" i="110"/>
  <c r="A18" i="110"/>
  <c r="A17" i="110"/>
  <c r="A16" i="110"/>
  <c r="A15" i="110"/>
  <c r="A14" i="110"/>
  <c r="A13" i="110"/>
  <c r="A12" i="110"/>
  <c r="A11" i="110"/>
  <c r="A10" i="110"/>
  <c r="A9" i="110"/>
  <c r="A8" i="110"/>
  <c r="A7" i="110"/>
  <c r="A6" i="110"/>
  <c r="A5" i="110"/>
  <c r="A4" i="110"/>
  <c r="A3" i="110"/>
  <c r="B2" i="110"/>
  <c r="A2" i="110"/>
  <c r="G1" i="110"/>
  <c r="D1" i="110"/>
  <c r="C1" i="110"/>
  <c r="B1" i="110"/>
  <c r="A1" i="110"/>
  <c r="E1" i="109"/>
  <c r="F1" i="109"/>
  <c r="A48" i="109"/>
  <c r="A47" i="109"/>
  <c r="A46" i="109"/>
  <c r="A45" i="109"/>
  <c r="A44" i="109"/>
  <c r="A43" i="109"/>
  <c r="A42" i="109"/>
  <c r="A41" i="109"/>
  <c r="A40" i="109"/>
  <c r="A39" i="109"/>
  <c r="A38" i="109"/>
  <c r="A37" i="109"/>
  <c r="A36" i="109"/>
  <c r="A35" i="109"/>
  <c r="A34" i="109"/>
  <c r="A33" i="109"/>
  <c r="A32" i="109"/>
  <c r="A31" i="109"/>
  <c r="A30" i="109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A4" i="109"/>
  <c r="A3" i="109"/>
  <c r="B2" i="109"/>
  <c r="A2" i="109"/>
  <c r="G1" i="109"/>
  <c r="D1" i="109"/>
  <c r="C1" i="109"/>
  <c r="B1" i="109"/>
  <c r="A1" i="109"/>
  <c r="F1" i="108"/>
  <c r="E1" i="108"/>
  <c r="A48" i="108"/>
  <c r="A47" i="108"/>
  <c r="A46" i="108"/>
  <c r="A45" i="108"/>
  <c r="A44" i="108"/>
  <c r="A43" i="108"/>
  <c r="A42" i="108"/>
  <c r="A41" i="108"/>
  <c r="A40" i="108"/>
  <c r="A39" i="108"/>
  <c r="A38" i="108"/>
  <c r="A37" i="108"/>
  <c r="A36" i="108"/>
  <c r="A35" i="108"/>
  <c r="A34" i="108"/>
  <c r="A33" i="108"/>
  <c r="A32" i="108"/>
  <c r="A31" i="108"/>
  <c r="A30" i="108"/>
  <c r="A29" i="108"/>
  <c r="A28" i="108"/>
  <c r="A27" i="108"/>
  <c r="A26" i="108"/>
  <c r="A25" i="108"/>
  <c r="A24" i="108"/>
  <c r="A23" i="108"/>
  <c r="A22" i="108"/>
  <c r="A21" i="108"/>
  <c r="A20" i="108"/>
  <c r="A19" i="108"/>
  <c r="A18" i="108"/>
  <c r="A17" i="108"/>
  <c r="A16" i="108"/>
  <c r="A15" i="108"/>
  <c r="A14" i="108"/>
  <c r="A13" i="108"/>
  <c r="A12" i="108"/>
  <c r="A11" i="108"/>
  <c r="A10" i="108"/>
  <c r="A9" i="108"/>
  <c r="A8" i="108"/>
  <c r="A7" i="108"/>
  <c r="A6" i="108"/>
  <c r="A5" i="108"/>
  <c r="A4" i="108"/>
  <c r="A3" i="108"/>
  <c r="B2" i="108"/>
  <c r="A2" i="108"/>
  <c r="G1" i="108"/>
  <c r="D1" i="108"/>
  <c r="C1" i="108"/>
  <c r="B1" i="108"/>
  <c r="A1" i="108"/>
  <c r="F1" i="107"/>
  <c r="E1" i="107"/>
  <c r="A48" i="107"/>
  <c r="A47" i="107"/>
  <c r="A46" i="107"/>
  <c r="A45" i="107"/>
  <c r="A44" i="107"/>
  <c r="A43" i="107"/>
  <c r="A42" i="107"/>
  <c r="A41" i="107"/>
  <c r="A40" i="107"/>
  <c r="A39" i="107"/>
  <c r="A38" i="107"/>
  <c r="A37" i="107"/>
  <c r="A36" i="107"/>
  <c r="A35" i="107"/>
  <c r="A34" i="107"/>
  <c r="A33" i="107"/>
  <c r="A32" i="107"/>
  <c r="A31" i="107"/>
  <c r="A30" i="107"/>
  <c r="A29" i="107"/>
  <c r="A28" i="107"/>
  <c r="A27" i="107"/>
  <c r="A26" i="107"/>
  <c r="A25" i="107"/>
  <c r="A24" i="107"/>
  <c r="A23" i="107"/>
  <c r="A22" i="107"/>
  <c r="A21" i="107"/>
  <c r="A20" i="107"/>
  <c r="A19" i="107"/>
  <c r="A18" i="107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A4" i="107"/>
  <c r="A3" i="107"/>
  <c r="B2" i="107"/>
  <c r="A2" i="107"/>
  <c r="G1" i="107"/>
  <c r="D1" i="107"/>
  <c r="C1" i="107"/>
  <c r="B1" i="107"/>
  <c r="F1" i="106"/>
  <c r="E1" i="106"/>
  <c r="A48" i="106"/>
  <c r="A47" i="106"/>
  <c r="A46" i="106"/>
  <c r="A45" i="106"/>
  <c r="A44" i="106"/>
  <c r="A43" i="106"/>
  <c r="A42" i="106"/>
  <c r="A41" i="106"/>
  <c r="A40" i="106"/>
  <c r="A39" i="106"/>
  <c r="A38" i="106"/>
  <c r="A37" i="106"/>
  <c r="A36" i="106"/>
  <c r="A35" i="106"/>
  <c r="A34" i="106"/>
  <c r="A33" i="106"/>
  <c r="A32" i="106"/>
  <c r="A31" i="106"/>
  <c r="A30" i="106"/>
  <c r="A29" i="106"/>
  <c r="A28" i="106"/>
  <c r="A27" i="106"/>
  <c r="A26" i="106"/>
  <c r="A25" i="106"/>
  <c r="A24" i="106"/>
  <c r="A23" i="106"/>
  <c r="A22" i="106"/>
  <c r="A21" i="106"/>
  <c r="A20" i="106"/>
  <c r="A19" i="106"/>
  <c r="A18" i="106"/>
  <c r="A17" i="106"/>
  <c r="A16" i="106"/>
  <c r="A15" i="106"/>
  <c r="A14" i="106"/>
  <c r="A13" i="106"/>
  <c r="A12" i="106"/>
  <c r="A11" i="106"/>
  <c r="A10" i="106"/>
  <c r="A9" i="106"/>
  <c r="A8" i="106"/>
  <c r="A7" i="106"/>
  <c r="A6" i="106"/>
  <c r="A5" i="106"/>
  <c r="A4" i="106"/>
  <c r="A3" i="106"/>
  <c r="B2" i="106"/>
  <c r="A2" i="106"/>
  <c r="G1" i="106"/>
  <c r="D1" i="106"/>
  <c r="C1" i="106"/>
  <c r="B1" i="106"/>
  <c r="A1" i="106"/>
  <c r="F1" i="105"/>
  <c r="E1" i="105"/>
  <c r="A48" i="105"/>
  <c r="A47" i="105"/>
  <c r="A46" i="105"/>
  <c r="A45" i="105"/>
  <c r="A44" i="105"/>
  <c r="A43" i="105"/>
  <c r="A42" i="105"/>
  <c r="A41" i="105"/>
  <c r="A40" i="105"/>
  <c r="A39" i="105"/>
  <c r="A38" i="105"/>
  <c r="A37" i="105"/>
  <c r="A36" i="105"/>
  <c r="A35" i="105"/>
  <c r="A34" i="105"/>
  <c r="A33" i="105"/>
  <c r="A32" i="105"/>
  <c r="A31" i="105"/>
  <c r="A30" i="105"/>
  <c r="A29" i="105"/>
  <c r="A28" i="105"/>
  <c r="A27" i="105"/>
  <c r="A26" i="105"/>
  <c r="A25" i="105"/>
  <c r="A24" i="105"/>
  <c r="A23" i="105"/>
  <c r="A22" i="105"/>
  <c r="A21" i="105"/>
  <c r="A20" i="105"/>
  <c r="A19" i="105"/>
  <c r="A18" i="105"/>
  <c r="A17" i="105"/>
  <c r="A16" i="105"/>
  <c r="A15" i="105"/>
  <c r="A14" i="105"/>
  <c r="A13" i="105"/>
  <c r="A12" i="105"/>
  <c r="A11" i="105"/>
  <c r="A10" i="105"/>
  <c r="A9" i="105"/>
  <c r="A8" i="105"/>
  <c r="A7" i="105"/>
  <c r="A6" i="105"/>
  <c r="A5" i="105"/>
  <c r="A4" i="105"/>
  <c r="A3" i="105"/>
  <c r="B2" i="105"/>
  <c r="A2" i="105"/>
  <c r="G1" i="105"/>
  <c r="D1" i="105"/>
  <c r="C1" i="105"/>
  <c r="B1" i="105"/>
  <c r="A1" i="105"/>
  <c r="F1" i="104"/>
  <c r="E1" i="104"/>
  <c r="A48" i="104"/>
  <c r="A47" i="104"/>
  <c r="A46" i="104"/>
  <c r="A45" i="104"/>
  <c r="A44" i="104"/>
  <c r="A43" i="104"/>
  <c r="A42" i="104"/>
  <c r="A41" i="104"/>
  <c r="A40" i="104"/>
  <c r="A39" i="104"/>
  <c r="A38" i="104"/>
  <c r="A37" i="104"/>
  <c r="A36" i="104"/>
  <c r="A35" i="104"/>
  <c r="A34" i="104"/>
  <c r="A33" i="104"/>
  <c r="A32" i="104"/>
  <c r="A31" i="104"/>
  <c r="A30" i="104"/>
  <c r="A29" i="104"/>
  <c r="A28" i="104"/>
  <c r="A27" i="104"/>
  <c r="A26" i="104"/>
  <c r="A25" i="104"/>
  <c r="A24" i="104"/>
  <c r="A23" i="104"/>
  <c r="A22" i="104"/>
  <c r="A21" i="104"/>
  <c r="A20" i="104"/>
  <c r="A19" i="104"/>
  <c r="A18" i="104"/>
  <c r="A17" i="104"/>
  <c r="A16" i="104"/>
  <c r="A15" i="104"/>
  <c r="A14" i="104"/>
  <c r="A13" i="104"/>
  <c r="A12" i="104"/>
  <c r="A11" i="104"/>
  <c r="A10" i="104"/>
  <c r="A9" i="104"/>
  <c r="A8" i="104"/>
  <c r="A7" i="104"/>
  <c r="A6" i="104"/>
  <c r="A5" i="104"/>
  <c r="A4" i="104"/>
  <c r="A3" i="104"/>
  <c r="B2" i="104"/>
  <c r="A2" i="104"/>
  <c r="G1" i="104"/>
  <c r="D1" i="104"/>
  <c r="C1" i="104"/>
  <c r="B1" i="104"/>
  <c r="A1" i="104"/>
  <c r="F1" i="103"/>
  <c r="E1" i="103"/>
  <c r="A48" i="103"/>
  <c r="A47" i="103"/>
  <c r="A46" i="103"/>
  <c r="A45" i="103"/>
  <c r="A44" i="103"/>
  <c r="A43" i="103"/>
  <c r="A42" i="103"/>
  <c r="A41" i="103"/>
  <c r="A40" i="103"/>
  <c r="A39" i="103"/>
  <c r="A38" i="103"/>
  <c r="A37" i="103"/>
  <c r="A36" i="103"/>
  <c r="A35" i="103"/>
  <c r="A34" i="103"/>
  <c r="A33" i="103"/>
  <c r="A32" i="103"/>
  <c r="A31" i="103"/>
  <c r="A30" i="103"/>
  <c r="A29" i="103"/>
  <c r="A28" i="103"/>
  <c r="A27" i="103"/>
  <c r="A26" i="103"/>
  <c r="A25" i="103"/>
  <c r="A24" i="103"/>
  <c r="A23" i="103"/>
  <c r="A22" i="103"/>
  <c r="A21" i="103"/>
  <c r="A20" i="103"/>
  <c r="A19" i="103"/>
  <c r="A18" i="103"/>
  <c r="A17" i="103"/>
  <c r="A16" i="103"/>
  <c r="A15" i="103"/>
  <c r="A14" i="103"/>
  <c r="A13" i="103"/>
  <c r="A12" i="103"/>
  <c r="A11" i="103"/>
  <c r="A10" i="103"/>
  <c r="A9" i="103"/>
  <c r="A8" i="103"/>
  <c r="A7" i="103"/>
  <c r="A6" i="103"/>
  <c r="A5" i="103"/>
  <c r="A4" i="103"/>
  <c r="A3" i="103"/>
  <c r="B2" i="103"/>
  <c r="A2" i="103"/>
  <c r="G1" i="103"/>
  <c r="D1" i="103"/>
  <c r="C1" i="103"/>
  <c r="B1" i="103"/>
  <c r="A1" i="103"/>
  <c r="F1" i="102"/>
  <c r="E1" i="102"/>
  <c r="A48" i="102"/>
  <c r="A47" i="102"/>
  <c r="A46" i="102"/>
  <c r="A45" i="102"/>
  <c r="A44" i="102"/>
  <c r="A43" i="102"/>
  <c r="A42" i="102"/>
  <c r="A41" i="102"/>
  <c r="A40" i="102"/>
  <c r="A39" i="102"/>
  <c r="A38" i="102"/>
  <c r="A37" i="102"/>
  <c r="A36" i="102"/>
  <c r="A35" i="102"/>
  <c r="A34" i="102"/>
  <c r="A33" i="102"/>
  <c r="A32" i="102"/>
  <c r="A31" i="102"/>
  <c r="A30" i="102"/>
  <c r="A29" i="102"/>
  <c r="A28" i="102"/>
  <c r="A27" i="102"/>
  <c r="A26" i="102"/>
  <c r="A25" i="102"/>
  <c r="A24" i="102"/>
  <c r="A23" i="102"/>
  <c r="A22" i="102"/>
  <c r="A21" i="102"/>
  <c r="A20" i="102"/>
  <c r="A19" i="102"/>
  <c r="A18" i="102"/>
  <c r="A17" i="102"/>
  <c r="A16" i="102"/>
  <c r="A15" i="102"/>
  <c r="A14" i="102"/>
  <c r="A13" i="102"/>
  <c r="A12" i="102"/>
  <c r="A11" i="102"/>
  <c r="A10" i="102"/>
  <c r="A9" i="102"/>
  <c r="A8" i="102"/>
  <c r="A7" i="102"/>
  <c r="A6" i="102"/>
  <c r="A5" i="102"/>
  <c r="A4" i="102"/>
  <c r="A3" i="102"/>
  <c r="B2" i="102"/>
  <c r="A2" i="102"/>
  <c r="G1" i="102"/>
  <c r="D1" i="102"/>
  <c r="C1" i="102"/>
  <c r="B1" i="102"/>
  <c r="A1" i="102"/>
  <c r="F1" i="101"/>
  <c r="E1" i="101"/>
  <c r="A48" i="101"/>
  <c r="A47" i="101"/>
  <c r="A46" i="101"/>
  <c r="A45" i="101"/>
  <c r="A44" i="101"/>
  <c r="A43" i="101"/>
  <c r="A42" i="101"/>
  <c r="A41" i="101"/>
  <c r="A40" i="101"/>
  <c r="A39" i="101"/>
  <c r="A38" i="101"/>
  <c r="A37" i="101"/>
  <c r="A36" i="101"/>
  <c r="A35" i="101"/>
  <c r="A34" i="101"/>
  <c r="A33" i="101"/>
  <c r="A32" i="101"/>
  <c r="A31" i="101"/>
  <c r="A30" i="101"/>
  <c r="A29" i="101"/>
  <c r="A28" i="101"/>
  <c r="A27" i="101"/>
  <c r="A26" i="101"/>
  <c r="A25" i="101"/>
  <c r="A24" i="101"/>
  <c r="A23" i="101"/>
  <c r="A22" i="101"/>
  <c r="A21" i="101"/>
  <c r="A20" i="101"/>
  <c r="A19" i="101"/>
  <c r="A18" i="101"/>
  <c r="A17" i="101"/>
  <c r="A16" i="101"/>
  <c r="A15" i="101"/>
  <c r="A14" i="101"/>
  <c r="A13" i="101"/>
  <c r="A12" i="101"/>
  <c r="A11" i="101"/>
  <c r="A10" i="101"/>
  <c r="A9" i="101"/>
  <c r="A8" i="101"/>
  <c r="A7" i="101"/>
  <c r="A6" i="101"/>
  <c r="A5" i="101"/>
  <c r="A4" i="101"/>
  <c r="A3" i="101"/>
  <c r="B2" i="101"/>
  <c r="A2" i="101"/>
  <c r="G1" i="101"/>
  <c r="D1" i="101"/>
  <c r="C1" i="101"/>
  <c r="B1" i="101"/>
  <c r="A1" i="101"/>
  <c r="F1" i="100"/>
  <c r="E1" i="100"/>
  <c r="A48" i="100"/>
  <c r="A47" i="100"/>
  <c r="A46" i="100"/>
  <c r="A45" i="100"/>
  <c r="A44" i="100"/>
  <c r="A43" i="100"/>
  <c r="A42" i="100"/>
  <c r="A41" i="100"/>
  <c r="A40" i="100"/>
  <c r="A39" i="100"/>
  <c r="A38" i="100"/>
  <c r="A37" i="100"/>
  <c r="A36" i="100"/>
  <c r="A35" i="100"/>
  <c r="A34" i="100"/>
  <c r="A33" i="100"/>
  <c r="A32" i="100"/>
  <c r="A31" i="100"/>
  <c r="A30" i="100"/>
  <c r="A29" i="100"/>
  <c r="A28" i="100"/>
  <c r="A27" i="100"/>
  <c r="A26" i="100"/>
  <c r="A25" i="100"/>
  <c r="A24" i="100"/>
  <c r="A23" i="100"/>
  <c r="A22" i="100"/>
  <c r="A21" i="100"/>
  <c r="A20" i="100"/>
  <c r="A19" i="100"/>
  <c r="A18" i="100"/>
  <c r="A17" i="100"/>
  <c r="A16" i="100"/>
  <c r="A15" i="100"/>
  <c r="A14" i="100"/>
  <c r="A13" i="100"/>
  <c r="A12" i="100"/>
  <c r="A11" i="100"/>
  <c r="A10" i="100"/>
  <c r="A9" i="100"/>
  <c r="A8" i="100"/>
  <c r="A7" i="100"/>
  <c r="A6" i="100"/>
  <c r="A5" i="100"/>
  <c r="A4" i="100"/>
  <c r="A3" i="100"/>
  <c r="B2" i="100"/>
  <c r="A2" i="100"/>
  <c r="G1" i="100"/>
  <c r="D1" i="100"/>
  <c r="C1" i="100"/>
  <c r="B1" i="100"/>
  <c r="A1" i="100"/>
  <c r="F1" i="99"/>
  <c r="E1" i="99"/>
  <c r="A48" i="99"/>
  <c r="A47" i="99"/>
  <c r="A46" i="99"/>
  <c r="A45" i="99"/>
  <c r="A44" i="99"/>
  <c r="A43" i="99"/>
  <c r="A42" i="99"/>
  <c r="A41" i="99"/>
  <c r="A40" i="99"/>
  <c r="A39" i="99"/>
  <c r="A38" i="99"/>
  <c r="A37" i="99"/>
  <c r="A36" i="99"/>
  <c r="A35" i="99"/>
  <c r="A34" i="99"/>
  <c r="A33" i="99"/>
  <c r="A32" i="99"/>
  <c r="A31" i="99"/>
  <c r="A30" i="99"/>
  <c r="A29" i="99"/>
  <c r="A28" i="99"/>
  <c r="A27" i="99"/>
  <c r="A26" i="99"/>
  <c r="A25" i="99"/>
  <c r="A24" i="99"/>
  <c r="A23" i="99"/>
  <c r="A22" i="99"/>
  <c r="A21" i="99"/>
  <c r="A20" i="99"/>
  <c r="A19" i="99"/>
  <c r="A18" i="99"/>
  <c r="A17" i="99"/>
  <c r="A16" i="99"/>
  <c r="A15" i="99"/>
  <c r="A14" i="99"/>
  <c r="A13" i="99"/>
  <c r="A12" i="99"/>
  <c r="A11" i="99"/>
  <c r="A10" i="99"/>
  <c r="A9" i="99"/>
  <c r="A8" i="99"/>
  <c r="A7" i="99"/>
  <c r="A6" i="99"/>
  <c r="A5" i="99"/>
  <c r="A4" i="99"/>
  <c r="A3" i="99"/>
  <c r="B2" i="99"/>
  <c r="A2" i="99"/>
  <c r="G1" i="99"/>
  <c r="D1" i="99"/>
  <c r="C1" i="99"/>
  <c r="B1" i="99"/>
  <c r="A1" i="99"/>
  <c r="F1" i="98"/>
  <c r="E1" i="98"/>
  <c r="A48" i="98"/>
  <c r="A47" i="98"/>
  <c r="A46" i="98"/>
  <c r="A45" i="98"/>
  <c r="A44" i="98"/>
  <c r="A43" i="98"/>
  <c r="A42" i="98"/>
  <c r="A41" i="98"/>
  <c r="A40" i="98"/>
  <c r="A39" i="98"/>
  <c r="A38" i="98"/>
  <c r="A37" i="98"/>
  <c r="A36" i="98"/>
  <c r="A35" i="98"/>
  <c r="A34" i="98"/>
  <c r="A33" i="98"/>
  <c r="A32" i="98"/>
  <c r="A31" i="98"/>
  <c r="A30" i="98"/>
  <c r="A29" i="98"/>
  <c r="A28" i="98"/>
  <c r="A27" i="98"/>
  <c r="A26" i="98"/>
  <c r="A25" i="98"/>
  <c r="A24" i="98"/>
  <c r="A23" i="98"/>
  <c r="A22" i="98"/>
  <c r="A21" i="98"/>
  <c r="A20" i="98"/>
  <c r="A19" i="98"/>
  <c r="A18" i="98"/>
  <c r="A17" i="98"/>
  <c r="A16" i="98"/>
  <c r="A15" i="98"/>
  <c r="A14" i="98"/>
  <c r="A13" i="98"/>
  <c r="A12" i="98"/>
  <c r="A11" i="98"/>
  <c r="A10" i="98"/>
  <c r="A9" i="98"/>
  <c r="A8" i="98"/>
  <c r="A7" i="98"/>
  <c r="A6" i="98"/>
  <c r="A5" i="98"/>
  <c r="A4" i="98"/>
  <c r="A3" i="98"/>
  <c r="B2" i="98"/>
  <c r="A2" i="98"/>
  <c r="G1" i="98"/>
  <c r="D1" i="98"/>
  <c r="C1" i="98"/>
  <c r="B1" i="98"/>
  <c r="A1" i="98"/>
  <c r="F1" i="97"/>
  <c r="E1" i="97"/>
  <c r="A48" i="97"/>
  <c r="A47" i="97"/>
  <c r="A46" i="97"/>
  <c r="A45" i="97"/>
  <c r="A44" i="97"/>
  <c r="A43" i="97"/>
  <c r="A42" i="97"/>
  <c r="A41" i="97"/>
  <c r="A40" i="97"/>
  <c r="A39" i="97"/>
  <c r="A38" i="97"/>
  <c r="A37" i="97"/>
  <c r="A36" i="97"/>
  <c r="A35" i="97"/>
  <c r="A34" i="97"/>
  <c r="A33" i="97"/>
  <c r="A32" i="97"/>
  <c r="A31" i="97"/>
  <c r="A30" i="97"/>
  <c r="A29" i="97"/>
  <c r="A28" i="97"/>
  <c r="A27" i="97"/>
  <c r="A26" i="97"/>
  <c r="A25" i="97"/>
  <c r="A24" i="97"/>
  <c r="A23" i="97"/>
  <c r="A22" i="97"/>
  <c r="A21" i="97"/>
  <c r="A20" i="97"/>
  <c r="A19" i="97"/>
  <c r="A18" i="97"/>
  <c r="A17" i="97"/>
  <c r="A16" i="97"/>
  <c r="A15" i="97"/>
  <c r="A14" i="97"/>
  <c r="A13" i="97"/>
  <c r="A12" i="97"/>
  <c r="A11" i="97"/>
  <c r="A10" i="97"/>
  <c r="A9" i="97"/>
  <c r="A8" i="97"/>
  <c r="A7" i="97"/>
  <c r="A6" i="97"/>
  <c r="A5" i="97"/>
  <c r="A4" i="97"/>
  <c r="A3" i="97"/>
  <c r="B2" i="97"/>
  <c r="A2" i="97"/>
  <c r="G1" i="97"/>
  <c r="D1" i="97"/>
  <c r="C1" i="97"/>
  <c r="B1" i="97"/>
  <c r="F1" i="96"/>
  <c r="E1" i="96"/>
  <c r="A48" i="96"/>
  <c r="A47" i="96"/>
  <c r="A46" i="96"/>
  <c r="A45" i="96"/>
  <c r="A44" i="96"/>
  <c r="A43" i="96"/>
  <c r="A42" i="96"/>
  <c r="A41" i="96"/>
  <c r="A40" i="96"/>
  <c r="A39" i="96"/>
  <c r="A38" i="96"/>
  <c r="A37" i="96"/>
  <c r="A36" i="96"/>
  <c r="A35" i="96"/>
  <c r="A34" i="96"/>
  <c r="A33" i="96"/>
  <c r="A32" i="96"/>
  <c r="A31" i="96"/>
  <c r="A30" i="96"/>
  <c r="A29" i="96"/>
  <c r="A28" i="96"/>
  <c r="A27" i="96"/>
  <c r="A26" i="96"/>
  <c r="A25" i="96"/>
  <c r="A24" i="96"/>
  <c r="A23" i="96"/>
  <c r="A22" i="96"/>
  <c r="A21" i="96"/>
  <c r="A20" i="96"/>
  <c r="A19" i="96"/>
  <c r="A18" i="96"/>
  <c r="A17" i="96"/>
  <c r="A16" i="96"/>
  <c r="A15" i="96"/>
  <c r="A14" i="96"/>
  <c r="A13" i="96"/>
  <c r="A12" i="96"/>
  <c r="A11" i="96"/>
  <c r="A10" i="96"/>
  <c r="A9" i="96"/>
  <c r="A8" i="96"/>
  <c r="A7" i="96"/>
  <c r="A6" i="96"/>
  <c r="A5" i="96"/>
  <c r="A4" i="96"/>
  <c r="A3" i="96"/>
  <c r="B2" i="96"/>
  <c r="A2" i="96"/>
  <c r="G1" i="96"/>
  <c r="D1" i="96"/>
  <c r="C1" i="96"/>
  <c r="B1" i="96"/>
  <c r="A1" i="96"/>
  <c r="F1" i="95"/>
  <c r="E1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A6" i="95"/>
  <c r="A5" i="95"/>
  <c r="A4" i="95"/>
  <c r="A3" i="95"/>
  <c r="B2" i="95"/>
  <c r="A2" i="95"/>
  <c r="G1" i="95"/>
  <c r="D1" i="95"/>
  <c r="C1" i="95"/>
  <c r="B1" i="95"/>
  <c r="A1" i="95"/>
  <c r="F1" i="94"/>
  <c r="E1" i="94"/>
  <c r="A48" i="94"/>
  <c r="A47" i="94"/>
  <c r="A46" i="94"/>
  <c r="A45" i="94"/>
  <c r="A44" i="94"/>
  <c r="A43" i="94"/>
  <c r="A42" i="94"/>
  <c r="A41" i="94"/>
  <c r="A40" i="94"/>
  <c r="A39" i="94"/>
  <c r="A38" i="94"/>
  <c r="A37" i="94"/>
  <c r="A36" i="94"/>
  <c r="A35" i="94"/>
  <c r="A34" i="94"/>
  <c r="A33" i="94"/>
  <c r="A32" i="94"/>
  <c r="A31" i="94"/>
  <c r="A30" i="94"/>
  <c r="A29" i="94"/>
  <c r="A28" i="94"/>
  <c r="A27" i="94"/>
  <c r="A26" i="94"/>
  <c r="A25" i="94"/>
  <c r="A24" i="94"/>
  <c r="A23" i="94"/>
  <c r="A22" i="94"/>
  <c r="A21" i="94"/>
  <c r="A20" i="94"/>
  <c r="A19" i="94"/>
  <c r="A18" i="94"/>
  <c r="A17" i="94"/>
  <c r="A16" i="94"/>
  <c r="A15" i="94"/>
  <c r="A14" i="94"/>
  <c r="A13" i="94"/>
  <c r="A12" i="94"/>
  <c r="A11" i="94"/>
  <c r="A10" i="94"/>
  <c r="A9" i="94"/>
  <c r="A8" i="94"/>
  <c r="A7" i="94"/>
  <c r="A6" i="94"/>
  <c r="A5" i="94"/>
  <c r="A4" i="94"/>
  <c r="A3" i="94"/>
  <c r="B2" i="94"/>
  <c r="A2" i="94"/>
  <c r="G1" i="94"/>
  <c r="D1" i="94"/>
  <c r="C1" i="94"/>
  <c r="B1" i="94"/>
  <c r="A1" i="94"/>
  <c r="F1" i="93"/>
  <c r="E1" i="93"/>
  <c r="A48" i="93"/>
  <c r="A47" i="93"/>
  <c r="A46" i="93"/>
  <c r="A45" i="93"/>
  <c r="A44" i="93"/>
  <c r="A43" i="93"/>
  <c r="A42" i="93"/>
  <c r="A41" i="93"/>
  <c r="A40" i="93"/>
  <c r="A39" i="93"/>
  <c r="A38" i="93"/>
  <c r="A37" i="93"/>
  <c r="A36" i="93"/>
  <c r="A35" i="93"/>
  <c r="A34" i="93"/>
  <c r="A33" i="93"/>
  <c r="A32" i="93"/>
  <c r="A31" i="93"/>
  <c r="A30" i="93"/>
  <c r="A29" i="93"/>
  <c r="A28" i="93"/>
  <c r="A27" i="93"/>
  <c r="A26" i="93"/>
  <c r="A25" i="93"/>
  <c r="A24" i="93"/>
  <c r="A23" i="93"/>
  <c r="A22" i="93"/>
  <c r="A21" i="93"/>
  <c r="A20" i="93"/>
  <c r="A19" i="93"/>
  <c r="A18" i="93"/>
  <c r="A17" i="93"/>
  <c r="A16" i="93"/>
  <c r="A15" i="93"/>
  <c r="A14" i="93"/>
  <c r="A13" i="93"/>
  <c r="A12" i="93"/>
  <c r="A11" i="93"/>
  <c r="A10" i="93"/>
  <c r="A9" i="93"/>
  <c r="A8" i="93"/>
  <c r="A7" i="93"/>
  <c r="A6" i="93"/>
  <c r="A5" i="93"/>
  <c r="A4" i="93"/>
  <c r="A3" i="93"/>
  <c r="B2" i="93"/>
  <c r="A2" i="93"/>
  <c r="G1" i="93"/>
  <c r="D1" i="93"/>
  <c r="C1" i="93"/>
  <c r="B1" i="93"/>
  <c r="A1" i="93"/>
  <c r="F1" i="92"/>
  <c r="E1" i="92"/>
  <c r="A48" i="92"/>
  <c r="A47" i="92"/>
  <c r="A46" i="92"/>
  <c r="A45" i="92"/>
  <c r="A44" i="92"/>
  <c r="A43" i="92"/>
  <c r="A42" i="92"/>
  <c r="A41" i="92"/>
  <c r="A40" i="92"/>
  <c r="A39" i="92"/>
  <c r="A38" i="92"/>
  <c r="A37" i="92"/>
  <c r="A36" i="92"/>
  <c r="A35" i="92"/>
  <c r="A34" i="92"/>
  <c r="A33" i="92"/>
  <c r="A32" i="92"/>
  <c r="A31" i="92"/>
  <c r="A30" i="92"/>
  <c r="A29" i="92"/>
  <c r="A28" i="92"/>
  <c r="A27" i="92"/>
  <c r="A26" i="92"/>
  <c r="A25" i="92"/>
  <c r="A24" i="92"/>
  <c r="A23" i="92"/>
  <c r="A22" i="92"/>
  <c r="A21" i="92"/>
  <c r="A20" i="92"/>
  <c r="A19" i="92"/>
  <c r="A18" i="92"/>
  <c r="A17" i="92"/>
  <c r="A16" i="92"/>
  <c r="A15" i="92"/>
  <c r="A14" i="92"/>
  <c r="A13" i="92"/>
  <c r="A12" i="92"/>
  <c r="A11" i="92"/>
  <c r="A10" i="92"/>
  <c r="A9" i="92"/>
  <c r="A8" i="92"/>
  <c r="A7" i="92"/>
  <c r="A6" i="92"/>
  <c r="A5" i="92"/>
  <c r="A4" i="92"/>
  <c r="A3" i="92"/>
  <c r="B2" i="92"/>
  <c r="A2" i="92"/>
  <c r="G1" i="92"/>
  <c r="D1" i="92"/>
  <c r="C1" i="92"/>
  <c r="B1" i="92"/>
  <c r="A1" i="92"/>
  <c r="F1" i="91"/>
  <c r="E1" i="91"/>
  <c r="A48" i="91"/>
  <c r="A47" i="91"/>
  <c r="A46" i="91"/>
  <c r="A45" i="91"/>
  <c r="A44" i="91"/>
  <c r="A43" i="91"/>
  <c r="A42" i="91"/>
  <c r="A41" i="91"/>
  <c r="A40" i="91"/>
  <c r="A39" i="91"/>
  <c r="A38" i="91"/>
  <c r="A37" i="91"/>
  <c r="A36" i="91"/>
  <c r="A35" i="91"/>
  <c r="A34" i="91"/>
  <c r="A33" i="91"/>
  <c r="A32" i="91"/>
  <c r="A31" i="91"/>
  <c r="A30" i="91"/>
  <c r="A29" i="91"/>
  <c r="A28" i="91"/>
  <c r="A27" i="91"/>
  <c r="A26" i="91"/>
  <c r="A25" i="91"/>
  <c r="A24" i="91"/>
  <c r="A23" i="91"/>
  <c r="A22" i="91"/>
  <c r="A21" i="91"/>
  <c r="A20" i="91"/>
  <c r="A19" i="91"/>
  <c r="A18" i="91"/>
  <c r="A17" i="91"/>
  <c r="A16" i="91"/>
  <c r="A15" i="91"/>
  <c r="A14" i="91"/>
  <c r="A13" i="91"/>
  <c r="A12" i="91"/>
  <c r="A11" i="91"/>
  <c r="A10" i="91"/>
  <c r="A9" i="91"/>
  <c r="A8" i="91"/>
  <c r="A7" i="91"/>
  <c r="A6" i="91"/>
  <c r="A5" i="91"/>
  <c r="A4" i="91"/>
  <c r="A3" i="91"/>
  <c r="B2" i="91"/>
  <c r="A2" i="91"/>
  <c r="G1" i="91"/>
  <c r="D1" i="91"/>
  <c r="C1" i="91"/>
  <c r="B1" i="91"/>
  <c r="A1" i="91"/>
  <c r="F1" i="90"/>
  <c r="E1" i="90"/>
  <c r="A48" i="90"/>
  <c r="A47" i="90"/>
  <c r="A46" i="90"/>
  <c r="A45" i="90"/>
  <c r="A44" i="90"/>
  <c r="A43" i="90"/>
  <c r="A42" i="90"/>
  <c r="A41" i="90"/>
  <c r="A40" i="90"/>
  <c r="A39" i="90"/>
  <c r="A38" i="90"/>
  <c r="A37" i="90"/>
  <c r="A36" i="90"/>
  <c r="A35" i="90"/>
  <c r="A34" i="90"/>
  <c r="A33" i="90"/>
  <c r="A32" i="90"/>
  <c r="A31" i="90"/>
  <c r="A30" i="90"/>
  <c r="A29" i="90"/>
  <c r="A28" i="90"/>
  <c r="A27" i="90"/>
  <c r="A26" i="90"/>
  <c r="A25" i="90"/>
  <c r="A24" i="90"/>
  <c r="A23" i="90"/>
  <c r="A22" i="90"/>
  <c r="A21" i="90"/>
  <c r="A20" i="90"/>
  <c r="A19" i="90"/>
  <c r="A18" i="90"/>
  <c r="A17" i="90"/>
  <c r="A16" i="90"/>
  <c r="A15" i="90"/>
  <c r="A14" i="90"/>
  <c r="A13" i="90"/>
  <c r="A12" i="90"/>
  <c r="A11" i="90"/>
  <c r="A10" i="90"/>
  <c r="A9" i="90"/>
  <c r="A8" i="90"/>
  <c r="A7" i="90"/>
  <c r="A6" i="90"/>
  <c r="A5" i="90"/>
  <c r="A4" i="90"/>
  <c r="A3" i="90"/>
  <c r="B2" i="90"/>
  <c r="A2" i="90"/>
  <c r="G1" i="90"/>
  <c r="D1" i="90"/>
  <c r="C1" i="90"/>
  <c r="B1" i="90"/>
  <c r="A1" i="90"/>
  <c r="G1" i="89" l="1"/>
  <c r="F1" i="89"/>
  <c r="E1" i="89"/>
  <c r="D1" i="89"/>
  <c r="C1" i="89"/>
  <c r="B2" i="89"/>
  <c r="B1" i="89"/>
  <c r="A3" i="8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2" i="89"/>
  <c r="A1" i="89"/>
  <c r="A2" i="42"/>
  <c r="A3" i="42"/>
  <c r="A4" i="42"/>
  <c r="A5" i="42"/>
  <c r="A6" i="42"/>
  <c r="A7" i="42"/>
  <c r="A8" i="42"/>
  <c r="A9" i="42"/>
  <c r="A10" i="42"/>
  <c r="A11" i="42"/>
  <c r="A12" i="42"/>
  <c r="A13" i="42"/>
  <c r="A14" i="42"/>
  <c r="A15" i="42"/>
  <c r="A16" i="42"/>
  <c r="A17" i="42"/>
  <c r="A18" i="42"/>
  <c r="A19" i="42"/>
  <c r="A20" i="42"/>
  <c r="A21" i="42"/>
  <c r="A22" i="42"/>
  <c r="A23" i="42"/>
  <c r="A24" i="42"/>
  <c r="A25" i="42"/>
  <c r="A26" i="42"/>
  <c r="A27" i="42"/>
  <c r="A28" i="42"/>
  <c r="A29" i="42"/>
  <c r="A30" i="42"/>
  <c r="A31" i="42"/>
  <c r="A32" i="42"/>
  <c r="A33" i="42"/>
  <c r="A34" i="42"/>
  <c r="A35" i="42"/>
  <c r="A36" i="42"/>
  <c r="A37" i="42"/>
  <c r="A38" i="42"/>
  <c r="A39" i="42"/>
  <c r="A40" i="42"/>
  <c r="A41" i="42"/>
  <c r="A42" i="42"/>
  <c r="A43" i="42"/>
  <c r="A44" i="42"/>
  <c r="A45" i="42"/>
  <c r="A46" i="42"/>
  <c r="A47" i="42"/>
  <c r="A48" i="42"/>
  <c r="B1" i="42"/>
  <c r="A1" i="42"/>
  <c r="B3" i="42"/>
  <c r="B4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2" i="42"/>
  <c r="B50" i="42" s="1"/>
  <c r="E2" i="99" l="1"/>
  <c r="B6" i="42"/>
  <c r="B5" i="42"/>
  <c r="E23" i="42" l="1"/>
  <c r="E21" i="42"/>
  <c r="E22" i="42"/>
  <c r="E24" i="42"/>
  <c r="E20" i="42"/>
  <c r="E3" i="89"/>
  <c r="E2" i="106" l="1"/>
  <c r="E2" i="107"/>
  <c r="E2" i="108"/>
  <c r="E2" i="110"/>
  <c r="E2" i="105"/>
  <c r="E2" i="104"/>
  <c r="E2" i="103"/>
  <c r="E2" i="102"/>
  <c r="E2" i="101"/>
  <c r="E2" i="100"/>
  <c r="E3" i="99"/>
  <c r="E4" i="99"/>
  <c r="E5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1" i="100" l="1"/>
  <c r="E37" i="100"/>
  <c r="E29" i="100"/>
  <c r="E25" i="100"/>
  <c r="E17" i="100"/>
  <c r="E13" i="100"/>
  <c r="E9" i="100"/>
  <c r="E5" i="100"/>
  <c r="E48" i="103"/>
  <c r="E47" i="108"/>
  <c r="E46" i="110"/>
  <c r="E46" i="105"/>
  <c r="E45" i="106"/>
  <c r="E45" i="102"/>
  <c r="E44" i="103"/>
  <c r="E43" i="104"/>
  <c r="E42" i="110"/>
  <c r="E42" i="101"/>
  <c r="E41" i="106"/>
  <c r="E40" i="107"/>
  <c r="E40" i="103"/>
  <c r="E39" i="104"/>
  <c r="E38" i="110"/>
  <c r="E38" i="101"/>
  <c r="E37" i="106"/>
  <c r="E36" i="107"/>
  <c r="E35" i="108"/>
  <c r="E35" i="104"/>
  <c r="E34" i="105"/>
  <c r="E34" i="101"/>
  <c r="E33" i="102"/>
  <c r="E32" i="107"/>
  <c r="E31" i="108"/>
  <c r="E31" i="104"/>
  <c r="E30" i="105"/>
  <c r="E30" i="101"/>
  <c r="E29" i="102"/>
  <c r="E28" i="107"/>
  <c r="E27" i="108"/>
  <c r="E27" i="104"/>
  <c r="E26" i="105"/>
  <c r="E26" i="101"/>
  <c r="E25" i="102"/>
  <c r="E24" i="103"/>
  <c r="E23" i="108"/>
  <c r="E22" i="110"/>
  <c r="E22" i="105"/>
  <c r="E21" i="106"/>
  <c r="E21" i="102"/>
  <c r="E20" i="103"/>
  <c r="E19" i="104"/>
  <c r="E18" i="110"/>
  <c r="E18" i="105"/>
  <c r="E17" i="106"/>
  <c r="E16" i="107"/>
  <c r="E16" i="103"/>
  <c r="E15" i="104"/>
  <c r="E14" i="110"/>
  <c r="E14" i="101"/>
  <c r="E13" i="106"/>
  <c r="E12" i="107"/>
  <c r="E12" i="103"/>
  <c r="E11" i="104"/>
  <c r="E10" i="110"/>
  <c r="E10" i="101"/>
  <c r="E9" i="106"/>
  <c r="E8" i="107"/>
  <c r="E7" i="108"/>
  <c r="E7" i="104"/>
  <c r="E6" i="105"/>
  <c r="E6" i="101"/>
  <c r="E5" i="102"/>
  <c r="E4" i="107"/>
  <c r="E3" i="108"/>
  <c r="E44" i="100"/>
  <c r="E36" i="100"/>
  <c r="E48" i="110"/>
  <c r="E48" i="105"/>
  <c r="E48" i="101"/>
  <c r="E47" i="106"/>
  <c r="E47" i="102"/>
  <c r="E46" i="107"/>
  <c r="E46" i="103"/>
  <c r="E45" i="108"/>
  <c r="E45" i="104"/>
  <c r="E44" i="110"/>
  <c r="E44" i="105"/>
  <c r="E44" i="101"/>
  <c r="E43" i="106"/>
  <c r="E43" i="102"/>
  <c r="E42" i="107"/>
  <c r="E42" i="103"/>
  <c r="E41" i="108"/>
  <c r="E41" i="104"/>
  <c r="E40" i="110"/>
  <c r="E40" i="105"/>
  <c r="E40" i="101"/>
  <c r="E39" i="106"/>
  <c r="E39" i="102"/>
  <c r="E38" i="107"/>
  <c r="E38" i="103"/>
  <c r="E37" i="108"/>
  <c r="E37" i="104"/>
  <c r="E36" i="110"/>
  <c r="E36" i="105"/>
  <c r="E36" i="101"/>
  <c r="E35" i="106"/>
  <c r="E35" i="102"/>
  <c r="E34" i="107"/>
  <c r="E34" i="103"/>
  <c r="E33" i="108"/>
  <c r="E33" i="104"/>
  <c r="E32" i="110"/>
  <c r="E32" i="105"/>
  <c r="E32" i="101"/>
  <c r="E31" i="106"/>
  <c r="E31" i="102"/>
  <c r="E30" i="107"/>
  <c r="E30" i="103"/>
  <c r="E29" i="108"/>
  <c r="E29" i="104"/>
  <c r="E28" i="110"/>
  <c r="E28" i="105"/>
  <c r="E28" i="101"/>
  <c r="E27" i="106"/>
  <c r="E27" i="102"/>
  <c r="E26" i="107"/>
  <c r="E26" i="103"/>
  <c r="E25" i="108"/>
  <c r="E25" i="104"/>
  <c r="E24" i="110"/>
  <c r="E24" i="105"/>
  <c r="E24" i="101"/>
  <c r="E23" i="106"/>
  <c r="E23" i="102"/>
  <c r="E22" i="107"/>
  <c r="E22" i="103"/>
  <c r="E21" i="108"/>
  <c r="E21" i="104"/>
  <c r="E20" i="110"/>
  <c r="E20" i="105"/>
  <c r="E20" i="101"/>
  <c r="E19" i="106"/>
  <c r="E19" i="102"/>
  <c r="E18" i="107"/>
  <c r="E18" i="103"/>
  <c r="E17" i="108"/>
  <c r="E17" i="104"/>
  <c r="E16" i="110"/>
  <c r="E16" i="105"/>
  <c r="E16" i="101"/>
  <c r="E15" i="106"/>
  <c r="E15" i="102"/>
  <c r="E14" i="107"/>
  <c r="E14" i="103"/>
  <c r="E13" i="108"/>
  <c r="E13" i="104"/>
  <c r="E12" i="110"/>
  <c r="E12" i="105"/>
  <c r="E12" i="101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45" i="100"/>
  <c r="E33" i="100"/>
  <c r="E21" i="100"/>
  <c r="E48" i="107"/>
  <c r="E47" i="104"/>
  <c r="E46" i="101"/>
  <c r="E44" i="107"/>
  <c r="E43" i="108"/>
  <c r="E42" i="105"/>
  <c r="E41" i="102"/>
  <c r="E39" i="108"/>
  <c r="E38" i="105"/>
  <c r="E37" i="102"/>
  <c r="E36" i="103"/>
  <c r="E34" i="110"/>
  <c r="E33" i="106"/>
  <c r="E32" i="103"/>
  <c r="E30" i="110"/>
  <c r="E29" i="106"/>
  <c r="E28" i="103"/>
  <c r="E26" i="110"/>
  <c r="E25" i="106"/>
  <c r="E24" i="107"/>
  <c r="E23" i="104"/>
  <c r="E22" i="101"/>
  <c r="E20" i="107"/>
  <c r="E19" i="108"/>
  <c r="E18" i="101"/>
  <c r="E17" i="102"/>
  <c r="E15" i="108"/>
  <c r="E14" i="105"/>
  <c r="E13" i="102"/>
  <c r="E11" i="108"/>
  <c r="E10" i="105"/>
  <c r="E9" i="102"/>
  <c r="E8" i="103"/>
  <c r="E6" i="110"/>
  <c r="E5" i="106"/>
  <c r="E4" i="103"/>
  <c r="E3" i="104"/>
  <c r="E48" i="100"/>
  <c r="E40" i="100"/>
  <c r="E32" i="100"/>
  <c r="E28" i="100"/>
  <c r="E24" i="100"/>
  <c r="E20" i="100"/>
  <c r="E16" i="100"/>
  <c r="E12" i="100"/>
  <c r="E8" i="100"/>
  <c r="E4" i="100"/>
  <c r="E48" i="106"/>
  <c r="E48" i="102"/>
  <c r="E47" i="107"/>
  <c r="E47" i="103"/>
  <c r="E46" i="108"/>
  <c r="E46" i="104"/>
  <c r="E45" i="110"/>
  <c r="E45" i="105"/>
  <c r="E45" i="101"/>
  <c r="E44" i="106"/>
  <c r="E44" i="102"/>
  <c r="E43" i="107"/>
  <c r="E43" i="103"/>
  <c r="E42" i="108"/>
  <c r="E42" i="104"/>
  <c r="E41" i="110"/>
  <c r="E41" i="105"/>
  <c r="E41" i="101"/>
  <c r="E40" i="106"/>
  <c r="E40" i="102"/>
  <c r="E39" i="107"/>
  <c r="E39" i="103"/>
  <c r="E38" i="108"/>
  <c r="E38" i="104"/>
  <c r="E37" i="110"/>
  <c r="E37" i="105"/>
  <c r="E37" i="101"/>
  <c r="E36" i="106"/>
  <c r="E36" i="102"/>
  <c r="E35" i="107"/>
  <c r="E35" i="103"/>
  <c r="E34" i="108"/>
  <c r="E34" i="104"/>
  <c r="E33" i="110"/>
  <c r="E33" i="105"/>
  <c r="E33" i="101"/>
  <c r="E32" i="106"/>
  <c r="E32" i="102"/>
  <c r="E31" i="107"/>
  <c r="E31" i="103"/>
  <c r="E30" i="108"/>
  <c r="E30" i="104"/>
  <c r="E29" i="110"/>
  <c r="E29" i="105"/>
  <c r="E29" i="101"/>
  <c r="E28" i="106"/>
  <c r="E28" i="102"/>
  <c r="E27" i="107"/>
  <c r="E27" i="103"/>
  <c r="E26" i="108"/>
  <c r="E26" i="104"/>
  <c r="E25" i="110"/>
  <c r="E25" i="105"/>
  <c r="E25" i="101"/>
  <c r="E24" i="106"/>
  <c r="E24" i="102"/>
  <c r="E23" i="107"/>
  <c r="E23" i="103"/>
  <c r="E22" i="108"/>
  <c r="E22" i="104"/>
  <c r="E21" i="110"/>
  <c r="E21" i="105"/>
  <c r="E21" i="101"/>
  <c r="E20" i="106"/>
  <c r="E20" i="102"/>
  <c r="E19" i="107"/>
  <c r="E19" i="103"/>
  <c r="E18" i="108"/>
  <c r="E18" i="104"/>
  <c r="E17" i="110"/>
  <c r="E17" i="105"/>
  <c r="E17" i="101"/>
  <c r="E16" i="106"/>
  <c r="E16" i="102"/>
  <c r="E15" i="107"/>
  <c r="E15" i="103"/>
  <c r="E14" i="108"/>
  <c r="E14" i="104"/>
  <c r="E13" i="110"/>
  <c r="E13" i="105"/>
  <c r="E13" i="101"/>
  <c r="E12" i="106"/>
  <c r="E12" i="102"/>
  <c r="E11" i="107"/>
  <c r="E11" i="103"/>
  <c r="E10" i="108"/>
  <c r="E10" i="104"/>
  <c r="E9" i="110"/>
  <c r="E9" i="105"/>
  <c r="E9" i="101"/>
  <c r="E8" i="106"/>
  <c r="E8" i="102"/>
  <c r="E7" i="107"/>
  <c r="E7" i="103"/>
  <c r="E6" i="108"/>
  <c r="E6" i="104"/>
  <c r="E5" i="110"/>
  <c r="E5" i="105"/>
  <c r="E5" i="101"/>
  <c r="E4" i="106"/>
  <c r="E4" i="102"/>
  <c r="E3" i="107"/>
  <c r="E3" i="103"/>
  <c r="E47" i="100"/>
  <c r="E43" i="100"/>
  <c r="E39" i="100"/>
  <c r="E35" i="100"/>
  <c r="E31" i="100"/>
  <c r="E27" i="100"/>
  <c r="E23" i="100"/>
  <c r="E19" i="100"/>
  <c r="E15" i="100"/>
  <c r="E11" i="100"/>
  <c r="E7" i="100"/>
  <c r="E3" i="100"/>
  <c r="E46" i="100"/>
  <c r="E42" i="100"/>
  <c r="E38" i="100"/>
  <c r="E34" i="100"/>
  <c r="E30" i="100"/>
  <c r="E26" i="100"/>
  <c r="E22" i="100"/>
  <c r="E18" i="100"/>
  <c r="E14" i="100"/>
  <c r="E10" i="100"/>
  <c r="E6" i="100"/>
  <c r="E48" i="108"/>
  <c r="E48" i="104"/>
  <c r="E47" i="110"/>
  <c r="E47" i="105"/>
  <c r="E47" i="101"/>
  <c r="E46" i="106"/>
  <c r="E46" i="102"/>
  <c r="E45" i="107"/>
  <c r="E45" i="103"/>
  <c r="E44" i="108"/>
  <c r="E44" i="104"/>
  <c r="E43" i="110"/>
  <c r="E43" i="105"/>
  <c r="E43" i="101"/>
  <c r="E42" i="106"/>
  <c r="E42" i="102"/>
  <c r="E41" i="107"/>
  <c r="E41" i="103"/>
  <c r="E40" i="108"/>
  <c r="E40" i="104"/>
  <c r="E39" i="110"/>
  <c r="E39" i="105"/>
  <c r="E39" i="101"/>
  <c r="E38" i="106"/>
  <c r="E38" i="102"/>
  <c r="E37" i="107"/>
  <c r="E37" i="103"/>
  <c r="E36" i="108"/>
  <c r="E36" i="104"/>
  <c r="E35" i="110"/>
  <c r="E35" i="105"/>
  <c r="E35" i="101"/>
  <c r="E34" i="106"/>
  <c r="E34" i="102"/>
  <c r="E33" i="107"/>
  <c r="E33" i="103"/>
  <c r="E32" i="108"/>
  <c r="E32" i="104"/>
  <c r="E31" i="110"/>
  <c r="E31" i="105"/>
  <c r="E31" i="101"/>
  <c r="E30" i="106"/>
  <c r="E30" i="102"/>
  <c r="E29" i="107"/>
  <c r="E29" i="103"/>
  <c r="E28" i="108"/>
  <c r="E28" i="104"/>
  <c r="E27" i="110"/>
  <c r="E27" i="105"/>
  <c r="E27" i="101"/>
  <c r="E26" i="106"/>
  <c r="E26" i="102"/>
  <c r="E25" i="107"/>
  <c r="E25" i="103"/>
  <c r="E24" i="108"/>
  <c r="E24" i="104"/>
  <c r="E23" i="110"/>
  <c r="E23" i="105"/>
  <c r="E23" i="101"/>
  <c r="E22" i="106"/>
  <c r="E22" i="102"/>
  <c r="E21" i="107"/>
  <c r="E21" i="103"/>
  <c r="E20" i="108"/>
  <c r="E20" i="104"/>
  <c r="E19" i="110"/>
  <c r="E19" i="105"/>
  <c r="E19" i="101"/>
  <c r="E18" i="106"/>
  <c r="E18" i="102"/>
  <c r="E17" i="107"/>
  <c r="E17" i="103"/>
  <c r="E16" i="108"/>
  <c r="E16" i="104"/>
  <c r="E15" i="110"/>
  <c r="E15" i="105"/>
  <c r="E15" i="101"/>
  <c r="E14" i="106"/>
  <c r="E14" i="102"/>
  <c r="E13" i="107"/>
  <c r="E13" i="103"/>
  <c r="E12" i="108"/>
  <c r="E12" i="104"/>
  <c r="E11" i="110"/>
  <c r="E11" i="105"/>
  <c r="E11" i="101"/>
  <c r="E10" i="106"/>
  <c r="E10" i="102"/>
  <c r="E9" i="107"/>
  <c r="E9" i="103"/>
  <c r="E8" i="108"/>
  <c r="E8" i="104"/>
  <c r="E7" i="110"/>
  <c r="E7" i="105"/>
  <c r="E7" i="101"/>
  <c r="E6" i="106"/>
  <c r="E6" i="102"/>
  <c r="E5" i="107"/>
  <c r="E5" i="103"/>
  <c r="E4" i="108"/>
  <c r="E4" i="104"/>
  <c r="E3" i="110"/>
  <c r="E3" i="105"/>
  <c r="E3" i="101"/>
  <c r="E3" i="92"/>
  <c r="E3" i="93"/>
  <c r="E3" i="98"/>
  <c r="E3" i="90"/>
  <c r="E3" i="94"/>
  <c r="E3" i="97"/>
  <c r="E3" i="91"/>
  <c r="E3" i="95"/>
  <c r="E3" i="96"/>
  <c r="E40" i="98"/>
  <c r="E32" i="98"/>
  <c r="E28" i="98"/>
  <c r="E8" i="98"/>
  <c r="E47" i="98"/>
  <c r="E43" i="98"/>
  <c r="E39" i="98"/>
  <c r="E23" i="98"/>
  <c r="E15" i="98"/>
  <c r="E46" i="98"/>
  <c r="E42" i="98"/>
  <c r="E38" i="98"/>
  <c r="E34" i="98"/>
  <c r="E30" i="98"/>
  <c r="E26" i="98"/>
  <c r="E22" i="98"/>
  <c r="E18" i="98"/>
  <c r="E14" i="98"/>
  <c r="E10" i="98"/>
  <c r="E6" i="98"/>
  <c r="E48" i="98"/>
  <c r="E44" i="98"/>
  <c r="E36" i="98"/>
  <c r="E24" i="98"/>
  <c r="E20" i="98"/>
  <c r="E16" i="98"/>
  <c r="E12" i="98"/>
  <c r="E4" i="98"/>
  <c r="E35" i="98"/>
  <c r="E31" i="98"/>
  <c r="E27" i="98"/>
  <c r="E19" i="98"/>
  <c r="E11" i="98"/>
  <c r="E7" i="98"/>
  <c r="E45" i="98"/>
  <c r="E41" i="98"/>
  <c r="E37" i="98"/>
  <c r="E33" i="98"/>
  <c r="E29" i="98"/>
  <c r="E25" i="98"/>
  <c r="E21" i="98"/>
  <c r="E17" i="98"/>
  <c r="E13" i="98"/>
  <c r="E9" i="98"/>
  <c r="E5" i="98"/>
  <c r="E40" i="97"/>
  <c r="E36" i="97"/>
  <c r="E32" i="97"/>
  <c r="E28" i="97"/>
  <c r="E24" i="97"/>
  <c r="E20" i="97"/>
  <c r="E16" i="97"/>
  <c r="E12" i="97"/>
  <c r="E8" i="97"/>
  <c r="E4" i="97"/>
  <c r="E39" i="97"/>
  <c r="E35" i="97"/>
  <c r="E31" i="97"/>
  <c r="E27" i="97"/>
  <c r="E23" i="97"/>
  <c r="E19" i="97"/>
  <c r="E15" i="97"/>
  <c r="E11" i="97"/>
  <c r="E7" i="97"/>
  <c r="E45" i="97"/>
  <c r="E41" i="97"/>
  <c r="E37" i="97"/>
  <c r="E33" i="97"/>
  <c r="E29" i="97"/>
  <c r="E25" i="97"/>
  <c r="E21" i="97"/>
  <c r="E17" i="97"/>
  <c r="E13" i="97"/>
  <c r="E9" i="97"/>
  <c r="E5" i="97"/>
  <c r="E48" i="97"/>
  <c r="E44" i="97"/>
  <c r="E47" i="97"/>
  <c r="E43" i="97"/>
  <c r="E46" i="97"/>
  <c r="E42" i="97"/>
  <c r="E38" i="97"/>
  <c r="E34" i="97"/>
  <c r="E30" i="97"/>
  <c r="E26" i="97"/>
  <c r="E22" i="97"/>
  <c r="E18" i="97"/>
  <c r="E14" i="97"/>
  <c r="E10" i="97"/>
  <c r="E6" i="97"/>
  <c r="E46" i="96"/>
  <c r="E42" i="96"/>
  <c r="E38" i="96"/>
  <c r="E34" i="96"/>
  <c r="E30" i="96"/>
  <c r="E26" i="96"/>
  <c r="E22" i="96"/>
  <c r="E18" i="96"/>
  <c r="E14" i="96"/>
  <c r="E10" i="96"/>
  <c r="E6" i="96"/>
  <c r="E45" i="96"/>
  <c r="E41" i="96"/>
  <c r="E37" i="96"/>
  <c r="E33" i="96"/>
  <c r="E29" i="96"/>
  <c r="E25" i="96"/>
  <c r="E21" i="96"/>
  <c r="E17" i="96"/>
  <c r="E13" i="96"/>
  <c r="E9" i="96"/>
  <c r="E5" i="96"/>
  <c r="E48" i="96"/>
  <c r="E44" i="96"/>
  <c r="E40" i="96"/>
  <c r="E36" i="96"/>
  <c r="E32" i="96"/>
  <c r="E28" i="96"/>
  <c r="E24" i="96"/>
  <c r="E20" i="96"/>
  <c r="E16" i="96"/>
  <c r="E12" i="96"/>
  <c r="E8" i="96"/>
  <c r="E4" i="96"/>
  <c r="E47" i="96"/>
  <c r="E43" i="96"/>
  <c r="E39" i="96"/>
  <c r="E35" i="96"/>
  <c r="E31" i="96"/>
  <c r="E27" i="96"/>
  <c r="E23" i="96"/>
  <c r="E19" i="96"/>
  <c r="E15" i="96"/>
  <c r="E11" i="96"/>
  <c r="E7" i="96"/>
  <c r="E43" i="95"/>
  <c r="E39" i="95"/>
  <c r="E35" i="95"/>
  <c r="E31" i="95"/>
  <c r="E27" i="95"/>
  <c r="E23" i="95"/>
  <c r="E19" i="95"/>
  <c r="E15" i="95"/>
  <c r="E11" i="95"/>
  <c r="E7" i="95"/>
  <c r="E46" i="95"/>
  <c r="E42" i="95"/>
  <c r="E38" i="95"/>
  <c r="E34" i="95"/>
  <c r="E30" i="95"/>
  <c r="E26" i="95"/>
  <c r="E22" i="95"/>
  <c r="E18" i="95"/>
  <c r="E14" i="95"/>
  <c r="E10" i="95"/>
  <c r="E6" i="95"/>
  <c r="E45" i="95"/>
  <c r="E41" i="95"/>
  <c r="E37" i="95"/>
  <c r="E33" i="95"/>
  <c r="E29" i="95"/>
  <c r="E25" i="95"/>
  <c r="E21" i="95"/>
  <c r="E17" i="95"/>
  <c r="E13" i="95"/>
  <c r="E9" i="95"/>
  <c r="E5" i="95"/>
  <c r="E47" i="95"/>
  <c r="E48" i="95"/>
  <c r="E44" i="95"/>
  <c r="E40" i="95"/>
  <c r="E36" i="95"/>
  <c r="E32" i="95"/>
  <c r="E28" i="95"/>
  <c r="E24" i="95"/>
  <c r="E20" i="95"/>
  <c r="E16" i="95"/>
  <c r="E12" i="95"/>
  <c r="E8" i="95"/>
  <c r="E4" i="95"/>
  <c r="E48" i="94"/>
  <c r="E44" i="94"/>
  <c r="E40" i="94"/>
  <c r="E36" i="94"/>
  <c r="E32" i="94"/>
  <c r="E28" i="94"/>
  <c r="E24" i="94"/>
  <c r="E20" i="94"/>
  <c r="E16" i="94"/>
  <c r="E12" i="94"/>
  <c r="E8" i="94"/>
  <c r="E4" i="94"/>
  <c r="E47" i="94"/>
  <c r="E43" i="94"/>
  <c r="E39" i="94"/>
  <c r="E35" i="94"/>
  <c r="E31" i="94"/>
  <c r="E27" i="94"/>
  <c r="E23" i="94"/>
  <c r="E19" i="94"/>
  <c r="E15" i="94"/>
  <c r="E11" i="94"/>
  <c r="E7" i="94"/>
  <c r="E46" i="94"/>
  <c r="E42" i="94"/>
  <c r="E38" i="94"/>
  <c r="E34" i="94"/>
  <c r="E30" i="94"/>
  <c r="E26" i="94"/>
  <c r="E22" i="94"/>
  <c r="E18" i="94"/>
  <c r="E14" i="94"/>
  <c r="E10" i="94"/>
  <c r="E6" i="94"/>
  <c r="E45" i="94"/>
  <c r="E41" i="94"/>
  <c r="E37" i="94"/>
  <c r="E33" i="94"/>
  <c r="E29" i="94"/>
  <c r="E25" i="94"/>
  <c r="E21" i="94"/>
  <c r="E17" i="94"/>
  <c r="E13" i="94"/>
  <c r="E9" i="94"/>
  <c r="E5" i="94"/>
  <c r="E45" i="93"/>
  <c r="E33" i="93"/>
  <c r="E13" i="93"/>
  <c r="E36" i="93"/>
  <c r="E28" i="93"/>
  <c r="E24" i="93"/>
  <c r="E16" i="93"/>
  <c r="E4" i="93"/>
  <c r="E47" i="93"/>
  <c r="E43" i="93"/>
  <c r="E39" i="93"/>
  <c r="E35" i="93"/>
  <c r="E31" i="93"/>
  <c r="E27" i="93"/>
  <c r="E23" i="93"/>
  <c r="E19" i="93"/>
  <c r="E15" i="93"/>
  <c r="E11" i="93"/>
  <c r="E7" i="93"/>
  <c r="E41" i="93"/>
  <c r="E37" i="93"/>
  <c r="E29" i="93"/>
  <c r="E25" i="93"/>
  <c r="E21" i="93"/>
  <c r="E17" i="93"/>
  <c r="E9" i="93"/>
  <c r="E5" i="93"/>
  <c r="E48" i="93"/>
  <c r="E44" i="93"/>
  <c r="E40" i="93"/>
  <c r="E32" i="93"/>
  <c r="E20" i="93"/>
  <c r="E12" i="93"/>
  <c r="E8" i="93"/>
  <c r="E46" i="93"/>
  <c r="E42" i="93"/>
  <c r="E38" i="93"/>
  <c r="E34" i="93"/>
  <c r="E30" i="93"/>
  <c r="E26" i="93"/>
  <c r="E22" i="93"/>
  <c r="E18" i="93"/>
  <c r="E14" i="93"/>
  <c r="E10" i="93"/>
  <c r="E6" i="93"/>
  <c r="E46" i="92"/>
  <c r="E38" i="92"/>
  <c r="E34" i="92"/>
  <c r="E26" i="92"/>
  <c r="E18" i="92"/>
  <c r="E10" i="92"/>
  <c r="E6" i="92"/>
  <c r="E33" i="92"/>
  <c r="E29" i="92"/>
  <c r="E21" i="92"/>
  <c r="E17" i="92"/>
  <c r="E48" i="92"/>
  <c r="E44" i="92"/>
  <c r="E40" i="92"/>
  <c r="E36" i="92"/>
  <c r="E32" i="92"/>
  <c r="E28" i="92"/>
  <c r="E24" i="92"/>
  <c r="E20" i="92"/>
  <c r="E16" i="92"/>
  <c r="E12" i="92"/>
  <c r="E8" i="92"/>
  <c r="E4" i="92"/>
  <c r="E42" i="92"/>
  <c r="E30" i="92"/>
  <c r="E22" i="92"/>
  <c r="E14" i="92"/>
  <c r="E45" i="92"/>
  <c r="E41" i="92"/>
  <c r="E37" i="92"/>
  <c r="E25" i="92"/>
  <c r="E13" i="92"/>
  <c r="E9" i="92"/>
  <c r="E5" i="92"/>
  <c r="E47" i="92"/>
  <c r="E43" i="92"/>
  <c r="E39" i="92"/>
  <c r="E35" i="92"/>
  <c r="E31" i="92"/>
  <c r="E27" i="92"/>
  <c r="E23" i="92"/>
  <c r="E19" i="92"/>
  <c r="E15" i="92"/>
  <c r="E11" i="92"/>
  <c r="E7" i="92"/>
  <c r="E47" i="91"/>
  <c r="E43" i="91"/>
  <c r="E39" i="91"/>
  <c r="E35" i="91"/>
  <c r="E31" i="91"/>
  <c r="E27" i="91"/>
  <c r="E23" i="91"/>
  <c r="E19" i="91"/>
  <c r="E15" i="91"/>
  <c r="E11" i="91"/>
  <c r="E7" i="91"/>
  <c r="E46" i="91"/>
  <c r="E42" i="91"/>
  <c r="E38" i="91"/>
  <c r="E34" i="91"/>
  <c r="E30" i="91"/>
  <c r="E26" i="91"/>
  <c r="E22" i="91"/>
  <c r="E18" i="91"/>
  <c r="E14" i="91"/>
  <c r="E10" i="91"/>
  <c r="E6" i="91"/>
  <c r="E45" i="91"/>
  <c r="E41" i="91"/>
  <c r="E37" i="91"/>
  <c r="E33" i="91"/>
  <c r="E29" i="91"/>
  <c r="E25" i="91"/>
  <c r="E21" i="91"/>
  <c r="E17" i="91"/>
  <c r="E13" i="91"/>
  <c r="E9" i="91"/>
  <c r="E5" i="91"/>
  <c r="E48" i="91"/>
  <c r="E44" i="91"/>
  <c r="E40" i="91"/>
  <c r="E36" i="91"/>
  <c r="E32" i="91"/>
  <c r="E28" i="91"/>
  <c r="E24" i="91"/>
  <c r="E20" i="91"/>
  <c r="E16" i="91"/>
  <c r="E12" i="91"/>
  <c r="E8" i="91"/>
  <c r="E4" i="91"/>
  <c r="E46" i="90"/>
  <c r="E38" i="90"/>
  <c r="E34" i="90"/>
  <c r="E26" i="90"/>
  <c r="E14" i="90"/>
  <c r="E6" i="90"/>
  <c r="E37" i="90"/>
  <c r="E33" i="90"/>
  <c r="E25" i="90"/>
  <c r="E17" i="90"/>
  <c r="E9" i="90"/>
  <c r="E48" i="90"/>
  <c r="E44" i="90"/>
  <c r="E40" i="90"/>
  <c r="E36" i="90"/>
  <c r="E32" i="90"/>
  <c r="E28" i="90"/>
  <c r="E24" i="90"/>
  <c r="E20" i="90"/>
  <c r="E16" i="90"/>
  <c r="E12" i="90"/>
  <c r="E8" i="90"/>
  <c r="E4" i="90"/>
  <c r="E42" i="90"/>
  <c r="E30" i="90"/>
  <c r="E22" i="90"/>
  <c r="E18" i="90"/>
  <c r="E10" i="90"/>
  <c r="E45" i="90"/>
  <c r="E41" i="90"/>
  <c r="E29" i="90"/>
  <c r="E21" i="90"/>
  <c r="E13" i="90"/>
  <c r="E5" i="90"/>
  <c r="E47" i="90"/>
  <c r="E43" i="90"/>
  <c r="E39" i="90"/>
  <c r="E35" i="90"/>
  <c r="E31" i="90"/>
  <c r="E27" i="90"/>
  <c r="E23" i="90"/>
  <c r="E19" i="90"/>
  <c r="E15" i="90"/>
  <c r="E11" i="90"/>
  <c r="E7" i="90"/>
  <c r="E8" i="109" l="1"/>
  <c r="E24" i="109"/>
  <c r="E40" i="109"/>
  <c r="E5" i="109"/>
  <c r="E21" i="109"/>
  <c r="E37" i="109"/>
  <c r="E23" i="109"/>
  <c r="E6" i="109"/>
  <c r="E22" i="109"/>
  <c r="E38" i="109"/>
  <c r="E35" i="109"/>
  <c r="E12" i="109"/>
  <c r="E10" i="109"/>
  <c r="E16" i="109"/>
  <c r="E13" i="109"/>
  <c r="E14" i="109"/>
  <c r="E28" i="109"/>
  <c r="E44" i="109"/>
  <c r="E27" i="109"/>
  <c r="E9" i="109"/>
  <c r="E25" i="109"/>
  <c r="E41" i="109"/>
  <c r="E31" i="109"/>
  <c r="E26" i="109"/>
  <c r="E42" i="109"/>
  <c r="E47" i="109"/>
  <c r="E32" i="109"/>
  <c r="E48" i="109"/>
  <c r="E43" i="109"/>
  <c r="E29" i="109"/>
  <c r="E45" i="109"/>
  <c r="E7" i="109"/>
  <c r="E39" i="109"/>
  <c r="E30" i="109"/>
  <c r="E46" i="109"/>
  <c r="E11" i="109"/>
  <c r="E4" i="109"/>
  <c r="E20" i="109"/>
  <c r="E36" i="109"/>
  <c r="E17" i="109"/>
  <c r="E33" i="109"/>
  <c r="E15" i="109"/>
  <c r="E18" i="109"/>
  <c r="E34" i="109"/>
  <c r="E19" i="109"/>
  <c r="E3" i="109"/>
  <c r="E2" i="91"/>
  <c r="E2" i="98"/>
  <c r="E2" i="96"/>
  <c r="E2" i="94"/>
  <c r="E2" i="95"/>
  <c r="E2" i="97"/>
  <c r="E2" i="90"/>
  <c r="E2" i="93"/>
  <c r="E2" i="92"/>
  <c r="E11" i="89"/>
  <c r="E4" i="89"/>
  <c r="E13" i="89"/>
  <c r="E22" i="89"/>
  <c r="E15" i="89"/>
  <c r="E31" i="89"/>
  <c r="E47" i="89"/>
  <c r="E8" i="89"/>
  <c r="E24" i="89"/>
  <c r="E40" i="89"/>
  <c r="E17" i="89"/>
  <c r="E33" i="89"/>
  <c r="E10" i="89"/>
  <c r="E26" i="89"/>
  <c r="E42" i="89"/>
  <c r="E43" i="89"/>
  <c r="E36" i="89"/>
  <c r="E29" i="89"/>
  <c r="E6" i="89"/>
  <c r="E19" i="89"/>
  <c r="E35" i="89"/>
  <c r="E12" i="89"/>
  <c r="E28" i="89"/>
  <c r="E44" i="89"/>
  <c r="E5" i="89"/>
  <c r="E21" i="89"/>
  <c r="E37" i="89"/>
  <c r="E14" i="89"/>
  <c r="E30" i="89"/>
  <c r="E46" i="89"/>
  <c r="E27" i="89"/>
  <c r="E20" i="89"/>
  <c r="E45" i="89"/>
  <c r="E38" i="89"/>
  <c r="E7" i="89"/>
  <c r="E23" i="89"/>
  <c r="E39" i="89"/>
  <c r="E16" i="89"/>
  <c r="E32" i="89"/>
  <c r="E48" i="89"/>
  <c r="E9" i="89"/>
  <c r="E25" i="89"/>
  <c r="E41" i="89"/>
  <c r="E18" i="89"/>
  <c r="E34" i="89"/>
  <c r="G44" i="89" l="1"/>
  <c r="G44" i="109"/>
  <c r="G44" i="110"/>
  <c r="G44" i="108"/>
  <c r="G44" i="107"/>
  <c r="G44" i="105"/>
  <c r="G44" i="103"/>
  <c r="G44" i="101"/>
  <c r="G44" i="99"/>
  <c r="G44" i="97"/>
  <c r="G44" i="106"/>
  <c r="G44" i="102"/>
  <c r="G44" i="104"/>
  <c r="G44" i="100"/>
  <c r="G44" i="98"/>
  <c r="G44" i="96"/>
  <c r="G44" i="94"/>
  <c r="G44" i="95"/>
  <c r="G44" i="93"/>
  <c r="G44" i="91"/>
  <c r="G44" i="90"/>
  <c r="G44" i="92"/>
  <c r="G24" i="89"/>
  <c r="G24" i="109"/>
  <c r="G24" i="108"/>
  <c r="G24" i="105"/>
  <c r="G24" i="103"/>
  <c r="G24" i="101"/>
  <c r="G24" i="99"/>
  <c r="G24" i="97"/>
  <c r="G24" i="106"/>
  <c r="G24" i="102"/>
  <c r="G24" i="104"/>
  <c r="G24" i="100"/>
  <c r="G24" i="98"/>
  <c r="G24" i="96"/>
  <c r="G24" i="94"/>
  <c r="G24" i="95"/>
  <c r="G24" i="93"/>
  <c r="G24" i="91"/>
  <c r="G24" i="107"/>
  <c r="G24" i="90"/>
  <c r="G24" i="110"/>
  <c r="G24" i="92"/>
  <c r="G8" i="89"/>
  <c r="G8" i="108"/>
  <c r="G8" i="109"/>
  <c r="G8" i="110"/>
  <c r="G8" i="105"/>
  <c r="G8" i="103"/>
  <c r="G8" i="101"/>
  <c r="G8" i="99"/>
  <c r="G8" i="106"/>
  <c r="G8" i="102"/>
  <c r="G8" i="104"/>
  <c r="G8" i="100"/>
  <c r="G8" i="98"/>
  <c r="G8" i="96"/>
  <c r="G8" i="94"/>
  <c r="G8" i="95"/>
  <c r="G8" i="91"/>
  <c r="G8" i="92"/>
  <c r="G8" i="107"/>
  <c r="G8" i="97"/>
  <c r="G8" i="93"/>
  <c r="G8" i="90"/>
  <c r="G27" i="89"/>
  <c r="G27" i="110"/>
  <c r="G27" i="108"/>
  <c r="G27" i="109"/>
  <c r="G27" i="106"/>
  <c r="G27" i="107"/>
  <c r="G27" i="105"/>
  <c r="G27" i="102"/>
  <c r="G27" i="104"/>
  <c r="G27" i="95"/>
  <c r="G27" i="93"/>
  <c r="G27" i="103"/>
  <c r="G27" i="101"/>
  <c r="G27" i="100"/>
  <c r="G27" i="99"/>
  <c r="G27" i="98"/>
  <c r="G27" i="97"/>
  <c r="G27" i="96"/>
  <c r="G27" i="94"/>
  <c r="G27" i="92"/>
  <c r="G27" i="91"/>
  <c r="G27" i="90"/>
  <c r="G29" i="89"/>
  <c r="G29" i="110"/>
  <c r="G29" i="109"/>
  <c r="G29" i="108"/>
  <c r="G29" i="105"/>
  <c r="G29" i="107"/>
  <c r="G29" i="106"/>
  <c r="G29" i="96"/>
  <c r="G29" i="94"/>
  <c r="G29" i="92"/>
  <c r="G29" i="102"/>
  <c r="G29" i="101"/>
  <c r="G29" i="100"/>
  <c r="G29" i="99"/>
  <c r="G29" i="98"/>
  <c r="G29" i="97"/>
  <c r="G29" i="104"/>
  <c r="G29" i="103"/>
  <c r="G29" i="91"/>
  <c r="G29" i="95"/>
  <c r="G29" i="93"/>
  <c r="G29" i="90"/>
  <c r="G5" i="89"/>
  <c r="G5" i="110"/>
  <c r="G5" i="109"/>
  <c r="G5" i="108"/>
  <c r="G5" i="105"/>
  <c r="G5" i="107"/>
  <c r="G5" i="106"/>
  <c r="G5" i="97"/>
  <c r="G5" i="96"/>
  <c r="G5" i="94"/>
  <c r="G5" i="92"/>
  <c r="G5" i="102"/>
  <c r="G5" i="101"/>
  <c r="G5" i="100"/>
  <c r="G5" i="99"/>
  <c r="G5" i="98"/>
  <c r="G5" i="104"/>
  <c r="G5" i="93"/>
  <c r="G5" i="103"/>
  <c r="G5" i="95"/>
  <c r="G5" i="90"/>
  <c r="G5" i="91"/>
  <c r="G32" i="89"/>
  <c r="G32" i="109"/>
  <c r="G32" i="108"/>
  <c r="G32" i="110"/>
  <c r="G32" i="105"/>
  <c r="G32" i="103"/>
  <c r="G32" i="101"/>
  <c r="G32" i="99"/>
  <c r="G32" i="97"/>
  <c r="G32" i="106"/>
  <c r="G32" i="102"/>
  <c r="G32" i="104"/>
  <c r="G32" i="100"/>
  <c r="G32" i="98"/>
  <c r="G32" i="96"/>
  <c r="G32" i="94"/>
  <c r="G32" i="107"/>
  <c r="G32" i="95"/>
  <c r="G32" i="93"/>
  <c r="G32" i="91"/>
  <c r="G32" i="92"/>
  <c r="G32" i="90"/>
  <c r="G15" i="89"/>
  <c r="G15" i="110"/>
  <c r="G15" i="108"/>
  <c r="G15" i="109"/>
  <c r="G15" i="106"/>
  <c r="G15" i="107"/>
  <c r="G15" i="105"/>
  <c r="G15" i="102"/>
  <c r="G15" i="104"/>
  <c r="G15" i="95"/>
  <c r="G15" i="93"/>
  <c r="G15" i="103"/>
  <c r="G15" i="101"/>
  <c r="G15" i="100"/>
  <c r="G15" i="99"/>
  <c r="G15" i="98"/>
  <c r="G15" i="96"/>
  <c r="G15" i="94"/>
  <c r="G15" i="97"/>
  <c r="G15" i="92"/>
  <c r="G15" i="91"/>
  <c r="G15" i="90"/>
  <c r="G4" i="89"/>
  <c r="G4" i="108"/>
  <c r="G4" i="109"/>
  <c r="G4" i="110"/>
  <c r="G4" i="105"/>
  <c r="G4" i="103"/>
  <c r="G4" i="101"/>
  <c r="G4" i="99"/>
  <c r="G4" i="107"/>
  <c r="G4" i="106"/>
  <c r="G4" i="102"/>
  <c r="G4" i="104"/>
  <c r="G4" i="100"/>
  <c r="G4" i="98"/>
  <c r="G4" i="96"/>
  <c r="G4" i="94"/>
  <c r="G4" i="95"/>
  <c r="G4" i="91"/>
  <c r="G4" i="90"/>
  <c r="G4" i="92"/>
  <c r="G4" i="97"/>
  <c r="G4" i="93"/>
  <c r="G22" i="89"/>
  <c r="G22" i="110"/>
  <c r="G22" i="108"/>
  <c r="G22" i="107"/>
  <c r="G22" i="105"/>
  <c r="G22" i="104"/>
  <c r="G22" i="106"/>
  <c r="G22" i="102"/>
  <c r="G22" i="100"/>
  <c r="G22" i="98"/>
  <c r="G22" i="103"/>
  <c r="G22" i="109"/>
  <c r="G22" i="101"/>
  <c r="G22" i="99"/>
  <c r="G22" i="97"/>
  <c r="G22" i="95"/>
  <c r="G22" i="93"/>
  <c r="G22" i="90"/>
  <c r="G22" i="91"/>
  <c r="G22" i="92"/>
  <c r="G22" i="96"/>
  <c r="G22" i="94"/>
  <c r="G26" i="89"/>
  <c r="G26" i="110"/>
  <c r="G26" i="108"/>
  <c r="G26" i="107"/>
  <c r="G26" i="109"/>
  <c r="G26" i="105"/>
  <c r="G26" i="104"/>
  <c r="G26" i="106"/>
  <c r="G26" i="102"/>
  <c r="G26" i="100"/>
  <c r="G26" i="98"/>
  <c r="G26" i="103"/>
  <c r="G26" i="101"/>
  <c r="G26" i="99"/>
  <c r="G26" i="97"/>
  <c r="G26" i="95"/>
  <c r="G26" i="93"/>
  <c r="G26" i="90"/>
  <c r="G26" i="96"/>
  <c r="G26" i="92"/>
  <c r="G26" i="91"/>
  <c r="G26" i="94"/>
  <c r="G48" i="89"/>
  <c r="G48" i="108"/>
  <c r="G48" i="107"/>
  <c r="G48" i="110"/>
  <c r="G48" i="109"/>
  <c r="G48" i="105"/>
  <c r="G48" i="103"/>
  <c r="G48" i="101"/>
  <c r="G48" i="99"/>
  <c r="G48" i="97"/>
  <c r="G48" i="106"/>
  <c r="G48" i="102"/>
  <c r="G48" i="104"/>
  <c r="G48" i="100"/>
  <c r="G48" i="98"/>
  <c r="G48" i="96"/>
  <c r="G48" i="94"/>
  <c r="G48" i="95"/>
  <c r="G48" i="93"/>
  <c r="G48" i="91"/>
  <c r="G48" i="90"/>
  <c r="G48" i="92"/>
  <c r="G39" i="89"/>
  <c r="G39" i="110"/>
  <c r="G39" i="108"/>
  <c r="G39" i="109"/>
  <c r="G39" i="106"/>
  <c r="G39" i="104"/>
  <c r="G39" i="107"/>
  <c r="G39" i="105"/>
  <c r="G39" i="95"/>
  <c r="G39" i="93"/>
  <c r="G39" i="103"/>
  <c r="G39" i="101"/>
  <c r="G39" i="100"/>
  <c r="G39" i="99"/>
  <c r="G39" i="98"/>
  <c r="G39" i="97"/>
  <c r="G39" i="96"/>
  <c r="G39" i="94"/>
  <c r="G39" i="92"/>
  <c r="G39" i="91"/>
  <c r="G39" i="102"/>
  <c r="G39" i="90"/>
  <c r="G31" i="89"/>
  <c r="G31" i="110"/>
  <c r="G31" i="108"/>
  <c r="G31" i="109"/>
  <c r="G31" i="106"/>
  <c r="G31" i="104"/>
  <c r="G31" i="107"/>
  <c r="G31" i="105"/>
  <c r="G31" i="102"/>
  <c r="G31" i="95"/>
  <c r="G31" i="93"/>
  <c r="G31" i="103"/>
  <c r="G31" i="101"/>
  <c r="G31" i="100"/>
  <c r="G31" i="99"/>
  <c r="G31" i="98"/>
  <c r="G31" i="97"/>
  <c r="G31" i="96"/>
  <c r="G31" i="94"/>
  <c r="G31" i="92"/>
  <c r="G31" i="91"/>
  <c r="G31" i="90"/>
  <c r="G20" i="89"/>
  <c r="G20" i="109"/>
  <c r="G20" i="110"/>
  <c r="G20" i="108"/>
  <c r="G20" i="105"/>
  <c r="G20" i="103"/>
  <c r="G20" i="101"/>
  <c r="G20" i="99"/>
  <c r="G20" i="97"/>
  <c r="G20" i="107"/>
  <c r="G20" i="106"/>
  <c r="G20" i="102"/>
  <c r="G20" i="104"/>
  <c r="G20" i="100"/>
  <c r="G20" i="98"/>
  <c r="G20" i="96"/>
  <c r="G20" i="94"/>
  <c r="G20" i="95"/>
  <c r="G20" i="93"/>
  <c r="G20" i="91"/>
  <c r="G20" i="92"/>
  <c r="G20" i="90"/>
  <c r="G12" i="89"/>
  <c r="G12" i="108"/>
  <c r="G12" i="109"/>
  <c r="G12" i="110"/>
  <c r="G12" i="105"/>
  <c r="G12" i="103"/>
  <c r="G12" i="101"/>
  <c r="G12" i="99"/>
  <c r="G12" i="107"/>
  <c r="G12" i="106"/>
  <c r="G12" i="102"/>
  <c r="G12" i="104"/>
  <c r="G12" i="100"/>
  <c r="G12" i="98"/>
  <c r="G12" i="96"/>
  <c r="G12" i="94"/>
  <c r="G12" i="95"/>
  <c r="G12" i="91"/>
  <c r="G12" i="92"/>
  <c r="G12" i="97"/>
  <c r="G12" i="93"/>
  <c r="G12" i="90"/>
  <c r="G3" i="89"/>
  <c r="G3" i="110"/>
  <c r="G3" i="108"/>
  <c r="G3" i="109"/>
  <c r="G3" i="106"/>
  <c r="G3" i="107"/>
  <c r="G3" i="105"/>
  <c r="G3" i="102"/>
  <c r="G3" i="104"/>
  <c r="G3" i="95"/>
  <c r="G3" i="93"/>
  <c r="G3" i="103"/>
  <c r="G3" i="101"/>
  <c r="G3" i="100"/>
  <c r="G3" i="99"/>
  <c r="G3" i="98"/>
  <c r="G3" i="96"/>
  <c r="G3" i="94"/>
  <c r="G3" i="97"/>
  <c r="G3" i="92"/>
  <c r="G3" i="91"/>
  <c r="G3" i="90"/>
  <c r="G38" i="89"/>
  <c r="G38" i="110"/>
  <c r="G38" i="108"/>
  <c r="G38" i="107"/>
  <c r="G38" i="105"/>
  <c r="G38" i="102"/>
  <c r="G38" i="106"/>
  <c r="G38" i="100"/>
  <c r="G38" i="98"/>
  <c r="G38" i="96"/>
  <c r="G38" i="103"/>
  <c r="G38" i="101"/>
  <c r="G38" i="99"/>
  <c r="G38" i="97"/>
  <c r="G38" i="95"/>
  <c r="G38" i="93"/>
  <c r="G38" i="109"/>
  <c r="G38" i="90"/>
  <c r="G38" i="104"/>
  <c r="G38" i="91"/>
  <c r="G38" i="92"/>
  <c r="G38" i="94"/>
  <c r="G14" i="89"/>
  <c r="G14" i="110"/>
  <c r="G14" i="108"/>
  <c r="G14" i="107"/>
  <c r="G14" i="105"/>
  <c r="G14" i="104"/>
  <c r="G14" i="109"/>
  <c r="G14" i="106"/>
  <c r="G14" i="102"/>
  <c r="G14" i="100"/>
  <c r="G14" i="98"/>
  <c r="G14" i="103"/>
  <c r="G14" i="101"/>
  <c r="G14" i="99"/>
  <c r="G14" i="95"/>
  <c r="G14" i="97"/>
  <c r="G14" i="90"/>
  <c r="G14" i="94"/>
  <c r="G14" i="92"/>
  <c r="G14" i="93"/>
  <c r="G14" i="91"/>
  <c r="G14" i="96"/>
  <c r="G45" i="89"/>
  <c r="G45" i="110"/>
  <c r="G45" i="109"/>
  <c r="G45" i="108"/>
  <c r="G45" i="105"/>
  <c r="G45" i="107"/>
  <c r="G45" i="106"/>
  <c r="G45" i="94"/>
  <c r="G45" i="92"/>
  <c r="G45" i="102"/>
  <c r="G45" i="101"/>
  <c r="G45" i="100"/>
  <c r="G45" i="99"/>
  <c r="G45" i="98"/>
  <c r="G45" i="97"/>
  <c r="G45" i="96"/>
  <c r="G45" i="104"/>
  <c r="G45" i="103"/>
  <c r="G45" i="91"/>
  <c r="G45" i="95"/>
  <c r="G45" i="93"/>
  <c r="G45" i="90"/>
  <c r="G34" i="89"/>
  <c r="G34" i="110"/>
  <c r="G34" i="108"/>
  <c r="G34" i="107"/>
  <c r="G34" i="109"/>
  <c r="G34" i="105"/>
  <c r="G34" i="106"/>
  <c r="G34" i="102"/>
  <c r="G34" i="100"/>
  <c r="G34" i="98"/>
  <c r="G34" i="96"/>
  <c r="G34" i="103"/>
  <c r="G34" i="101"/>
  <c r="G34" i="99"/>
  <c r="G34" i="97"/>
  <c r="G34" i="95"/>
  <c r="G34" i="93"/>
  <c r="G34" i="90"/>
  <c r="G34" i="91"/>
  <c r="G34" i="92"/>
  <c r="G34" i="104"/>
  <c r="G34" i="94"/>
  <c r="G25" i="89"/>
  <c r="G25" i="110"/>
  <c r="G25" i="109"/>
  <c r="G25" i="108"/>
  <c r="G25" i="105"/>
  <c r="G25" i="107"/>
  <c r="G25" i="106"/>
  <c r="G25" i="96"/>
  <c r="G25" i="94"/>
  <c r="G25" i="92"/>
  <c r="G25" i="102"/>
  <c r="G25" i="101"/>
  <c r="G25" i="100"/>
  <c r="G25" i="99"/>
  <c r="G25" i="98"/>
  <c r="G25" i="97"/>
  <c r="G25" i="104"/>
  <c r="G25" i="91"/>
  <c r="G25" i="95"/>
  <c r="G25" i="93"/>
  <c r="G25" i="90"/>
  <c r="G25" i="103"/>
  <c r="G13" i="89"/>
  <c r="G13" i="110"/>
  <c r="G13" i="109"/>
  <c r="G13" i="108"/>
  <c r="G13" i="105"/>
  <c r="G13" i="107"/>
  <c r="G13" i="106"/>
  <c r="G13" i="97"/>
  <c r="G13" i="96"/>
  <c r="G13" i="94"/>
  <c r="G13" i="92"/>
  <c r="G13" i="102"/>
  <c r="G13" i="101"/>
  <c r="G13" i="100"/>
  <c r="G13" i="99"/>
  <c r="G13" i="98"/>
  <c r="G13" i="104"/>
  <c r="G13" i="93"/>
  <c r="G13" i="103"/>
  <c r="G13" i="95"/>
  <c r="G13" i="90"/>
  <c r="G13" i="91"/>
  <c r="E2" i="109"/>
  <c r="G35" i="89"/>
  <c r="G35" i="110"/>
  <c r="G35" i="108"/>
  <c r="G35" i="109"/>
  <c r="G35" i="106"/>
  <c r="G35" i="104"/>
  <c r="G35" i="107"/>
  <c r="G35" i="105"/>
  <c r="G35" i="102"/>
  <c r="G35" i="95"/>
  <c r="G35" i="93"/>
  <c r="G35" i="103"/>
  <c r="G35" i="101"/>
  <c r="G35" i="100"/>
  <c r="G35" i="99"/>
  <c r="G35" i="98"/>
  <c r="G35" i="97"/>
  <c r="G35" i="96"/>
  <c r="G35" i="94"/>
  <c r="G35" i="92"/>
  <c r="G35" i="91"/>
  <c r="G35" i="90"/>
  <c r="G16" i="89"/>
  <c r="G16" i="108"/>
  <c r="G16" i="109"/>
  <c r="G16" i="110"/>
  <c r="G16" i="105"/>
  <c r="G16" i="103"/>
  <c r="G16" i="101"/>
  <c r="G16" i="99"/>
  <c r="G16" i="106"/>
  <c r="G16" i="102"/>
  <c r="G16" i="104"/>
  <c r="G16" i="100"/>
  <c r="G16" i="98"/>
  <c r="G16" i="96"/>
  <c r="G16" i="94"/>
  <c r="G16" i="107"/>
  <c r="G16" i="95"/>
  <c r="G16" i="93"/>
  <c r="G16" i="91"/>
  <c r="G16" i="92"/>
  <c r="G16" i="97"/>
  <c r="G16" i="90"/>
  <c r="G46" i="89"/>
  <c r="G46" i="110"/>
  <c r="G46" i="109"/>
  <c r="G46" i="108"/>
  <c r="G46" i="107"/>
  <c r="G46" i="105"/>
  <c r="G46" i="102"/>
  <c r="G46" i="106"/>
  <c r="G46" i="100"/>
  <c r="G46" i="98"/>
  <c r="G46" i="96"/>
  <c r="G46" i="103"/>
  <c r="G46" i="101"/>
  <c r="G46" i="99"/>
  <c r="G46" i="97"/>
  <c r="G46" i="95"/>
  <c r="G46" i="93"/>
  <c r="G46" i="90"/>
  <c r="G46" i="104"/>
  <c r="G46" i="91"/>
  <c r="G46" i="92"/>
  <c r="G46" i="94"/>
  <c r="G7" i="89"/>
  <c r="G7" i="110"/>
  <c r="G7" i="108"/>
  <c r="G7" i="109"/>
  <c r="G7" i="106"/>
  <c r="G7" i="107"/>
  <c r="G7" i="105"/>
  <c r="G7" i="102"/>
  <c r="G7" i="104"/>
  <c r="G7" i="95"/>
  <c r="G7" i="93"/>
  <c r="G7" i="103"/>
  <c r="G7" i="101"/>
  <c r="G7" i="100"/>
  <c r="G7" i="99"/>
  <c r="G7" i="98"/>
  <c r="G7" i="96"/>
  <c r="G7" i="94"/>
  <c r="G7" i="97"/>
  <c r="G7" i="92"/>
  <c r="G7" i="91"/>
  <c r="G7" i="90"/>
  <c r="G41" i="89"/>
  <c r="G41" i="110"/>
  <c r="G41" i="109"/>
  <c r="G41" i="108"/>
  <c r="G41" i="105"/>
  <c r="G41" i="107"/>
  <c r="G41" i="106"/>
  <c r="G41" i="94"/>
  <c r="G41" i="92"/>
  <c r="G41" i="102"/>
  <c r="G41" i="101"/>
  <c r="G41" i="100"/>
  <c r="G41" i="99"/>
  <c r="G41" i="98"/>
  <c r="G41" i="97"/>
  <c r="G41" i="96"/>
  <c r="G41" i="104"/>
  <c r="G41" i="91"/>
  <c r="G41" i="95"/>
  <c r="G41" i="93"/>
  <c r="G41" i="90"/>
  <c r="G41" i="103"/>
  <c r="G18" i="89"/>
  <c r="G18" i="110"/>
  <c r="G18" i="108"/>
  <c r="G18" i="107"/>
  <c r="G18" i="109"/>
  <c r="G18" i="105"/>
  <c r="G18" i="104"/>
  <c r="G18" i="106"/>
  <c r="G18" i="102"/>
  <c r="G18" i="100"/>
  <c r="G18" i="98"/>
  <c r="G18" i="103"/>
  <c r="G18" i="101"/>
  <c r="G18" i="99"/>
  <c r="G18" i="97"/>
  <c r="G18" i="95"/>
  <c r="G18" i="93"/>
  <c r="G18" i="90"/>
  <c r="G18" i="91"/>
  <c r="G18" i="96"/>
  <c r="G18" i="94"/>
  <c r="G18" i="92"/>
  <c r="G40" i="89"/>
  <c r="G40" i="109"/>
  <c r="G40" i="108"/>
  <c r="G40" i="107"/>
  <c r="G40" i="110"/>
  <c r="G40" i="105"/>
  <c r="G40" i="103"/>
  <c r="G40" i="101"/>
  <c r="G40" i="99"/>
  <c r="G40" i="97"/>
  <c r="G40" i="106"/>
  <c r="G40" i="102"/>
  <c r="G40" i="104"/>
  <c r="G40" i="100"/>
  <c r="G40" i="98"/>
  <c r="G40" i="96"/>
  <c r="G40" i="94"/>
  <c r="G40" i="95"/>
  <c r="G40" i="93"/>
  <c r="G40" i="91"/>
  <c r="G40" i="90"/>
  <c r="G40" i="92"/>
  <c r="G23" i="89"/>
  <c r="G23" i="110"/>
  <c r="G23" i="108"/>
  <c r="G23" i="109"/>
  <c r="G23" i="106"/>
  <c r="G23" i="107"/>
  <c r="G23" i="105"/>
  <c r="G23" i="102"/>
  <c r="G23" i="104"/>
  <c r="G23" i="95"/>
  <c r="G23" i="93"/>
  <c r="G23" i="103"/>
  <c r="G23" i="101"/>
  <c r="G23" i="100"/>
  <c r="G23" i="99"/>
  <c r="G23" i="98"/>
  <c r="G23" i="97"/>
  <c r="G23" i="96"/>
  <c r="G23" i="94"/>
  <c r="G23" i="92"/>
  <c r="G23" i="91"/>
  <c r="G23" i="90"/>
  <c r="G43" i="89"/>
  <c r="G43" i="110"/>
  <c r="G43" i="108"/>
  <c r="G43" i="109"/>
  <c r="G43" i="106"/>
  <c r="G43" i="104"/>
  <c r="G43" i="107"/>
  <c r="G43" i="105"/>
  <c r="G43" i="95"/>
  <c r="G43" i="93"/>
  <c r="G43" i="103"/>
  <c r="G43" i="101"/>
  <c r="G43" i="100"/>
  <c r="G43" i="99"/>
  <c r="G43" i="98"/>
  <c r="G43" i="97"/>
  <c r="G43" i="96"/>
  <c r="G43" i="94"/>
  <c r="G43" i="102"/>
  <c r="G43" i="92"/>
  <c r="G43" i="91"/>
  <c r="G43" i="90"/>
  <c r="G37" i="89"/>
  <c r="G37" i="110"/>
  <c r="G37" i="109"/>
  <c r="G37" i="108"/>
  <c r="G37" i="105"/>
  <c r="G37" i="107"/>
  <c r="G37" i="106"/>
  <c r="G37" i="94"/>
  <c r="G37" i="92"/>
  <c r="G37" i="102"/>
  <c r="G37" i="101"/>
  <c r="G37" i="100"/>
  <c r="G37" i="99"/>
  <c r="G37" i="98"/>
  <c r="G37" i="97"/>
  <c r="G37" i="96"/>
  <c r="G37" i="104"/>
  <c r="G37" i="103"/>
  <c r="G37" i="91"/>
  <c r="G37" i="95"/>
  <c r="G37" i="93"/>
  <c r="G37" i="90"/>
  <c r="G17" i="89"/>
  <c r="G17" i="110"/>
  <c r="G17" i="109"/>
  <c r="G17" i="108"/>
  <c r="G17" i="105"/>
  <c r="G17" i="107"/>
  <c r="G17" i="106"/>
  <c r="G17" i="97"/>
  <c r="G17" i="96"/>
  <c r="G17" i="94"/>
  <c r="G17" i="92"/>
  <c r="G17" i="102"/>
  <c r="G17" i="101"/>
  <c r="G17" i="100"/>
  <c r="G17" i="99"/>
  <c r="G17" i="98"/>
  <c r="G17" i="104"/>
  <c r="G17" i="91"/>
  <c r="G17" i="95"/>
  <c r="G17" i="93"/>
  <c r="G17" i="90"/>
  <c r="G17" i="103"/>
  <c r="G47" i="89"/>
  <c r="G47" i="109"/>
  <c r="G47" i="110"/>
  <c r="G47" i="108"/>
  <c r="G47" i="106"/>
  <c r="G47" i="104"/>
  <c r="G47" i="107"/>
  <c r="G47" i="105"/>
  <c r="G47" i="95"/>
  <c r="G47" i="93"/>
  <c r="G47" i="103"/>
  <c r="G47" i="101"/>
  <c r="G47" i="100"/>
  <c r="G47" i="99"/>
  <c r="G47" i="98"/>
  <c r="G47" i="97"/>
  <c r="G47" i="96"/>
  <c r="G47" i="94"/>
  <c r="G47" i="92"/>
  <c r="G47" i="91"/>
  <c r="G47" i="102"/>
  <c r="G47" i="90"/>
  <c r="G36" i="89"/>
  <c r="G36" i="109"/>
  <c r="G36" i="110"/>
  <c r="G36" i="108"/>
  <c r="G36" i="107"/>
  <c r="G36" i="105"/>
  <c r="G36" i="103"/>
  <c r="G36" i="101"/>
  <c r="G36" i="99"/>
  <c r="G36" i="97"/>
  <c r="G36" i="106"/>
  <c r="G36" i="102"/>
  <c r="G36" i="104"/>
  <c r="G36" i="100"/>
  <c r="G36" i="98"/>
  <c r="G36" i="96"/>
  <c r="G36" i="94"/>
  <c r="G36" i="95"/>
  <c r="G36" i="93"/>
  <c r="G36" i="91"/>
  <c r="G36" i="92"/>
  <c r="G36" i="90"/>
  <c r="G28" i="89"/>
  <c r="G28" i="109"/>
  <c r="G28" i="110"/>
  <c r="G28" i="108"/>
  <c r="G28" i="105"/>
  <c r="G28" i="103"/>
  <c r="G28" i="101"/>
  <c r="G28" i="99"/>
  <c r="G28" i="97"/>
  <c r="G28" i="107"/>
  <c r="G28" i="106"/>
  <c r="G28" i="102"/>
  <c r="G28" i="104"/>
  <c r="G28" i="100"/>
  <c r="G28" i="98"/>
  <c r="G28" i="96"/>
  <c r="G28" i="94"/>
  <c r="G28" i="95"/>
  <c r="G28" i="93"/>
  <c r="G28" i="91"/>
  <c r="G28" i="90"/>
  <c r="G28" i="92"/>
  <c r="G19" i="89"/>
  <c r="G19" i="110"/>
  <c r="G19" i="108"/>
  <c r="G19" i="109"/>
  <c r="G19" i="106"/>
  <c r="G19" i="107"/>
  <c r="G19" i="105"/>
  <c r="G19" i="102"/>
  <c r="G19" i="104"/>
  <c r="G19" i="95"/>
  <c r="G19" i="93"/>
  <c r="G19" i="103"/>
  <c r="G19" i="101"/>
  <c r="G19" i="100"/>
  <c r="G19" i="99"/>
  <c r="G19" i="98"/>
  <c r="G19" i="97"/>
  <c r="G19" i="96"/>
  <c r="G19" i="94"/>
  <c r="G19" i="92"/>
  <c r="G19" i="91"/>
  <c r="G19" i="90"/>
  <c r="G9" i="89"/>
  <c r="G9" i="110"/>
  <c r="G9" i="109"/>
  <c r="G9" i="108"/>
  <c r="G9" i="105"/>
  <c r="G9" i="107"/>
  <c r="G9" i="106"/>
  <c r="G9" i="97"/>
  <c r="G9" i="96"/>
  <c r="G9" i="94"/>
  <c r="G9" i="92"/>
  <c r="G9" i="102"/>
  <c r="G9" i="101"/>
  <c r="G9" i="100"/>
  <c r="G9" i="99"/>
  <c r="G9" i="98"/>
  <c r="G9" i="104"/>
  <c r="G9" i="93"/>
  <c r="G9" i="95"/>
  <c r="G9" i="90"/>
  <c r="G9" i="103"/>
  <c r="G9" i="91"/>
  <c r="G30" i="89"/>
  <c r="G30" i="110"/>
  <c r="G30" i="108"/>
  <c r="G30" i="107"/>
  <c r="G30" i="105"/>
  <c r="G30" i="109"/>
  <c r="G30" i="106"/>
  <c r="G30" i="102"/>
  <c r="G30" i="100"/>
  <c r="G30" i="98"/>
  <c r="G30" i="103"/>
  <c r="G30" i="101"/>
  <c r="G30" i="99"/>
  <c r="G30" i="97"/>
  <c r="G30" i="95"/>
  <c r="G30" i="93"/>
  <c r="G30" i="90"/>
  <c r="G30" i="104"/>
  <c r="G30" i="91"/>
  <c r="G30" i="92"/>
  <c r="G30" i="96"/>
  <c r="G30" i="94"/>
  <c r="G11" i="89"/>
  <c r="G11" i="110"/>
  <c r="G11" i="108"/>
  <c r="G11" i="109"/>
  <c r="G11" i="106"/>
  <c r="G11" i="107"/>
  <c r="G11" i="105"/>
  <c r="G11" i="102"/>
  <c r="G11" i="104"/>
  <c r="G11" i="95"/>
  <c r="G11" i="93"/>
  <c r="G11" i="103"/>
  <c r="G11" i="101"/>
  <c r="G11" i="100"/>
  <c r="G11" i="99"/>
  <c r="G11" i="98"/>
  <c r="G11" i="96"/>
  <c r="G11" i="94"/>
  <c r="G11" i="97"/>
  <c r="G11" i="92"/>
  <c r="G11" i="91"/>
  <c r="G11" i="90"/>
  <c r="G42" i="89"/>
  <c r="G42" i="110"/>
  <c r="G42" i="108"/>
  <c r="G42" i="107"/>
  <c r="G42" i="109"/>
  <c r="G42" i="105"/>
  <c r="G42" i="102"/>
  <c r="G42" i="106"/>
  <c r="G42" i="100"/>
  <c r="G42" i="98"/>
  <c r="G42" i="96"/>
  <c r="G42" i="103"/>
  <c r="G42" i="101"/>
  <c r="G42" i="99"/>
  <c r="G42" i="97"/>
  <c r="G42" i="95"/>
  <c r="G42" i="93"/>
  <c r="G42" i="90"/>
  <c r="G42" i="91"/>
  <c r="G42" i="92"/>
  <c r="G42" i="104"/>
  <c r="G42" i="94"/>
  <c r="G33" i="89"/>
  <c r="G33" i="110"/>
  <c r="G33" i="109"/>
  <c r="G33" i="108"/>
  <c r="G33" i="105"/>
  <c r="G33" i="107"/>
  <c r="G33" i="106"/>
  <c r="G33" i="94"/>
  <c r="G33" i="92"/>
  <c r="G33" i="102"/>
  <c r="G33" i="101"/>
  <c r="G33" i="100"/>
  <c r="G33" i="99"/>
  <c r="G33" i="98"/>
  <c r="G33" i="97"/>
  <c r="G33" i="96"/>
  <c r="G33" i="104"/>
  <c r="G33" i="91"/>
  <c r="G33" i="95"/>
  <c r="G33" i="93"/>
  <c r="G33" i="90"/>
  <c r="G33" i="103"/>
  <c r="G21" i="89"/>
  <c r="G21" i="110"/>
  <c r="G21" i="109"/>
  <c r="G21" i="108"/>
  <c r="G21" i="105"/>
  <c r="G21" i="107"/>
  <c r="G21" i="106"/>
  <c r="G21" i="96"/>
  <c r="G21" i="94"/>
  <c r="G21" i="92"/>
  <c r="G21" i="102"/>
  <c r="G21" i="101"/>
  <c r="G21" i="100"/>
  <c r="G21" i="99"/>
  <c r="G21" i="98"/>
  <c r="G21" i="97"/>
  <c r="G21" i="104"/>
  <c r="G21" i="103"/>
  <c r="G21" i="91"/>
  <c r="G21" i="95"/>
  <c r="G21" i="93"/>
  <c r="G21" i="90"/>
  <c r="G10" i="89"/>
  <c r="G10" i="110"/>
  <c r="G10" i="108"/>
  <c r="G10" i="107"/>
  <c r="G10" i="109"/>
  <c r="G10" i="105"/>
  <c r="G10" i="104"/>
  <c r="G10" i="106"/>
  <c r="G10" i="102"/>
  <c r="G10" i="100"/>
  <c r="G10" i="98"/>
  <c r="G10" i="103"/>
  <c r="G10" i="101"/>
  <c r="G10" i="99"/>
  <c r="G10" i="95"/>
  <c r="G10" i="97"/>
  <c r="G10" i="90"/>
  <c r="G10" i="91"/>
  <c r="G10" i="96"/>
  <c r="G10" i="94"/>
  <c r="G10" i="92"/>
  <c r="G10" i="93"/>
  <c r="F45" i="109"/>
  <c r="F34" i="109"/>
  <c r="F35" i="109"/>
  <c r="F15" i="109"/>
  <c r="F27" i="109"/>
  <c r="F7" i="109"/>
  <c r="F18" i="109"/>
  <c r="F37" i="100"/>
  <c r="F14" i="109"/>
  <c r="F36" i="109"/>
  <c r="F33" i="109"/>
  <c r="F46" i="100" l="1"/>
  <c r="F45" i="100"/>
  <c r="F42" i="98"/>
  <c r="F42" i="109"/>
  <c r="F16" i="98"/>
  <c r="F16" i="109"/>
  <c r="F32" i="98"/>
  <c r="F32" i="109"/>
  <c r="F48" i="98"/>
  <c r="F48" i="109"/>
  <c r="F38" i="98"/>
  <c r="F38" i="109"/>
  <c r="F5" i="98"/>
  <c r="F5" i="109"/>
  <c r="F3" i="98"/>
  <c r="F3" i="109"/>
  <c r="F23" i="98"/>
  <c r="F23" i="109"/>
  <c r="F47" i="98"/>
  <c r="F47" i="109"/>
  <c r="F25" i="98"/>
  <c r="F25" i="109"/>
  <c r="F46" i="99"/>
  <c r="F4" i="98"/>
  <c r="F4" i="109"/>
  <c r="F17" i="98"/>
  <c r="F17" i="109"/>
  <c r="F8" i="98"/>
  <c r="F8" i="109"/>
  <c r="G2" i="89"/>
  <c r="G2" i="110"/>
  <c r="G2" i="108"/>
  <c r="G2" i="107"/>
  <c r="G2" i="109"/>
  <c r="G2" i="105"/>
  <c r="G2" i="104"/>
  <c r="G2" i="106"/>
  <c r="G2" i="102"/>
  <c r="G2" i="100"/>
  <c r="G2" i="98"/>
  <c r="G2" i="103"/>
  <c r="G2" i="101"/>
  <c r="G2" i="99"/>
  <c r="G2" i="95"/>
  <c r="G2" i="97"/>
  <c r="G2" i="90"/>
  <c r="G2" i="91"/>
  <c r="G2" i="92"/>
  <c r="G2" i="93"/>
  <c r="G2" i="96"/>
  <c r="G2" i="94"/>
  <c r="F10" i="98"/>
  <c r="F10" i="109"/>
  <c r="F20" i="98"/>
  <c r="F20" i="109"/>
  <c r="F31" i="98"/>
  <c r="F31" i="109"/>
  <c r="F21" i="98"/>
  <c r="F21" i="109"/>
  <c r="F11" i="98"/>
  <c r="F11" i="109"/>
  <c r="F9" i="98"/>
  <c r="F9" i="109"/>
  <c r="F24" i="98"/>
  <c r="F24" i="109"/>
  <c r="F40" i="98"/>
  <c r="F40" i="109"/>
  <c r="F26" i="98"/>
  <c r="F26" i="109"/>
  <c r="F22" i="98"/>
  <c r="F22" i="109"/>
  <c r="F29" i="98"/>
  <c r="F29" i="109"/>
  <c r="G6" i="89"/>
  <c r="G6" i="110"/>
  <c r="G6" i="108"/>
  <c r="G6" i="107"/>
  <c r="G6" i="105"/>
  <c r="G6" i="104"/>
  <c r="G6" i="106"/>
  <c r="G6" i="102"/>
  <c r="G6" i="100"/>
  <c r="G6" i="98"/>
  <c r="G6" i="103"/>
  <c r="G6" i="101"/>
  <c r="G6" i="99"/>
  <c r="G6" i="95"/>
  <c r="G6" i="97"/>
  <c r="G6" i="90"/>
  <c r="G6" i="109"/>
  <c r="G6" i="91"/>
  <c r="G6" i="96"/>
  <c r="G6" i="94"/>
  <c r="G6" i="92"/>
  <c r="G6" i="93"/>
  <c r="F30" i="98"/>
  <c r="F30" i="109"/>
  <c r="F12" i="98"/>
  <c r="F12" i="109"/>
  <c r="F28" i="98"/>
  <c r="F28" i="109"/>
  <c r="F44" i="98"/>
  <c r="F44" i="109"/>
  <c r="F37" i="98"/>
  <c r="F37" i="109"/>
  <c r="F43" i="98"/>
  <c r="F43" i="109"/>
  <c r="F41" i="98"/>
  <c r="F41" i="109"/>
  <c r="F46" i="98"/>
  <c r="F46" i="109"/>
  <c r="F19" i="98"/>
  <c r="F19" i="109"/>
  <c r="F39" i="98"/>
  <c r="F39" i="109"/>
  <c r="F13" i="98"/>
  <c r="F13" i="109"/>
  <c r="F36" i="97"/>
  <c r="F36" i="98"/>
  <c r="F18" i="97"/>
  <c r="F18" i="98"/>
  <c r="F7" i="97"/>
  <c r="F7" i="98"/>
  <c r="F34" i="97"/>
  <c r="F34" i="98"/>
  <c r="F27" i="97"/>
  <c r="F27" i="98"/>
  <c r="F15" i="97"/>
  <c r="F15" i="98"/>
  <c r="F35" i="97"/>
  <c r="F35" i="98"/>
  <c r="F45" i="97"/>
  <c r="F45" i="98"/>
  <c r="F33" i="97"/>
  <c r="F33" i="98"/>
  <c r="F14" i="97"/>
  <c r="F14" i="98"/>
  <c r="F10" i="96"/>
  <c r="F10" i="97"/>
  <c r="F4" i="96"/>
  <c r="F4" i="97"/>
  <c r="F20" i="96"/>
  <c r="F20" i="97"/>
  <c r="F17" i="96"/>
  <c r="F17" i="97"/>
  <c r="F8" i="96"/>
  <c r="F8" i="97"/>
  <c r="F31" i="96"/>
  <c r="F31" i="97"/>
  <c r="F48" i="96"/>
  <c r="F48" i="97"/>
  <c r="F11" i="96"/>
  <c r="F11" i="97"/>
  <c r="F9" i="96"/>
  <c r="F9" i="97"/>
  <c r="F24" i="96"/>
  <c r="F24" i="97"/>
  <c r="F40" i="96"/>
  <c r="F40" i="97"/>
  <c r="F26" i="96"/>
  <c r="F26" i="97"/>
  <c r="F22" i="96"/>
  <c r="F22" i="97"/>
  <c r="F29" i="96"/>
  <c r="F29" i="97"/>
  <c r="F42" i="96"/>
  <c r="F42" i="97"/>
  <c r="F16" i="96"/>
  <c r="F16" i="97"/>
  <c r="F32" i="96"/>
  <c r="F32" i="97"/>
  <c r="F38" i="96"/>
  <c r="F38" i="97"/>
  <c r="F5" i="96"/>
  <c r="F5" i="97"/>
  <c r="F3" i="96"/>
  <c r="F3" i="97"/>
  <c r="F23" i="96"/>
  <c r="F23" i="97"/>
  <c r="F47" i="96"/>
  <c r="F47" i="97"/>
  <c r="F25" i="96"/>
  <c r="F25" i="97"/>
  <c r="F21" i="96"/>
  <c r="F21" i="97"/>
  <c r="F30" i="96"/>
  <c r="F30" i="97"/>
  <c r="F12" i="96"/>
  <c r="F12" i="97"/>
  <c r="F28" i="96"/>
  <c r="F28" i="97"/>
  <c r="F44" i="96"/>
  <c r="F44" i="97"/>
  <c r="F37" i="96"/>
  <c r="F37" i="97"/>
  <c r="F43" i="96"/>
  <c r="F43" i="97"/>
  <c r="F41" i="96"/>
  <c r="F41" i="97"/>
  <c r="F46" i="96"/>
  <c r="F46" i="97"/>
  <c r="F19" i="96"/>
  <c r="F19" i="97"/>
  <c r="F39" i="96"/>
  <c r="F39" i="97"/>
  <c r="F13" i="96"/>
  <c r="F13" i="97"/>
  <c r="F36" i="95"/>
  <c r="F36" i="96"/>
  <c r="F18" i="95"/>
  <c r="F18" i="96"/>
  <c r="F7" i="95"/>
  <c r="F7" i="96"/>
  <c r="F34" i="95"/>
  <c r="F34" i="96"/>
  <c r="F27" i="95"/>
  <c r="F27" i="96"/>
  <c r="F15" i="95"/>
  <c r="F15" i="96"/>
  <c r="F35" i="95"/>
  <c r="F35" i="96"/>
  <c r="F45" i="95"/>
  <c r="F45" i="96"/>
  <c r="F33" i="95"/>
  <c r="F33" i="96"/>
  <c r="F14" i="95"/>
  <c r="F14" i="96"/>
  <c r="F10" i="94"/>
  <c r="F10" i="95"/>
  <c r="F4" i="94"/>
  <c r="F4" i="95"/>
  <c r="F20" i="94"/>
  <c r="F20" i="95"/>
  <c r="F17" i="94"/>
  <c r="F17" i="95"/>
  <c r="F8" i="94"/>
  <c r="F8" i="95"/>
  <c r="F31" i="94"/>
  <c r="F31" i="95"/>
  <c r="F42" i="94"/>
  <c r="F42" i="95"/>
  <c r="F16" i="94"/>
  <c r="F16" i="95"/>
  <c r="F32" i="94"/>
  <c r="F32" i="95"/>
  <c r="F48" i="94"/>
  <c r="F48" i="95"/>
  <c r="F38" i="94"/>
  <c r="F38" i="95"/>
  <c r="F5" i="94"/>
  <c r="F5" i="95"/>
  <c r="F3" i="94"/>
  <c r="F3" i="95"/>
  <c r="F23" i="94"/>
  <c r="F23" i="95"/>
  <c r="F47" i="94"/>
  <c r="F47" i="95"/>
  <c r="F25" i="94"/>
  <c r="F25" i="95"/>
  <c r="F21" i="94"/>
  <c r="F21" i="95"/>
  <c r="F11" i="94"/>
  <c r="F11" i="95"/>
  <c r="F9" i="94"/>
  <c r="F9" i="95"/>
  <c r="F24" i="94"/>
  <c r="F24" i="95"/>
  <c r="F40" i="94"/>
  <c r="F40" i="95"/>
  <c r="F26" i="94"/>
  <c r="F26" i="95"/>
  <c r="F22" i="94"/>
  <c r="F22" i="95"/>
  <c r="F29" i="94"/>
  <c r="F29" i="95"/>
  <c r="F30" i="94"/>
  <c r="F30" i="95"/>
  <c r="F12" i="94"/>
  <c r="F12" i="95"/>
  <c r="F28" i="94"/>
  <c r="F28" i="95"/>
  <c r="F44" i="94"/>
  <c r="F44" i="95"/>
  <c r="F37" i="94"/>
  <c r="F37" i="95"/>
  <c r="F43" i="94"/>
  <c r="F43" i="95"/>
  <c r="F41" i="94"/>
  <c r="F41" i="95"/>
  <c r="F46" i="94"/>
  <c r="F46" i="95"/>
  <c r="F19" i="94"/>
  <c r="F19" i="95"/>
  <c r="F39" i="94"/>
  <c r="F39" i="95"/>
  <c r="F13" i="94"/>
  <c r="F13" i="95"/>
  <c r="F36" i="93"/>
  <c r="F36" i="94"/>
  <c r="F18" i="93"/>
  <c r="F18" i="94"/>
  <c r="F7" i="93"/>
  <c r="F7" i="94"/>
  <c r="F34" i="93"/>
  <c r="F34" i="94"/>
  <c r="F27" i="93"/>
  <c r="F27" i="94"/>
  <c r="F15" i="93"/>
  <c r="F15" i="94"/>
  <c r="F35" i="93"/>
  <c r="F35" i="94"/>
  <c r="F45" i="93"/>
  <c r="F45" i="94"/>
  <c r="F33" i="93"/>
  <c r="F33" i="94"/>
  <c r="F14" i="93"/>
  <c r="F14" i="94"/>
  <c r="F42" i="92"/>
  <c r="F42" i="93"/>
  <c r="F32" i="92"/>
  <c r="F32" i="93"/>
  <c r="F48" i="92"/>
  <c r="F48" i="93"/>
  <c r="F38" i="92"/>
  <c r="F38" i="93"/>
  <c r="F5" i="92"/>
  <c r="F5" i="93"/>
  <c r="F3" i="92"/>
  <c r="F3" i="93"/>
  <c r="F23" i="92"/>
  <c r="F23" i="93"/>
  <c r="F47" i="92"/>
  <c r="F47" i="93"/>
  <c r="F25" i="92"/>
  <c r="F25" i="93"/>
  <c r="F10" i="92"/>
  <c r="F10" i="93"/>
  <c r="F4" i="92"/>
  <c r="F4" i="93"/>
  <c r="F11" i="92"/>
  <c r="F11" i="93"/>
  <c r="F24" i="92"/>
  <c r="F24" i="93"/>
  <c r="F16" i="92"/>
  <c r="F16" i="93"/>
  <c r="F20" i="92"/>
  <c r="F20" i="93"/>
  <c r="F17" i="92"/>
  <c r="F17" i="93"/>
  <c r="F8" i="92"/>
  <c r="F8" i="93"/>
  <c r="F31" i="92"/>
  <c r="F31" i="93"/>
  <c r="F21" i="92"/>
  <c r="F21" i="93"/>
  <c r="F9" i="92"/>
  <c r="F9" i="93"/>
  <c r="F40" i="92"/>
  <c r="F40" i="93"/>
  <c r="F26" i="92"/>
  <c r="F26" i="93"/>
  <c r="F22" i="92"/>
  <c r="F22" i="93"/>
  <c r="F29" i="92"/>
  <c r="F29" i="93"/>
  <c r="F30" i="92"/>
  <c r="F30" i="93"/>
  <c r="F12" i="93"/>
  <c r="F28" i="92"/>
  <c r="F28" i="93"/>
  <c r="F44" i="92"/>
  <c r="F44" i="93"/>
  <c r="F37" i="92"/>
  <c r="F37" i="93"/>
  <c r="F43" i="92"/>
  <c r="F43" i="93"/>
  <c r="F41" i="92"/>
  <c r="F41" i="93"/>
  <c r="F46" i="92"/>
  <c r="F46" i="93"/>
  <c r="F19" i="92"/>
  <c r="F19" i="93"/>
  <c r="F39" i="92"/>
  <c r="F39" i="93"/>
  <c r="F13" i="92"/>
  <c r="F13" i="93"/>
  <c r="F36" i="91"/>
  <c r="F36" i="92"/>
  <c r="F18" i="91"/>
  <c r="F18" i="92"/>
  <c r="F7" i="91"/>
  <c r="F7" i="92"/>
  <c r="F34" i="91"/>
  <c r="F34" i="92"/>
  <c r="F27" i="91"/>
  <c r="F27" i="92"/>
  <c r="F15" i="91"/>
  <c r="F15" i="92"/>
  <c r="F35" i="91"/>
  <c r="F35" i="92"/>
  <c r="F45" i="91"/>
  <c r="F45" i="92"/>
  <c r="F33" i="91"/>
  <c r="F33" i="92"/>
  <c r="F12" i="91"/>
  <c r="F12" i="92"/>
  <c r="F14" i="91"/>
  <c r="F14" i="92"/>
  <c r="F42" i="90"/>
  <c r="F42" i="91"/>
  <c r="F16" i="90"/>
  <c r="F16" i="91"/>
  <c r="F32" i="90"/>
  <c r="F32" i="91"/>
  <c r="F48" i="90"/>
  <c r="F48" i="91"/>
  <c r="F38" i="90"/>
  <c r="F38" i="91"/>
  <c r="F5" i="90"/>
  <c r="F5" i="91"/>
  <c r="F3" i="90"/>
  <c r="F3" i="91"/>
  <c r="F23" i="90"/>
  <c r="F23" i="91"/>
  <c r="F47" i="90"/>
  <c r="F47" i="91"/>
  <c r="F25" i="90"/>
  <c r="F25" i="91"/>
  <c r="F10" i="90"/>
  <c r="F10" i="91"/>
  <c r="F4" i="90"/>
  <c r="F4" i="91"/>
  <c r="F8" i="90"/>
  <c r="F8" i="91"/>
  <c r="F11" i="90"/>
  <c r="F11" i="91"/>
  <c r="F24" i="90"/>
  <c r="F24" i="91"/>
  <c r="F22" i="90"/>
  <c r="F22" i="91"/>
  <c r="F20" i="90"/>
  <c r="F20" i="91"/>
  <c r="F17" i="90"/>
  <c r="F17" i="91"/>
  <c r="F31" i="90"/>
  <c r="F31" i="91"/>
  <c r="F21" i="90"/>
  <c r="F21" i="91"/>
  <c r="F9" i="90"/>
  <c r="F9" i="91"/>
  <c r="F40" i="90"/>
  <c r="F40" i="91"/>
  <c r="F26" i="90"/>
  <c r="F26" i="91"/>
  <c r="F29" i="90"/>
  <c r="F29" i="91"/>
  <c r="F30" i="90"/>
  <c r="F30" i="91"/>
  <c r="F28" i="90"/>
  <c r="F28" i="91"/>
  <c r="F44" i="90"/>
  <c r="F44" i="91"/>
  <c r="F37" i="90"/>
  <c r="F37" i="91"/>
  <c r="F43" i="90"/>
  <c r="F43" i="91"/>
  <c r="F41" i="90"/>
  <c r="F41" i="91"/>
  <c r="F46" i="90"/>
  <c r="F46" i="91"/>
  <c r="F19" i="90"/>
  <c r="F19" i="91"/>
  <c r="F39" i="90"/>
  <c r="F39" i="91"/>
  <c r="F13" i="90"/>
  <c r="F13" i="91"/>
  <c r="F36" i="89"/>
  <c r="F36" i="90"/>
  <c r="F18" i="89"/>
  <c r="F18" i="90"/>
  <c r="F7" i="89"/>
  <c r="F7" i="90"/>
  <c r="F34" i="89"/>
  <c r="F34" i="90"/>
  <c r="F27" i="89"/>
  <c r="F27" i="90"/>
  <c r="F15" i="89"/>
  <c r="F15" i="90"/>
  <c r="F35" i="89"/>
  <c r="F35" i="90"/>
  <c r="F45" i="89"/>
  <c r="F45" i="90"/>
  <c r="F33" i="89"/>
  <c r="F33" i="90"/>
  <c r="F12" i="89"/>
  <c r="F12" i="90"/>
  <c r="F14" i="89"/>
  <c r="F14" i="90"/>
  <c r="F30" i="89"/>
  <c r="F28" i="89"/>
  <c r="F44" i="89"/>
  <c r="F37" i="89"/>
  <c r="F43" i="89"/>
  <c r="F41" i="89"/>
  <c r="F46" i="89"/>
  <c r="F19" i="89"/>
  <c r="F39" i="89"/>
  <c r="F13" i="89"/>
  <c r="F28" i="100"/>
  <c r="F42" i="89"/>
  <c r="F16" i="89"/>
  <c r="F32" i="89"/>
  <c r="F48" i="89"/>
  <c r="F38" i="89"/>
  <c r="F5" i="89"/>
  <c r="F23" i="89"/>
  <c r="F47" i="89"/>
  <c r="F25" i="89"/>
  <c r="F39" i="100"/>
  <c r="F41" i="100"/>
  <c r="F10" i="89"/>
  <c r="F4" i="89"/>
  <c r="F20" i="89"/>
  <c r="F17" i="89"/>
  <c r="F8" i="89"/>
  <c r="F31" i="89"/>
  <c r="F14" i="100"/>
  <c r="F21" i="89"/>
  <c r="F11" i="89"/>
  <c r="F9" i="89"/>
  <c r="F24" i="89"/>
  <c r="F40" i="89"/>
  <c r="F26" i="89"/>
  <c r="F22" i="89"/>
  <c r="F29" i="89"/>
  <c r="F30" i="100"/>
  <c r="F44" i="100"/>
  <c r="F19" i="100"/>
  <c r="F13" i="100"/>
  <c r="F43" i="100"/>
  <c r="F27" i="100"/>
  <c r="F15" i="100"/>
  <c r="F12" i="100"/>
  <c r="F35" i="100"/>
  <c r="F33" i="100"/>
  <c r="F10" i="100"/>
  <c r="F4" i="100"/>
  <c r="F20" i="100"/>
  <c r="F36" i="100"/>
  <c r="F8" i="100"/>
  <c r="F31" i="100"/>
  <c r="F34" i="100"/>
  <c r="F17" i="100"/>
  <c r="F18" i="100"/>
  <c r="F7" i="100"/>
  <c r="F48" i="100"/>
  <c r="F38" i="100"/>
  <c r="F23" i="100"/>
  <c r="F25" i="100"/>
  <c r="F32" i="100"/>
  <c r="F2" i="109"/>
  <c r="F21" i="102"/>
  <c r="F21" i="104"/>
  <c r="F21" i="110"/>
  <c r="F21" i="108"/>
  <c r="F21" i="103"/>
  <c r="F21" i="107"/>
  <c r="F21" i="101"/>
  <c r="F21" i="105"/>
  <c r="F21" i="106"/>
  <c r="F11" i="107"/>
  <c r="F11" i="104"/>
  <c r="F11" i="103"/>
  <c r="F11" i="106"/>
  <c r="F11" i="108"/>
  <c r="F11" i="101"/>
  <c r="F11" i="110"/>
  <c r="F11" i="102"/>
  <c r="F11" i="105"/>
  <c r="F9" i="106"/>
  <c r="F9" i="110"/>
  <c r="F9" i="102"/>
  <c r="F9" i="107"/>
  <c r="F9" i="101"/>
  <c r="F9" i="105"/>
  <c r="F9" i="108"/>
  <c r="F9" i="103"/>
  <c r="F9" i="104"/>
  <c r="F24" i="106"/>
  <c r="F24" i="104"/>
  <c r="F24" i="108"/>
  <c r="F24" i="105"/>
  <c r="F24" i="103"/>
  <c r="F24" i="110"/>
  <c r="F24" i="101"/>
  <c r="F24" i="107"/>
  <c r="F24" i="102"/>
  <c r="F40" i="106"/>
  <c r="F40" i="108"/>
  <c r="F40" i="105"/>
  <c r="F40" i="103"/>
  <c r="F40" i="102"/>
  <c r="F40" i="104"/>
  <c r="F40" i="107"/>
  <c r="F40" i="101"/>
  <c r="F40" i="110"/>
  <c r="F26" i="110"/>
  <c r="F26" i="101"/>
  <c r="F26" i="103"/>
  <c r="F26" i="105"/>
  <c r="F26" i="104"/>
  <c r="F26" i="107"/>
  <c r="F26" i="108"/>
  <c r="F26" i="102"/>
  <c r="F26" i="106"/>
  <c r="F22" i="105"/>
  <c r="F22" i="103"/>
  <c r="F22" i="110"/>
  <c r="F22" i="102"/>
  <c r="F22" i="108"/>
  <c r="F22" i="101"/>
  <c r="F22" i="106"/>
  <c r="F22" i="107"/>
  <c r="F22" i="104"/>
  <c r="F29" i="103"/>
  <c r="F29" i="102"/>
  <c r="F29" i="110"/>
  <c r="F29" i="107"/>
  <c r="F29" i="104"/>
  <c r="F29" i="105"/>
  <c r="F29" i="108"/>
  <c r="F29" i="106"/>
  <c r="F29" i="101"/>
  <c r="F27" i="107"/>
  <c r="F27" i="103"/>
  <c r="F27" i="108"/>
  <c r="F27" i="105"/>
  <c r="F27" i="110"/>
  <c r="F27" i="106"/>
  <c r="F27" i="102"/>
  <c r="F27" i="101"/>
  <c r="F27" i="104"/>
  <c r="F15" i="103"/>
  <c r="F15" i="101"/>
  <c r="F15" i="110"/>
  <c r="F15" i="106"/>
  <c r="F15" i="104"/>
  <c r="F15" i="102"/>
  <c r="F15" i="107"/>
  <c r="F15" i="108"/>
  <c r="F15" i="105"/>
  <c r="F35" i="107"/>
  <c r="F35" i="110"/>
  <c r="F35" i="104"/>
  <c r="F35" i="103"/>
  <c r="F35" i="108"/>
  <c r="F35" i="101"/>
  <c r="F35" i="106"/>
  <c r="F35" i="102"/>
  <c r="F35" i="105"/>
  <c r="F25" i="106"/>
  <c r="F25" i="107"/>
  <c r="F25" i="110"/>
  <c r="F25" i="108"/>
  <c r="F25" i="102"/>
  <c r="F25" i="103"/>
  <c r="F25" i="101"/>
  <c r="F25" i="105"/>
  <c r="F25" i="104"/>
  <c r="F21" i="100"/>
  <c r="F11" i="100"/>
  <c r="F9" i="100"/>
  <c r="F24" i="100"/>
  <c r="F22" i="100"/>
  <c r="F29" i="100"/>
  <c r="F42" i="110"/>
  <c r="F42" i="105"/>
  <c r="F42" i="107"/>
  <c r="F42" i="102"/>
  <c r="F42" i="106"/>
  <c r="F42" i="104"/>
  <c r="F42" i="103"/>
  <c r="F42" i="101"/>
  <c r="F42" i="108"/>
  <c r="F16" i="106"/>
  <c r="F16" i="102"/>
  <c r="F16" i="103"/>
  <c r="F16" i="105"/>
  <c r="F16" i="110"/>
  <c r="F16" i="108"/>
  <c r="F16" i="101"/>
  <c r="F16" i="107"/>
  <c r="F16" i="104"/>
  <c r="F32" i="106"/>
  <c r="F32" i="108"/>
  <c r="F32" i="102"/>
  <c r="F32" i="103"/>
  <c r="F32" i="101"/>
  <c r="F32" i="105"/>
  <c r="F32" i="110"/>
  <c r="F32" i="104"/>
  <c r="F32" i="107"/>
  <c r="F48" i="106"/>
  <c r="F48" i="103"/>
  <c r="F48" i="102"/>
  <c r="F48" i="101"/>
  <c r="F48" i="105"/>
  <c r="F48" i="108"/>
  <c r="F48" i="110"/>
  <c r="F48" i="107"/>
  <c r="F48" i="104"/>
  <c r="F38" i="105"/>
  <c r="F38" i="102"/>
  <c r="F38" i="110"/>
  <c r="F38" i="107"/>
  <c r="F38" i="108"/>
  <c r="F38" i="106"/>
  <c r="F38" i="101"/>
  <c r="F38" i="103"/>
  <c r="F38" i="104"/>
  <c r="F5" i="102"/>
  <c r="F5" i="103"/>
  <c r="F5" i="110"/>
  <c r="F5" i="107"/>
  <c r="F5" i="108"/>
  <c r="F5" i="104"/>
  <c r="F5" i="101"/>
  <c r="F5" i="105"/>
  <c r="F5" i="106"/>
  <c r="F3" i="107"/>
  <c r="F3" i="104"/>
  <c r="F3" i="110"/>
  <c r="F3" i="103"/>
  <c r="F3" i="108"/>
  <c r="F3" i="105"/>
  <c r="F3" i="101"/>
  <c r="F3" i="106"/>
  <c r="F3" i="102"/>
  <c r="F23" i="105"/>
  <c r="F23" i="103"/>
  <c r="F23" i="108"/>
  <c r="F23" i="107"/>
  <c r="F23" i="101"/>
  <c r="F23" i="106"/>
  <c r="F23" i="110"/>
  <c r="F23" i="104"/>
  <c r="F23" i="102"/>
  <c r="F47" i="104"/>
  <c r="F47" i="103"/>
  <c r="F47" i="102"/>
  <c r="F47" i="107"/>
  <c r="F47" i="105"/>
  <c r="F47" i="106"/>
  <c r="F47" i="108"/>
  <c r="F47" i="101"/>
  <c r="F47" i="110"/>
  <c r="F45" i="102"/>
  <c r="F45" i="104"/>
  <c r="F45" i="103"/>
  <c r="F45" i="110"/>
  <c r="F45" i="108"/>
  <c r="F45" i="107"/>
  <c r="F45" i="106"/>
  <c r="F45" i="105"/>
  <c r="F45" i="101"/>
  <c r="F42" i="100"/>
  <c r="F16" i="100"/>
  <c r="F40" i="100"/>
  <c r="F26" i="100"/>
  <c r="F5" i="100"/>
  <c r="F3" i="100"/>
  <c r="F47" i="100"/>
  <c r="F10" i="110"/>
  <c r="F10" i="102"/>
  <c r="F10" i="101"/>
  <c r="F10" i="106"/>
  <c r="F10" i="105"/>
  <c r="F10" i="104"/>
  <c r="F10" i="107"/>
  <c r="F10" i="108"/>
  <c r="F10" i="103"/>
  <c r="F33" i="102"/>
  <c r="F33" i="106"/>
  <c r="F33" i="104"/>
  <c r="F33" i="108"/>
  <c r="F33" i="103"/>
  <c r="F33" i="110"/>
  <c r="F33" i="107"/>
  <c r="F33" i="101"/>
  <c r="F33" i="105"/>
  <c r="F30" i="105"/>
  <c r="F30" i="107"/>
  <c r="F30" i="101"/>
  <c r="F30" i="108"/>
  <c r="F30" i="102"/>
  <c r="F30" i="103"/>
  <c r="F30" i="110"/>
  <c r="F30" i="106"/>
  <c r="F30" i="104"/>
  <c r="F4" i="103"/>
  <c r="F4" i="108"/>
  <c r="F4" i="101"/>
  <c r="F4" i="110"/>
  <c r="F4" i="105"/>
  <c r="F4" i="102"/>
  <c r="F4" i="104"/>
  <c r="F4" i="106"/>
  <c r="F4" i="107"/>
  <c r="F12" i="102"/>
  <c r="F12" i="105"/>
  <c r="F12" i="106"/>
  <c r="F12" i="104"/>
  <c r="F12" i="107"/>
  <c r="F12" i="108"/>
  <c r="F12" i="101"/>
  <c r="F12" i="103"/>
  <c r="F12" i="110"/>
  <c r="F20" i="103"/>
  <c r="F20" i="101"/>
  <c r="F20" i="108"/>
  <c r="F20" i="106"/>
  <c r="F20" i="105"/>
  <c r="F20" i="110"/>
  <c r="F20" i="104"/>
  <c r="F20" i="102"/>
  <c r="F20" i="107"/>
  <c r="F28" i="102"/>
  <c r="F28" i="105"/>
  <c r="F28" i="110"/>
  <c r="F28" i="108"/>
  <c r="F28" i="106"/>
  <c r="F28" i="107"/>
  <c r="F28" i="101"/>
  <c r="F28" i="104"/>
  <c r="F28" i="103"/>
  <c r="F36" i="103"/>
  <c r="F36" i="108"/>
  <c r="F36" i="102"/>
  <c r="F36" i="104"/>
  <c r="F36" i="110"/>
  <c r="F36" i="105"/>
  <c r="F36" i="106"/>
  <c r="F36" i="101"/>
  <c r="F36" i="107"/>
  <c r="F44" i="101"/>
  <c r="F44" i="110"/>
  <c r="F44" i="102"/>
  <c r="F44" i="105"/>
  <c r="F44" i="106"/>
  <c r="F44" i="107"/>
  <c r="F44" i="104"/>
  <c r="F44" i="108"/>
  <c r="F44" i="103"/>
  <c r="F14" i="105"/>
  <c r="F14" i="102"/>
  <c r="F14" i="110"/>
  <c r="F14" i="103"/>
  <c r="F14" i="108"/>
  <c r="F14" i="107"/>
  <c r="F14" i="106"/>
  <c r="F14" i="101"/>
  <c r="F14" i="104"/>
  <c r="F17" i="102"/>
  <c r="F17" i="106"/>
  <c r="F17" i="104"/>
  <c r="F17" i="110"/>
  <c r="F17" i="103"/>
  <c r="F17" i="101"/>
  <c r="F17" i="105"/>
  <c r="F17" i="108"/>
  <c r="F17" i="107"/>
  <c r="F37" i="102"/>
  <c r="F37" i="108"/>
  <c r="F37" i="104"/>
  <c r="F37" i="110"/>
  <c r="F37" i="103"/>
  <c r="F37" i="107"/>
  <c r="F37" i="101"/>
  <c r="F37" i="105"/>
  <c r="F37" i="106"/>
  <c r="F43" i="107"/>
  <c r="F43" i="103"/>
  <c r="F43" i="108"/>
  <c r="F43" i="101"/>
  <c r="F43" i="104"/>
  <c r="F43" i="110"/>
  <c r="F43" i="102"/>
  <c r="F43" i="105"/>
  <c r="F43" i="106"/>
  <c r="F18" i="110"/>
  <c r="F18" i="101"/>
  <c r="F18" i="105"/>
  <c r="F18" i="103"/>
  <c r="F18" i="104"/>
  <c r="F18" i="107"/>
  <c r="F18" i="106"/>
  <c r="F18" i="102"/>
  <c r="F18" i="108"/>
  <c r="F41" i="106"/>
  <c r="F41" i="102"/>
  <c r="F41" i="103"/>
  <c r="F41" i="110"/>
  <c r="F41" i="107"/>
  <c r="F41" i="104"/>
  <c r="F41" i="108"/>
  <c r="F41" i="101"/>
  <c r="F41" i="105"/>
  <c r="F7" i="105"/>
  <c r="F7" i="102"/>
  <c r="F7" i="106"/>
  <c r="F7" i="103"/>
  <c r="F7" i="108"/>
  <c r="F7" i="101"/>
  <c r="F7" i="110"/>
  <c r="F7" i="104"/>
  <c r="F7" i="107"/>
  <c r="F46" i="105"/>
  <c r="F46" i="102"/>
  <c r="F46" i="106"/>
  <c r="F46" i="101"/>
  <c r="F46" i="108"/>
  <c r="F46" i="107"/>
  <c r="F46" i="103"/>
  <c r="F46" i="110"/>
  <c r="F46" i="104"/>
  <c r="F8" i="106"/>
  <c r="F8" i="104"/>
  <c r="F8" i="101"/>
  <c r="F8" i="103"/>
  <c r="F8" i="102"/>
  <c r="F8" i="108"/>
  <c r="F8" i="105"/>
  <c r="F8" i="110"/>
  <c r="F8" i="107"/>
  <c r="F19" i="107"/>
  <c r="F19" i="104"/>
  <c r="F19" i="101"/>
  <c r="F19" i="106"/>
  <c r="F19" i="105"/>
  <c r="F19" i="103"/>
  <c r="F19" i="108"/>
  <c r="F19" i="110"/>
  <c r="F19" i="102"/>
  <c r="F31" i="103"/>
  <c r="F31" i="104"/>
  <c r="F31" i="101"/>
  <c r="F31" i="106"/>
  <c r="F31" i="107"/>
  <c r="F31" i="105"/>
  <c r="F31" i="110"/>
  <c r="F31" i="102"/>
  <c r="F31" i="108"/>
  <c r="F39" i="110"/>
  <c r="F39" i="103"/>
  <c r="F39" i="108"/>
  <c r="F39" i="106"/>
  <c r="F39" i="105"/>
  <c r="F39" i="101"/>
  <c r="F39" i="102"/>
  <c r="F39" i="104"/>
  <c r="F39" i="107"/>
  <c r="F13" i="107"/>
  <c r="F13" i="106"/>
  <c r="F13" i="110"/>
  <c r="F13" i="108"/>
  <c r="F13" i="101"/>
  <c r="F13" i="102"/>
  <c r="F13" i="103"/>
  <c r="F13" i="105"/>
  <c r="F13" i="104"/>
  <c r="F34" i="110"/>
  <c r="F34" i="106"/>
  <c r="F34" i="101"/>
  <c r="F34" i="107"/>
  <c r="F34" i="105"/>
  <c r="F34" i="104"/>
  <c r="F34" i="108"/>
  <c r="F34" i="103"/>
  <c r="F34" i="102"/>
  <c r="F26" i="99" l="1"/>
  <c r="F21" i="99"/>
  <c r="F17" i="99"/>
  <c r="F45" i="99"/>
  <c r="F18" i="99"/>
  <c r="F36" i="99"/>
  <c r="F5" i="99"/>
  <c r="F8" i="99"/>
  <c r="F22" i="99"/>
  <c r="F11" i="99"/>
  <c r="F31" i="99"/>
  <c r="F30" i="99"/>
  <c r="F7" i="99"/>
  <c r="F28" i="99"/>
  <c r="F37" i="99"/>
  <c r="F43" i="99"/>
  <c r="F27" i="99"/>
  <c r="F2" i="99"/>
  <c r="F29" i="99"/>
  <c r="F40" i="99"/>
  <c r="F9" i="99"/>
  <c r="F10" i="99"/>
  <c r="F14" i="99"/>
  <c r="F33" i="99"/>
  <c r="F35" i="99"/>
  <c r="F39" i="99"/>
  <c r="F47" i="99"/>
  <c r="F38" i="99"/>
  <c r="F32" i="99"/>
  <c r="F6" i="98"/>
  <c r="F6" i="109"/>
  <c r="F25" i="99"/>
  <c r="F41" i="99"/>
  <c r="F34" i="99"/>
  <c r="F15" i="99"/>
  <c r="F12" i="99"/>
  <c r="F23" i="99"/>
  <c r="F24" i="99"/>
  <c r="F4" i="99"/>
  <c r="F3" i="99"/>
  <c r="F48" i="99"/>
  <c r="F16" i="99"/>
  <c r="F42" i="99"/>
  <c r="F20" i="99"/>
  <c r="F44" i="99"/>
  <c r="F19" i="99"/>
  <c r="F13" i="99"/>
  <c r="F2" i="97"/>
  <c r="F2" i="98"/>
  <c r="F6" i="96"/>
  <c r="F6" i="97"/>
  <c r="F2" i="95"/>
  <c r="F2" i="96"/>
  <c r="F6" i="94"/>
  <c r="F6" i="95"/>
  <c r="F2" i="93"/>
  <c r="F2" i="94"/>
  <c r="F6" i="92"/>
  <c r="F6" i="93"/>
  <c r="F2" i="91"/>
  <c r="F2" i="92"/>
  <c r="F6" i="90"/>
  <c r="F6" i="91"/>
  <c r="F2" i="90"/>
  <c r="F6" i="89"/>
  <c r="F3" i="89"/>
  <c r="F2" i="100"/>
  <c r="F6" i="100"/>
  <c r="F6" i="105"/>
  <c r="F6" i="107"/>
  <c r="F6" i="110"/>
  <c r="F6" i="108"/>
  <c r="F6" i="106"/>
  <c r="F6" i="103"/>
  <c r="F6" i="101"/>
  <c r="F6" i="102"/>
  <c r="F6" i="104"/>
  <c r="F2" i="110"/>
  <c r="F2" i="103"/>
  <c r="F2" i="106"/>
  <c r="F2" i="105"/>
  <c r="F2" i="101"/>
  <c r="F2" i="104"/>
  <c r="F2" i="107"/>
  <c r="F2" i="102"/>
  <c r="F2" i="108"/>
  <c r="F6" i="99" l="1"/>
  <c r="F2" i="89"/>
  <c r="D10" i="110" l="1"/>
  <c r="D10" i="109"/>
  <c r="D10" i="105"/>
  <c r="D10" i="107"/>
  <c r="D10" i="97"/>
  <c r="D10" i="108"/>
  <c r="D10" i="96"/>
  <c r="D10" i="94"/>
  <c r="D10" i="92"/>
  <c r="D10" i="106"/>
  <c r="D10" i="103"/>
  <c r="D10" i="100"/>
  <c r="D10" i="98"/>
  <c r="D10" i="102"/>
  <c r="D10" i="93"/>
  <c r="D10" i="91"/>
  <c r="D10" i="90"/>
  <c r="D10" i="104"/>
  <c r="D10" i="101"/>
  <c r="D10" i="95"/>
  <c r="D10" i="99"/>
  <c r="C23" i="110"/>
  <c r="C23" i="109"/>
  <c r="C23" i="108"/>
  <c r="C23" i="105"/>
  <c r="C23" i="107"/>
  <c r="C23" i="103"/>
  <c r="C23" i="96"/>
  <c r="C23" i="94"/>
  <c r="C23" i="92"/>
  <c r="C23" i="104"/>
  <c r="C23" i="101"/>
  <c r="C23" i="100"/>
  <c r="C23" i="97"/>
  <c r="C23" i="95"/>
  <c r="C23" i="106"/>
  <c r="C23" i="99"/>
  <c r="C23" i="90"/>
  <c r="C23" i="102"/>
  <c r="C23" i="98"/>
  <c r="C23" i="93"/>
  <c r="C23" i="91"/>
  <c r="B32" i="110"/>
  <c r="B32" i="109"/>
  <c r="B32" i="105"/>
  <c r="B32" i="107"/>
  <c r="B32" i="106"/>
  <c r="B32" i="104"/>
  <c r="B32" i="103"/>
  <c r="B32" i="96"/>
  <c r="B32" i="94"/>
  <c r="B32" i="92"/>
  <c r="B32" i="102"/>
  <c r="B32" i="100"/>
  <c r="B32" i="99"/>
  <c r="B32" i="108"/>
  <c r="B32" i="91"/>
  <c r="B32" i="101"/>
  <c r="B32" i="98"/>
  <c r="B32" i="95"/>
  <c r="B32" i="93"/>
  <c r="B32" i="90"/>
  <c r="B32" i="97"/>
  <c r="B44" i="110"/>
  <c r="B44" i="109"/>
  <c r="B44" i="107"/>
  <c r="B44" i="105"/>
  <c r="B44" i="106"/>
  <c r="B44" i="108"/>
  <c r="B44" i="104"/>
  <c r="B44" i="103"/>
  <c r="B44" i="102"/>
  <c r="B44" i="94"/>
  <c r="B44" i="92"/>
  <c r="B44" i="100"/>
  <c r="B44" i="99"/>
  <c r="B44" i="96"/>
  <c r="B44" i="97"/>
  <c r="B44" i="91"/>
  <c r="B44" i="101"/>
  <c r="B44" i="98"/>
  <c r="B44" i="95"/>
  <c r="B44" i="93"/>
  <c r="B44" i="90"/>
  <c r="B10" i="110"/>
  <c r="B10" i="106"/>
  <c r="B10" i="108"/>
  <c r="B10" i="107"/>
  <c r="B10" i="105"/>
  <c r="B10" i="104"/>
  <c r="B10" i="103"/>
  <c r="B10" i="102"/>
  <c r="B10" i="97"/>
  <c r="B10" i="95"/>
  <c r="B10" i="93"/>
  <c r="B10" i="99"/>
  <c r="B10" i="96"/>
  <c r="B10" i="94"/>
  <c r="B10" i="101"/>
  <c r="B10" i="98"/>
  <c r="B10" i="109"/>
  <c r="B10" i="91"/>
  <c r="B10" i="100"/>
  <c r="B10" i="92"/>
  <c r="B10" i="90"/>
  <c r="D12" i="109"/>
  <c r="D12" i="110"/>
  <c r="D12" i="108"/>
  <c r="D12" i="106"/>
  <c r="D12" i="102"/>
  <c r="D12" i="105"/>
  <c r="D12" i="95"/>
  <c r="D12" i="93"/>
  <c r="D12" i="107"/>
  <c r="D12" i="101"/>
  <c r="D12" i="99"/>
  <c r="D12" i="98"/>
  <c r="D12" i="92"/>
  <c r="D12" i="104"/>
  <c r="D12" i="103"/>
  <c r="D12" i="96"/>
  <c r="D12" i="94"/>
  <c r="D12" i="91"/>
  <c r="D12" i="100"/>
  <c r="D12" i="97"/>
  <c r="D12" i="90"/>
  <c r="B22" i="110"/>
  <c r="B22" i="108"/>
  <c r="B22" i="106"/>
  <c r="B22" i="109"/>
  <c r="B22" i="107"/>
  <c r="B22" i="105"/>
  <c r="B22" i="104"/>
  <c r="B22" i="103"/>
  <c r="B22" i="102"/>
  <c r="B22" i="95"/>
  <c r="B22" i="93"/>
  <c r="B22" i="99"/>
  <c r="B22" i="96"/>
  <c r="B22" i="94"/>
  <c r="B22" i="101"/>
  <c r="B22" i="98"/>
  <c r="B22" i="92"/>
  <c r="B22" i="97"/>
  <c r="B22" i="91"/>
  <c r="B22" i="100"/>
  <c r="B22" i="90"/>
  <c r="C33" i="110"/>
  <c r="C33" i="108"/>
  <c r="C33" i="109"/>
  <c r="C33" i="106"/>
  <c r="C33" i="104"/>
  <c r="C33" i="107"/>
  <c r="C33" i="102"/>
  <c r="C33" i="103"/>
  <c r="C33" i="95"/>
  <c r="C33" i="93"/>
  <c r="C33" i="98"/>
  <c r="C33" i="92"/>
  <c r="C33" i="97"/>
  <c r="C33" i="96"/>
  <c r="C33" i="101"/>
  <c r="C33" i="100"/>
  <c r="C33" i="91"/>
  <c r="C33" i="99"/>
  <c r="C33" i="94"/>
  <c r="C33" i="105"/>
  <c r="C33" i="90"/>
  <c r="D44" i="108"/>
  <c r="D44" i="109"/>
  <c r="D44" i="110"/>
  <c r="D44" i="106"/>
  <c r="D44" i="104"/>
  <c r="D44" i="105"/>
  <c r="D44" i="107"/>
  <c r="D44" i="95"/>
  <c r="D44" i="93"/>
  <c r="D44" i="102"/>
  <c r="D44" i="101"/>
  <c r="D44" i="99"/>
  <c r="D44" i="97"/>
  <c r="D44" i="98"/>
  <c r="D44" i="92"/>
  <c r="D44" i="103"/>
  <c r="D44" i="96"/>
  <c r="D44" i="94"/>
  <c r="D44" i="91"/>
  <c r="D44" i="100"/>
  <c r="D44" i="90"/>
  <c r="B8" i="110"/>
  <c r="B8" i="109"/>
  <c r="B8" i="105"/>
  <c r="B8" i="108"/>
  <c r="B8" i="107"/>
  <c r="B8" i="106"/>
  <c r="B8" i="104"/>
  <c r="B8" i="103"/>
  <c r="B8" i="97"/>
  <c r="B8" i="96"/>
  <c r="B8" i="94"/>
  <c r="B8" i="92"/>
  <c r="B8" i="102"/>
  <c r="B8" i="100"/>
  <c r="B8" i="93"/>
  <c r="B8" i="91"/>
  <c r="B8" i="101"/>
  <c r="B8" i="98"/>
  <c r="B8" i="95"/>
  <c r="B8" i="90"/>
  <c r="B8" i="99"/>
  <c r="B19" i="110"/>
  <c r="B19" i="109"/>
  <c r="B19" i="108"/>
  <c r="B19" i="106"/>
  <c r="B19" i="103"/>
  <c r="B19" i="104"/>
  <c r="B19" i="107"/>
  <c r="B19" i="105"/>
  <c r="B19" i="101"/>
  <c r="B19" i="99"/>
  <c r="B19" i="97"/>
  <c r="B19" i="102"/>
  <c r="B19" i="96"/>
  <c r="B19" i="94"/>
  <c r="B19" i="98"/>
  <c r="B19" i="95"/>
  <c r="B19" i="93"/>
  <c r="B19" i="91"/>
  <c r="B19" i="90"/>
  <c r="B19" i="100"/>
  <c r="B19" i="92"/>
  <c r="C26" i="110"/>
  <c r="C26" i="109"/>
  <c r="C26" i="108"/>
  <c r="C26" i="107"/>
  <c r="C26" i="106"/>
  <c r="C26" i="103"/>
  <c r="C26" i="101"/>
  <c r="C26" i="99"/>
  <c r="C26" i="97"/>
  <c r="C26" i="104"/>
  <c r="C26" i="105"/>
  <c r="C26" i="96"/>
  <c r="C26" i="94"/>
  <c r="C26" i="91"/>
  <c r="C26" i="90"/>
  <c r="C26" i="93"/>
  <c r="C26" i="102"/>
  <c r="C26" i="100"/>
  <c r="C26" i="98"/>
  <c r="C26" i="92"/>
  <c r="C26" i="95"/>
  <c r="B35" i="110"/>
  <c r="B35" i="109"/>
  <c r="B35" i="107"/>
  <c r="B35" i="108"/>
  <c r="B35" i="106"/>
  <c r="B35" i="103"/>
  <c r="B35" i="104"/>
  <c r="B35" i="105"/>
  <c r="B35" i="101"/>
  <c r="B35" i="99"/>
  <c r="B35" i="97"/>
  <c r="B35" i="102"/>
  <c r="B35" i="94"/>
  <c r="B35" i="98"/>
  <c r="B35" i="95"/>
  <c r="B35" i="93"/>
  <c r="B35" i="91"/>
  <c r="B35" i="90"/>
  <c r="B35" i="100"/>
  <c r="B35" i="96"/>
  <c r="B35" i="92"/>
  <c r="D37" i="110"/>
  <c r="D37" i="109"/>
  <c r="D37" i="108"/>
  <c r="D37" i="107"/>
  <c r="D37" i="105"/>
  <c r="D37" i="103"/>
  <c r="D37" i="106"/>
  <c r="D37" i="101"/>
  <c r="D37" i="99"/>
  <c r="D37" i="97"/>
  <c r="D37" i="94"/>
  <c r="D37" i="100"/>
  <c r="D37" i="91"/>
  <c r="D37" i="95"/>
  <c r="D37" i="90"/>
  <c r="D37" i="102"/>
  <c r="D37" i="104"/>
  <c r="D37" i="98"/>
  <c r="D37" i="92"/>
  <c r="D37" i="96"/>
  <c r="D37" i="93"/>
  <c r="C42" i="110"/>
  <c r="C42" i="109"/>
  <c r="C42" i="107"/>
  <c r="C42" i="108"/>
  <c r="C42" i="106"/>
  <c r="C42" i="103"/>
  <c r="C42" i="104"/>
  <c r="C42" i="101"/>
  <c r="C42" i="99"/>
  <c r="C42" i="97"/>
  <c r="C42" i="105"/>
  <c r="C42" i="94"/>
  <c r="C42" i="91"/>
  <c r="C42" i="90"/>
  <c r="C42" i="93"/>
  <c r="C42" i="102"/>
  <c r="C42" i="100"/>
  <c r="C42" i="98"/>
  <c r="C42" i="92"/>
  <c r="C42" i="96"/>
  <c r="C42" i="95"/>
  <c r="C8" i="110"/>
  <c r="C8" i="109"/>
  <c r="C8" i="108"/>
  <c r="C8" i="107"/>
  <c r="C8" i="104"/>
  <c r="C8" i="106"/>
  <c r="C8" i="102"/>
  <c r="C8" i="100"/>
  <c r="C8" i="98"/>
  <c r="C8" i="97"/>
  <c r="C8" i="95"/>
  <c r="C8" i="101"/>
  <c r="C8" i="90"/>
  <c r="C8" i="103"/>
  <c r="C8" i="94"/>
  <c r="C8" i="91"/>
  <c r="C8" i="93"/>
  <c r="C8" i="105"/>
  <c r="C8" i="99"/>
  <c r="C8" i="96"/>
  <c r="C8" i="92"/>
  <c r="B20" i="110"/>
  <c r="B20" i="109"/>
  <c r="B20" i="105"/>
  <c r="B20" i="107"/>
  <c r="B20" i="106"/>
  <c r="B20" i="108"/>
  <c r="B20" i="104"/>
  <c r="B20" i="103"/>
  <c r="B20" i="96"/>
  <c r="B20" i="94"/>
  <c r="B20" i="92"/>
  <c r="B20" i="102"/>
  <c r="B20" i="100"/>
  <c r="B20" i="97"/>
  <c r="B20" i="101"/>
  <c r="B20" i="98"/>
  <c r="B20" i="95"/>
  <c r="B20" i="93"/>
  <c r="B20" i="90"/>
  <c r="B20" i="99"/>
  <c r="B20" i="91"/>
  <c r="C27" i="110"/>
  <c r="C27" i="109"/>
  <c r="C27" i="108"/>
  <c r="C27" i="105"/>
  <c r="C27" i="107"/>
  <c r="C27" i="103"/>
  <c r="C27" i="96"/>
  <c r="C27" i="94"/>
  <c r="C27" i="92"/>
  <c r="C27" i="104"/>
  <c r="C27" i="101"/>
  <c r="C27" i="102"/>
  <c r="C27" i="100"/>
  <c r="C27" i="106"/>
  <c r="C27" i="95"/>
  <c r="C27" i="91"/>
  <c r="C27" i="99"/>
  <c r="C27" i="90"/>
  <c r="C27" i="97"/>
  <c r="C27" i="98"/>
  <c r="C27" i="93"/>
  <c r="C39" i="110"/>
  <c r="C39" i="109"/>
  <c r="C39" i="108"/>
  <c r="C39" i="107"/>
  <c r="C39" i="105"/>
  <c r="C39" i="103"/>
  <c r="C39" i="102"/>
  <c r="C39" i="94"/>
  <c r="C39" i="92"/>
  <c r="C39" i="104"/>
  <c r="C39" i="101"/>
  <c r="C39" i="96"/>
  <c r="C39" i="100"/>
  <c r="C39" i="97"/>
  <c r="C39" i="95"/>
  <c r="C39" i="91"/>
  <c r="C39" i="106"/>
  <c r="C39" i="99"/>
  <c r="C39" i="90"/>
  <c r="C39" i="98"/>
  <c r="C39" i="93"/>
  <c r="D3" i="110"/>
  <c r="D3" i="109"/>
  <c r="D3" i="107"/>
  <c r="D3" i="108"/>
  <c r="D3" i="104"/>
  <c r="D3" i="105"/>
  <c r="D3" i="102"/>
  <c r="D3" i="100"/>
  <c r="D3" i="98"/>
  <c r="D3" i="95"/>
  <c r="D3" i="103"/>
  <c r="D3" i="99"/>
  <c r="D3" i="90"/>
  <c r="D3" i="97"/>
  <c r="D3" i="93"/>
  <c r="D3" i="96"/>
  <c r="D3" i="94"/>
  <c r="D3" i="106"/>
  <c r="D3" i="92"/>
  <c r="D3" i="91"/>
  <c r="D3" i="101"/>
  <c r="B17" i="110"/>
  <c r="B17" i="107"/>
  <c r="B17" i="109"/>
  <c r="B17" i="106"/>
  <c r="B17" i="104"/>
  <c r="B17" i="103"/>
  <c r="B17" i="108"/>
  <c r="B17" i="102"/>
  <c r="B17" i="100"/>
  <c r="B17" i="98"/>
  <c r="B17" i="105"/>
  <c r="B17" i="97"/>
  <c r="B17" i="95"/>
  <c r="B17" i="93"/>
  <c r="B17" i="90"/>
  <c r="B17" i="101"/>
  <c r="B17" i="91"/>
  <c r="B17" i="99"/>
  <c r="B17" i="96"/>
  <c r="B17" i="94"/>
  <c r="B17" i="92"/>
  <c r="B29" i="110"/>
  <c r="B29" i="107"/>
  <c r="B29" i="109"/>
  <c r="B29" i="108"/>
  <c r="B29" i="106"/>
  <c r="B29" i="104"/>
  <c r="B29" i="103"/>
  <c r="B29" i="102"/>
  <c r="B29" i="100"/>
  <c r="B29" i="98"/>
  <c r="B29" i="105"/>
  <c r="B29" i="95"/>
  <c r="B29" i="93"/>
  <c r="B29" i="97"/>
  <c r="B29" i="90"/>
  <c r="B29" i="91"/>
  <c r="B29" i="99"/>
  <c r="B29" i="96"/>
  <c r="B29" i="94"/>
  <c r="B29" i="101"/>
  <c r="B29" i="92"/>
  <c r="C32" i="110"/>
  <c r="C32" i="109"/>
  <c r="C32" i="108"/>
  <c r="C32" i="107"/>
  <c r="C32" i="106"/>
  <c r="C32" i="102"/>
  <c r="C32" i="100"/>
  <c r="C32" i="98"/>
  <c r="C32" i="95"/>
  <c r="C32" i="93"/>
  <c r="C32" i="101"/>
  <c r="C32" i="90"/>
  <c r="C32" i="103"/>
  <c r="C32" i="96"/>
  <c r="C32" i="94"/>
  <c r="C32" i="91"/>
  <c r="C32" i="104"/>
  <c r="C32" i="92"/>
  <c r="C32" i="105"/>
  <c r="C32" i="99"/>
  <c r="C32" i="97"/>
  <c r="C44" i="110"/>
  <c r="C44" i="109"/>
  <c r="C44" i="108"/>
  <c r="C44" i="102"/>
  <c r="C44" i="106"/>
  <c r="C44" i="100"/>
  <c r="C44" i="98"/>
  <c r="C44" i="96"/>
  <c r="C44" i="107"/>
  <c r="C44" i="95"/>
  <c r="C44" i="93"/>
  <c r="C44" i="101"/>
  <c r="C44" i="90"/>
  <c r="C44" i="91"/>
  <c r="C44" i="105"/>
  <c r="C44" i="104"/>
  <c r="C44" i="99"/>
  <c r="C44" i="103"/>
  <c r="C44" i="97"/>
  <c r="C44" i="94"/>
  <c r="C44" i="92"/>
  <c r="B11" i="108"/>
  <c r="B11" i="110"/>
  <c r="B11" i="109"/>
  <c r="B11" i="106"/>
  <c r="B11" i="103"/>
  <c r="B11" i="104"/>
  <c r="B11" i="107"/>
  <c r="B11" i="105"/>
  <c r="B11" i="101"/>
  <c r="B11" i="99"/>
  <c r="B11" i="102"/>
  <c r="B11" i="97"/>
  <c r="B11" i="96"/>
  <c r="B11" i="94"/>
  <c r="B11" i="98"/>
  <c r="B11" i="95"/>
  <c r="B11" i="93"/>
  <c r="B11" i="91"/>
  <c r="B11" i="90"/>
  <c r="B11" i="100"/>
  <c r="B11" i="92"/>
  <c r="B18" i="110"/>
  <c r="B18" i="108"/>
  <c r="B18" i="106"/>
  <c r="B18" i="107"/>
  <c r="B18" i="109"/>
  <c r="B18" i="105"/>
  <c r="B18" i="104"/>
  <c r="B18" i="103"/>
  <c r="B18" i="102"/>
  <c r="B18" i="95"/>
  <c r="B18" i="93"/>
  <c r="B18" i="99"/>
  <c r="B18" i="96"/>
  <c r="B18" i="94"/>
  <c r="B18" i="98"/>
  <c r="B18" i="92"/>
  <c r="B18" i="97"/>
  <c r="B18" i="91"/>
  <c r="B18" i="100"/>
  <c r="B18" i="101"/>
  <c r="B18" i="90"/>
  <c r="D24" i="108"/>
  <c r="D24" i="109"/>
  <c r="D24" i="106"/>
  <c r="D24" i="110"/>
  <c r="D24" i="102"/>
  <c r="D24" i="105"/>
  <c r="D24" i="95"/>
  <c r="D24" i="93"/>
  <c r="D24" i="101"/>
  <c r="D24" i="99"/>
  <c r="D24" i="97"/>
  <c r="D24" i="98"/>
  <c r="D24" i="92"/>
  <c r="D24" i="107"/>
  <c r="D24" i="103"/>
  <c r="D24" i="96"/>
  <c r="D24" i="94"/>
  <c r="D24" i="91"/>
  <c r="D24" i="104"/>
  <c r="D24" i="100"/>
  <c r="D24" i="90"/>
  <c r="B34" i="110"/>
  <c r="B34" i="108"/>
  <c r="B34" i="107"/>
  <c r="B34" i="106"/>
  <c r="B34" i="104"/>
  <c r="B34" i="109"/>
  <c r="B34" i="105"/>
  <c r="B34" i="103"/>
  <c r="B34" i="102"/>
  <c r="B34" i="95"/>
  <c r="B34" i="93"/>
  <c r="B34" i="99"/>
  <c r="B34" i="96"/>
  <c r="B34" i="94"/>
  <c r="B34" i="101"/>
  <c r="B34" i="92"/>
  <c r="B34" i="97"/>
  <c r="B34" i="91"/>
  <c r="B34" i="100"/>
  <c r="B34" i="98"/>
  <c r="B34" i="90"/>
  <c r="C45" i="110"/>
  <c r="C45" i="108"/>
  <c r="C45" i="109"/>
  <c r="C45" i="106"/>
  <c r="C45" i="104"/>
  <c r="C45" i="107"/>
  <c r="C45" i="102"/>
  <c r="C45" i="103"/>
  <c r="C45" i="95"/>
  <c r="C45" i="93"/>
  <c r="C45" i="98"/>
  <c r="C45" i="94"/>
  <c r="C45" i="96"/>
  <c r="C45" i="105"/>
  <c r="C45" i="101"/>
  <c r="C45" i="100"/>
  <c r="C45" i="91"/>
  <c r="C45" i="99"/>
  <c r="C45" i="92"/>
  <c r="C45" i="97"/>
  <c r="C45" i="90"/>
  <c r="D13" i="110"/>
  <c r="D13" i="108"/>
  <c r="D13" i="109"/>
  <c r="D13" i="105"/>
  <c r="D13" i="103"/>
  <c r="D13" i="107"/>
  <c r="D13" i="106"/>
  <c r="D13" i="101"/>
  <c r="D13" i="99"/>
  <c r="D13" i="96"/>
  <c r="D13" i="94"/>
  <c r="D13" i="100"/>
  <c r="D13" i="91"/>
  <c r="D13" i="95"/>
  <c r="D13" i="90"/>
  <c r="D13" i="102"/>
  <c r="D13" i="93"/>
  <c r="D13" i="104"/>
  <c r="D13" i="98"/>
  <c r="D13" i="92"/>
  <c r="D13" i="97"/>
  <c r="C22" i="110"/>
  <c r="C22" i="109"/>
  <c r="C22" i="107"/>
  <c r="C22" i="106"/>
  <c r="C22" i="103"/>
  <c r="C22" i="101"/>
  <c r="C22" i="99"/>
  <c r="C22" i="97"/>
  <c r="C22" i="104"/>
  <c r="C22" i="105"/>
  <c r="C22" i="96"/>
  <c r="C22" i="94"/>
  <c r="C22" i="91"/>
  <c r="C22" i="108"/>
  <c r="C22" i="92"/>
  <c r="C22" i="102"/>
  <c r="C22" i="100"/>
  <c r="C22" i="98"/>
  <c r="C22" i="90"/>
  <c r="C22" i="95"/>
  <c r="C22" i="93"/>
  <c r="D29" i="110"/>
  <c r="D29" i="109"/>
  <c r="D29" i="108"/>
  <c r="D29" i="105"/>
  <c r="D29" i="103"/>
  <c r="D29" i="107"/>
  <c r="D29" i="106"/>
  <c r="D29" i="101"/>
  <c r="D29" i="99"/>
  <c r="D29" i="97"/>
  <c r="D29" i="96"/>
  <c r="D29" i="94"/>
  <c r="D29" i="100"/>
  <c r="D29" i="91"/>
  <c r="D29" i="95"/>
  <c r="D29" i="102"/>
  <c r="D29" i="104"/>
  <c r="D29" i="98"/>
  <c r="D29" i="92"/>
  <c r="D29" i="93"/>
  <c r="D29" i="90"/>
  <c r="C38" i="110"/>
  <c r="C38" i="109"/>
  <c r="C38" i="107"/>
  <c r="C38" i="106"/>
  <c r="C38" i="103"/>
  <c r="C38" i="104"/>
  <c r="C38" i="101"/>
  <c r="C38" i="99"/>
  <c r="C38" i="97"/>
  <c r="C38" i="108"/>
  <c r="C38" i="105"/>
  <c r="C38" i="94"/>
  <c r="C38" i="91"/>
  <c r="C38" i="93"/>
  <c r="C38" i="102"/>
  <c r="C38" i="100"/>
  <c r="C38" i="98"/>
  <c r="C38" i="92"/>
  <c r="C38" i="90"/>
  <c r="C38" i="96"/>
  <c r="C38" i="95"/>
  <c r="D45" i="110"/>
  <c r="D45" i="109"/>
  <c r="D45" i="108"/>
  <c r="D45" i="107"/>
  <c r="D45" i="105"/>
  <c r="D45" i="103"/>
  <c r="D45" i="106"/>
  <c r="D45" i="101"/>
  <c r="D45" i="99"/>
  <c r="D45" i="97"/>
  <c r="D45" i="94"/>
  <c r="D45" i="100"/>
  <c r="D45" i="91"/>
  <c r="D45" i="93"/>
  <c r="D45" i="104"/>
  <c r="D45" i="98"/>
  <c r="D45" i="92"/>
  <c r="D45" i="96"/>
  <c r="D45" i="95"/>
  <c r="D45" i="90"/>
  <c r="D45" i="102"/>
  <c r="B4" i="110"/>
  <c r="B4" i="109"/>
  <c r="B4" i="105"/>
  <c r="B4" i="108"/>
  <c r="B4" i="107"/>
  <c r="B4" i="106"/>
  <c r="B4" i="104"/>
  <c r="B4" i="103"/>
  <c r="B4" i="97"/>
  <c r="B4" i="96"/>
  <c r="B4" i="94"/>
  <c r="B4" i="92"/>
  <c r="B4" i="102"/>
  <c r="B4" i="100"/>
  <c r="B4" i="93"/>
  <c r="B4" i="91"/>
  <c r="B4" i="101"/>
  <c r="B4" i="98"/>
  <c r="B4" i="95"/>
  <c r="B4" i="90"/>
  <c r="B4" i="99"/>
  <c r="D7" i="110"/>
  <c r="D7" i="109"/>
  <c r="D7" i="107"/>
  <c r="D7" i="108"/>
  <c r="D7" i="104"/>
  <c r="D7" i="105"/>
  <c r="D7" i="102"/>
  <c r="D7" i="100"/>
  <c r="D7" i="98"/>
  <c r="D7" i="95"/>
  <c r="D7" i="106"/>
  <c r="D7" i="103"/>
  <c r="D7" i="99"/>
  <c r="D7" i="90"/>
  <c r="D7" i="97"/>
  <c r="D7" i="93"/>
  <c r="D7" i="96"/>
  <c r="D7" i="94"/>
  <c r="D7" i="92"/>
  <c r="D7" i="91"/>
  <c r="D7" i="101"/>
  <c r="C15" i="110"/>
  <c r="C15" i="109"/>
  <c r="C15" i="108"/>
  <c r="C15" i="105"/>
  <c r="C15" i="107"/>
  <c r="C15" i="103"/>
  <c r="C15" i="97"/>
  <c r="C15" i="96"/>
  <c r="C15" i="94"/>
  <c r="C15" i="92"/>
  <c r="C15" i="104"/>
  <c r="C15" i="101"/>
  <c r="C15" i="100"/>
  <c r="C15" i="95"/>
  <c r="C15" i="93"/>
  <c r="C15" i="91"/>
  <c r="C15" i="106"/>
  <c r="C15" i="99"/>
  <c r="C15" i="90"/>
  <c r="C15" i="102"/>
  <c r="C15" i="98"/>
  <c r="D18" i="110"/>
  <c r="D18" i="109"/>
  <c r="D18" i="108"/>
  <c r="D18" i="105"/>
  <c r="D18" i="107"/>
  <c r="D18" i="96"/>
  <c r="D18" i="94"/>
  <c r="D18" i="92"/>
  <c r="D18" i="106"/>
  <c r="D18" i="103"/>
  <c r="D18" i="100"/>
  <c r="D18" i="98"/>
  <c r="D18" i="102"/>
  <c r="D18" i="97"/>
  <c r="D18" i="104"/>
  <c r="D18" i="90"/>
  <c r="D18" i="101"/>
  <c r="D18" i="95"/>
  <c r="D18" i="93"/>
  <c r="D18" i="99"/>
  <c r="D18" i="91"/>
  <c r="B24" i="110"/>
  <c r="B24" i="109"/>
  <c r="B24" i="105"/>
  <c r="B24" i="107"/>
  <c r="B24" i="106"/>
  <c r="B24" i="108"/>
  <c r="B24" i="104"/>
  <c r="B24" i="103"/>
  <c r="B24" i="96"/>
  <c r="B24" i="94"/>
  <c r="B24" i="92"/>
  <c r="B24" i="102"/>
  <c r="B24" i="100"/>
  <c r="B24" i="99"/>
  <c r="B24" i="97"/>
  <c r="B24" i="91"/>
  <c r="B24" i="101"/>
  <c r="B24" i="98"/>
  <c r="B24" i="95"/>
  <c r="B24" i="93"/>
  <c r="B24" i="90"/>
  <c r="C31" i="110"/>
  <c r="C31" i="109"/>
  <c r="C31" i="108"/>
  <c r="C31" i="105"/>
  <c r="C31" i="107"/>
  <c r="C31" i="103"/>
  <c r="C31" i="96"/>
  <c r="C31" i="94"/>
  <c r="C31" i="92"/>
  <c r="C31" i="104"/>
  <c r="C31" i="101"/>
  <c r="C31" i="100"/>
  <c r="C31" i="97"/>
  <c r="C31" i="95"/>
  <c r="C31" i="106"/>
  <c r="C31" i="99"/>
  <c r="C31" i="90"/>
  <c r="C31" i="102"/>
  <c r="C31" i="98"/>
  <c r="C31" i="93"/>
  <c r="C31" i="91"/>
  <c r="D34" i="110"/>
  <c r="D34" i="109"/>
  <c r="D34" i="108"/>
  <c r="D34" i="105"/>
  <c r="D34" i="107"/>
  <c r="D34" i="104"/>
  <c r="D34" i="94"/>
  <c r="D34" i="92"/>
  <c r="D34" i="106"/>
  <c r="D34" i="103"/>
  <c r="D34" i="100"/>
  <c r="D34" i="98"/>
  <c r="D34" i="96"/>
  <c r="D34" i="102"/>
  <c r="D34" i="97"/>
  <c r="D34" i="101"/>
  <c r="D34" i="91"/>
  <c r="D34" i="90"/>
  <c r="D34" i="95"/>
  <c r="D34" i="93"/>
  <c r="D34" i="99"/>
  <c r="B40" i="110"/>
  <c r="B40" i="109"/>
  <c r="B40" i="107"/>
  <c r="B40" i="105"/>
  <c r="B40" i="106"/>
  <c r="B40" i="108"/>
  <c r="B40" i="104"/>
  <c r="B40" i="103"/>
  <c r="B40" i="102"/>
  <c r="B40" i="94"/>
  <c r="B40" i="92"/>
  <c r="B40" i="100"/>
  <c r="B40" i="99"/>
  <c r="B40" i="96"/>
  <c r="B40" i="91"/>
  <c r="B40" i="101"/>
  <c r="B40" i="98"/>
  <c r="B40" i="95"/>
  <c r="B40" i="93"/>
  <c r="B40" i="90"/>
  <c r="B40" i="97"/>
  <c r="C47" i="110"/>
  <c r="C47" i="109"/>
  <c r="C47" i="108"/>
  <c r="C47" i="107"/>
  <c r="C47" i="105"/>
  <c r="C47" i="103"/>
  <c r="C47" i="102"/>
  <c r="C47" i="94"/>
  <c r="C47" i="92"/>
  <c r="C47" i="104"/>
  <c r="C47" i="101"/>
  <c r="C47" i="96"/>
  <c r="C47" i="100"/>
  <c r="C47" i="97"/>
  <c r="C47" i="98"/>
  <c r="C47" i="95"/>
  <c r="C47" i="91"/>
  <c r="C47" i="106"/>
  <c r="C47" i="99"/>
  <c r="C47" i="90"/>
  <c r="C47" i="93"/>
  <c r="D8" i="109"/>
  <c r="D8" i="108"/>
  <c r="D8" i="106"/>
  <c r="D8" i="110"/>
  <c r="D8" i="102"/>
  <c r="D8" i="105"/>
  <c r="D8" i="95"/>
  <c r="D8" i="93"/>
  <c r="D8" i="101"/>
  <c r="D8" i="99"/>
  <c r="D8" i="98"/>
  <c r="D8" i="92"/>
  <c r="D8" i="103"/>
  <c r="D8" i="96"/>
  <c r="D8" i="94"/>
  <c r="D8" i="91"/>
  <c r="D8" i="107"/>
  <c r="D8" i="104"/>
  <c r="D8" i="100"/>
  <c r="D8" i="97"/>
  <c r="D8" i="90"/>
  <c r="B13" i="110"/>
  <c r="B13" i="107"/>
  <c r="B13" i="109"/>
  <c r="B13" i="106"/>
  <c r="B13" i="104"/>
  <c r="B13" i="103"/>
  <c r="B13" i="102"/>
  <c r="B13" i="100"/>
  <c r="B13" i="98"/>
  <c r="B13" i="108"/>
  <c r="B13" i="105"/>
  <c r="B13" i="97"/>
  <c r="B13" i="95"/>
  <c r="B13" i="93"/>
  <c r="B13" i="90"/>
  <c r="B13" i="101"/>
  <c r="B13" i="91"/>
  <c r="B13" i="99"/>
  <c r="B13" i="96"/>
  <c r="B13" i="94"/>
  <c r="B13" i="92"/>
  <c r="D15" i="110"/>
  <c r="D15" i="109"/>
  <c r="D15" i="107"/>
  <c r="D15" i="108"/>
  <c r="D15" i="104"/>
  <c r="D15" i="105"/>
  <c r="D15" i="102"/>
  <c r="D15" i="100"/>
  <c r="D15" i="98"/>
  <c r="D15" i="95"/>
  <c r="D15" i="93"/>
  <c r="D15" i="106"/>
  <c r="D15" i="103"/>
  <c r="D15" i="99"/>
  <c r="D15" i="90"/>
  <c r="D15" i="97"/>
  <c r="D15" i="91"/>
  <c r="D15" i="101"/>
  <c r="D15" i="96"/>
  <c r="D15" i="94"/>
  <c r="D15" i="92"/>
  <c r="C24" i="110"/>
  <c r="C24" i="109"/>
  <c r="C24" i="108"/>
  <c r="C24" i="107"/>
  <c r="C24" i="104"/>
  <c r="C24" i="106"/>
  <c r="C24" i="102"/>
  <c r="C24" i="100"/>
  <c r="C24" i="98"/>
  <c r="C24" i="95"/>
  <c r="C24" i="93"/>
  <c r="C24" i="101"/>
  <c r="C24" i="90"/>
  <c r="C24" i="103"/>
  <c r="C24" i="96"/>
  <c r="C24" i="91"/>
  <c r="C24" i="92"/>
  <c r="C24" i="105"/>
  <c r="C24" i="99"/>
  <c r="C24" i="97"/>
  <c r="C24" i="94"/>
  <c r="C28" i="110"/>
  <c r="C28" i="109"/>
  <c r="C28" i="108"/>
  <c r="C28" i="107"/>
  <c r="C28" i="104"/>
  <c r="C28" i="106"/>
  <c r="C28" i="102"/>
  <c r="C28" i="100"/>
  <c r="C28" i="98"/>
  <c r="C28" i="95"/>
  <c r="C28" i="93"/>
  <c r="C28" i="101"/>
  <c r="C28" i="90"/>
  <c r="C28" i="97"/>
  <c r="C28" i="96"/>
  <c r="C28" i="91"/>
  <c r="C28" i="92"/>
  <c r="C28" i="99"/>
  <c r="C28" i="103"/>
  <c r="C28" i="94"/>
  <c r="C28" i="105"/>
  <c r="D31" i="110"/>
  <c r="D31" i="109"/>
  <c r="D31" i="108"/>
  <c r="D31" i="107"/>
  <c r="D31" i="105"/>
  <c r="D31" i="102"/>
  <c r="D31" i="100"/>
  <c r="D31" i="98"/>
  <c r="D31" i="104"/>
  <c r="D31" i="95"/>
  <c r="D31" i="93"/>
  <c r="D31" i="106"/>
  <c r="D31" i="103"/>
  <c r="D31" i="99"/>
  <c r="D31" i="90"/>
  <c r="D31" i="92"/>
  <c r="D31" i="91"/>
  <c r="D31" i="97"/>
  <c r="D31" i="96"/>
  <c r="D31" i="94"/>
  <c r="D31" i="101"/>
  <c r="B41" i="110"/>
  <c r="B41" i="107"/>
  <c r="B41" i="109"/>
  <c r="B41" i="108"/>
  <c r="B41" i="106"/>
  <c r="B41" i="102"/>
  <c r="B41" i="104"/>
  <c r="B41" i="103"/>
  <c r="B41" i="100"/>
  <c r="B41" i="98"/>
  <c r="B41" i="96"/>
  <c r="B41" i="105"/>
  <c r="B41" i="95"/>
  <c r="B41" i="93"/>
  <c r="B41" i="97"/>
  <c r="B41" i="90"/>
  <c r="B41" i="91"/>
  <c r="B41" i="94"/>
  <c r="B41" i="101"/>
  <c r="B41" i="99"/>
  <c r="B41" i="92"/>
  <c r="B45" i="110"/>
  <c r="B45" i="107"/>
  <c r="B45" i="109"/>
  <c r="B45" i="108"/>
  <c r="B45" i="106"/>
  <c r="B45" i="102"/>
  <c r="B45" i="104"/>
  <c r="B45" i="103"/>
  <c r="B45" i="100"/>
  <c r="B45" i="98"/>
  <c r="B45" i="96"/>
  <c r="B45" i="105"/>
  <c r="B45" i="95"/>
  <c r="B45" i="93"/>
  <c r="B45" i="97"/>
  <c r="B45" i="90"/>
  <c r="B45" i="91"/>
  <c r="B45" i="99"/>
  <c r="B45" i="94"/>
  <c r="B45" i="92"/>
  <c r="B45" i="101"/>
  <c r="D47" i="110"/>
  <c r="D47" i="109"/>
  <c r="D47" i="108"/>
  <c r="D47" i="102"/>
  <c r="D47" i="105"/>
  <c r="D47" i="107"/>
  <c r="D47" i="100"/>
  <c r="D47" i="98"/>
  <c r="D47" i="96"/>
  <c r="D47" i="104"/>
  <c r="D47" i="95"/>
  <c r="D47" i="93"/>
  <c r="D47" i="106"/>
  <c r="D47" i="103"/>
  <c r="D47" i="99"/>
  <c r="D47" i="90"/>
  <c r="D47" i="91"/>
  <c r="D47" i="101"/>
  <c r="D47" i="97"/>
  <c r="D47" i="94"/>
  <c r="D47" i="92"/>
  <c r="C5" i="110"/>
  <c r="C5" i="109"/>
  <c r="C5" i="106"/>
  <c r="C5" i="108"/>
  <c r="C5" i="107"/>
  <c r="C5" i="104"/>
  <c r="C5" i="102"/>
  <c r="C5" i="103"/>
  <c r="C5" i="95"/>
  <c r="C5" i="93"/>
  <c r="C5" i="97"/>
  <c r="C5" i="99"/>
  <c r="C5" i="96"/>
  <c r="C5" i="94"/>
  <c r="C5" i="105"/>
  <c r="C5" i="101"/>
  <c r="C5" i="100"/>
  <c r="C5" i="91"/>
  <c r="C5" i="98"/>
  <c r="C5" i="92"/>
  <c r="C5" i="90"/>
  <c r="D9" i="110"/>
  <c r="D9" i="108"/>
  <c r="D9" i="109"/>
  <c r="D9" i="105"/>
  <c r="D9" i="103"/>
  <c r="D9" i="107"/>
  <c r="D9" i="106"/>
  <c r="D9" i="101"/>
  <c r="D9" i="99"/>
  <c r="D9" i="96"/>
  <c r="D9" i="94"/>
  <c r="D9" i="100"/>
  <c r="D9" i="91"/>
  <c r="D9" i="95"/>
  <c r="D9" i="90"/>
  <c r="D9" i="97"/>
  <c r="D9" i="104"/>
  <c r="D9" i="98"/>
  <c r="D9" i="92"/>
  <c r="D9" i="102"/>
  <c r="D9" i="93"/>
  <c r="B14" i="110"/>
  <c r="B14" i="106"/>
  <c r="B14" i="109"/>
  <c r="B14" i="108"/>
  <c r="B14" i="107"/>
  <c r="B14" i="105"/>
  <c r="B14" i="104"/>
  <c r="B14" i="103"/>
  <c r="B14" i="102"/>
  <c r="B14" i="97"/>
  <c r="B14" i="95"/>
  <c r="B14" i="93"/>
  <c r="B14" i="99"/>
  <c r="B14" i="96"/>
  <c r="B14" i="94"/>
  <c r="B14" i="98"/>
  <c r="B14" i="92"/>
  <c r="B14" i="91"/>
  <c r="B14" i="100"/>
  <c r="B14" i="101"/>
  <c r="B14" i="90"/>
  <c r="C21" i="110"/>
  <c r="C21" i="108"/>
  <c r="C21" i="109"/>
  <c r="C21" i="106"/>
  <c r="C21" i="107"/>
  <c r="C21" i="104"/>
  <c r="C21" i="102"/>
  <c r="C21" i="103"/>
  <c r="C21" i="95"/>
  <c r="C21" i="93"/>
  <c r="C21" i="98"/>
  <c r="C21" i="94"/>
  <c r="C21" i="105"/>
  <c r="C21" i="101"/>
  <c r="C21" i="100"/>
  <c r="C21" i="91"/>
  <c r="C21" i="99"/>
  <c r="C21" i="96"/>
  <c r="C21" i="92"/>
  <c r="C21" i="97"/>
  <c r="C21" i="90"/>
  <c r="C25" i="110"/>
  <c r="C25" i="108"/>
  <c r="C25" i="109"/>
  <c r="C25" i="106"/>
  <c r="C25" i="107"/>
  <c r="C25" i="104"/>
  <c r="C25" i="102"/>
  <c r="C25" i="103"/>
  <c r="C25" i="95"/>
  <c r="C25" i="93"/>
  <c r="C25" i="98"/>
  <c r="C25" i="94"/>
  <c r="C25" i="92"/>
  <c r="C25" i="105"/>
  <c r="C25" i="101"/>
  <c r="C25" i="100"/>
  <c r="C25" i="91"/>
  <c r="C25" i="99"/>
  <c r="C25" i="96"/>
  <c r="C25" i="97"/>
  <c r="C25" i="90"/>
  <c r="B30" i="110"/>
  <c r="B30" i="108"/>
  <c r="B30" i="106"/>
  <c r="B30" i="104"/>
  <c r="B30" i="109"/>
  <c r="B30" i="107"/>
  <c r="B30" i="105"/>
  <c r="B30" i="103"/>
  <c r="B30" i="102"/>
  <c r="B30" i="95"/>
  <c r="B30" i="93"/>
  <c r="B30" i="99"/>
  <c r="B30" i="96"/>
  <c r="B30" i="94"/>
  <c r="B30" i="101"/>
  <c r="B30" i="98"/>
  <c r="B30" i="92"/>
  <c r="B30" i="97"/>
  <c r="B30" i="91"/>
  <c r="B30" i="100"/>
  <c r="B30" i="90"/>
  <c r="D36" i="108"/>
  <c r="D36" i="109"/>
  <c r="D36" i="110"/>
  <c r="D36" i="106"/>
  <c r="D36" i="104"/>
  <c r="D36" i="102"/>
  <c r="D36" i="105"/>
  <c r="D36" i="107"/>
  <c r="D36" i="95"/>
  <c r="D36" i="93"/>
  <c r="D36" i="101"/>
  <c r="D36" i="99"/>
  <c r="D36" i="97"/>
  <c r="D36" i="98"/>
  <c r="D36" i="103"/>
  <c r="D36" i="96"/>
  <c r="D36" i="94"/>
  <c r="D36" i="91"/>
  <c r="D36" i="92"/>
  <c r="D36" i="100"/>
  <c r="D36" i="90"/>
  <c r="C41" i="110"/>
  <c r="C41" i="108"/>
  <c r="C41" i="109"/>
  <c r="C41" i="106"/>
  <c r="C41" i="104"/>
  <c r="C41" i="107"/>
  <c r="C41" i="102"/>
  <c r="C41" i="103"/>
  <c r="C41" i="95"/>
  <c r="C41" i="93"/>
  <c r="C41" i="98"/>
  <c r="C41" i="94"/>
  <c r="C41" i="92"/>
  <c r="C41" i="96"/>
  <c r="C41" i="101"/>
  <c r="C41" i="100"/>
  <c r="C41" i="91"/>
  <c r="C41" i="99"/>
  <c r="C41" i="105"/>
  <c r="C41" i="97"/>
  <c r="C41" i="90"/>
  <c r="B46" i="109"/>
  <c r="B46" i="110"/>
  <c r="B46" i="108"/>
  <c r="B46" i="107"/>
  <c r="B46" i="106"/>
  <c r="B46" i="104"/>
  <c r="B46" i="105"/>
  <c r="B46" i="103"/>
  <c r="B46" i="102"/>
  <c r="B46" i="95"/>
  <c r="B46" i="93"/>
  <c r="B46" i="99"/>
  <c r="B46" i="96"/>
  <c r="B46" i="94"/>
  <c r="B46" i="97"/>
  <c r="B46" i="91"/>
  <c r="B46" i="100"/>
  <c r="B46" i="101"/>
  <c r="B46" i="98"/>
  <c r="B46" i="92"/>
  <c r="B46" i="90"/>
  <c r="D6" i="110"/>
  <c r="D6" i="109"/>
  <c r="D6" i="105"/>
  <c r="D6" i="107"/>
  <c r="D6" i="108"/>
  <c r="D6" i="97"/>
  <c r="D6" i="96"/>
  <c r="D6" i="94"/>
  <c r="D6" i="92"/>
  <c r="D6" i="106"/>
  <c r="D6" i="103"/>
  <c r="D6" i="100"/>
  <c r="D6" i="98"/>
  <c r="D6" i="102"/>
  <c r="D6" i="91"/>
  <c r="D6" i="90"/>
  <c r="D6" i="104"/>
  <c r="D6" i="101"/>
  <c r="D6" i="95"/>
  <c r="D6" i="99"/>
  <c r="D6" i="93"/>
  <c r="B15" i="108"/>
  <c r="B15" i="110"/>
  <c r="B15" i="109"/>
  <c r="B15" i="106"/>
  <c r="B15" i="103"/>
  <c r="B15" i="104"/>
  <c r="B15" i="107"/>
  <c r="B15" i="105"/>
  <c r="B15" i="101"/>
  <c r="B15" i="99"/>
  <c r="B15" i="102"/>
  <c r="B15" i="97"/>
  <c r="B15" i="96"/>
  <c r="B15" i="94"/>
  <c r="B15" i="98"/>
  <c r="B15" i="95"/>
  <c r="B15" i="93"/>
  <c r="B15" i="91"/>
  <c r="B15" i="90"/>
  <c r="B15" i="100"/>
  <c r="B15" i="92"/>
  <c r="C18" i="110"/>
  <c r="C18" i="109"/>
  <c r="C18" i="108"/>
  <c r="C18" i="107"/>
  <c r="C18" i="106"/>
  <c r="C18" i="103"/>
  <c r="C18" i="101"/>
  <c r="C18" i="99"/>
  <c r="C18" i="97"/>
  <c r="C18" i="104"/>
  <c r="C18" i="105"/>
  <c r="C18" i="96"/>
  <c r="C18" i="94"/>
  <c r="C18" i="91"/>
  <c r="C18" i="92"/>
  <c r="C18" i="102"/>
  <c r="C18" i="100"/>
  <c r="C18" i="98"/>
  <c r="C18" i="90"/>
  <c r="C18" i="95"/>
  <c r="C18" i="93"/>
  <c r="D25" i="110"/>
  <c r="D25" i="109"/>
  <c r="D25" i="108"/>
  <c r="D25" i="105"/>
  <c r="D25" i="103"/>
  <c r="D25" i="107"/>
  <c r="D25" i="106"/>
  <c r="D25" i="101"/>
  <c r="D25" i="99"/>
  <c r="D25" i="97"/>
  <c r="D25" i="96"/>
  <c r="D25" i="94"/>
  <c r="D25" i="100"/>
  <c r="D25" i="91"/>
  <c r="D25" i="104"/>
  <c r="D25" i="98"/>
  <c r="D25" i="92"/>
  <c r="D25" i="95"/>
  <c r="D25" i="93"/>
  <c r="D25" i="90"/>
  <c r="D25" i="102"/>
  <c r="B31" i="110"/>
  <c r="B31" i="109"/>
  <c r="B31" i="108"/>
  <c r="B31" i="106"/>
  <c r="B31" i="103"/>
  <c r="B31" i="104"/>
  <c r="B31" i="107"/>
  <c r="B31" i="105"/>
  <c r="B31" i="101"/>
  <c r="B31" i="99"/>
  <c r="B31" i="97"/>
  <c r="B31" i="102"/>
  <c r="B31" i="96"/>
  <c r="B31" i="94"/>
  <c r="B31" i="98"/>
  <c r="B31" i="95"/>
  <c r="B31" i="93"/>
  <c r="B31" i="91"/>
  <c r="B31" i="90"/>
  <c r="B31" i="100"/>
  <c r="B31" i="92"/>
  <c r="C34" i="110"/>
  <c r="C34" i="109"/>
  <c r="C34" i="107"/>
  <c r="C34" i="108"/>
  <c r="C34" i="106"/>
  <c r="C34" i="103"/>
  <c r="C34" i="104"/>
  <c r="C34" i="101"/>
  <c r="C34" i="99"/>
  <c r="C34" i="97"/>
  <c r="C34" i="105"/>
  <c r="C34" i="94"/>
  <c r="C34" i="91"/>
  <c r="C34" i="93"/>
  <c r="C34" i="102"/>
  <c r="C34" i="100"/>
  <c r="C34" i="98"/>
  <c r="C34" i="92"/>
  <c r="C34" i="90"/>
  <c r="C34" i="96"/>
  <c r="C34" i="95"/>
  <c r="B43" i="110"/>
  <c r="B43" i="109"/>
  <c r="B43" i="107"/>
  <c r="B43" i="108"/>
  <c r="B43" i="106"/>
  <c r="B43" i="103"/>
  <c r="B43" i="104"/>
  <c r="B43" i="102"/>
  <c r="B43" i="105"/>
  <c r="B43" i="101"/>
  <c r="B43" i="99"/>
  <c r="B43" i="97"/>
  <c r="B43" i="94"/>
  <c r="B43" i="98"/>
  <c r="B43" i="95"/>
  <c r="B43" i="93"/>
  <c r="B43" i="91"/>
  <c r="B43" i="100"/>
  <c r="B43" i="96"/>
  <c r="B43" i="90"/>
  <c r="B43" i="92"/>
  <c r="B47" i="110"/>
  <c r="B47" i="109"/>
  <c r="B47" i="107"/>
  <c r="B47" i="108"/>
  <c r="B47" i="106"/>
  <c r="B47" i="103"/>
  <c r="B47" i="104"/>
  <c r="B47" i="102"/>
  <c r="B47" i="105"/>
  <c r="B47" i="101"/>
  <c r="B47" i="99"/>
  <c r="B47" i="97"/>
  <c r="B47" i="94"/>
  <c r="B47" i="98"/>
  <c r="B47" i="95"/>
  <c r="B47" i="93"/>
  <c r="B47" i="91"/>
  <c r="B47" i="100"/>
  <c r="B47" i="92"/>
  <c r="B47" i="96"/>
  <c r="B47" i="90"/>
  <c r="B9" i="110"/>
  <c r="B9" i="107"/>
  <c r="B9" i="109"/>
  <c r="B9" i="106"/>
  <c r="B9" i="104"/>
  <c r="B9" i="103"/>
  <c r="B9" i="108"/>
  <c r="B9" i="102"/>
  <c r="B9" i="100"/>
  <c r="B9" i="98"/>
  <c r="B9" i="105"/>
  <c r="B9" i="97"/>
  <c r="B9" i="95"/>
  <c r="B9" i="93"/>
  <c r="B9" i="90"/>
  <c r="B9" i="101"/>
  <c r="B9" i="99"/>
  <c r="B9" i="92"/>
  <c r="B9" i="91"/>
  <c r="B9" i="96"/>
  <c r="B9" i="94"/>
  <c r="B16" i="110"/>
  <c r="B16" i="109"/>
  <c r="B16" i="105"/>
  <c r="B16" i="108"/>
  <c r="B16" i="107"/>
  <c r="B16" i="106"/>
  <c r="B16" i="104"/>
  <c r="B16" i="103"/>
  <c r="B16" i="97"/>
  <c r="B16" i="96"/>
  <c r="B16" i="94"/>
  <c r="B16" i="92"/>
  <c r="B16" i="102"/>
  <c r="B16" i="100"/>
  <c r="B16" i="101"/>
  <c r="B16" i="98"/>
  <c r="B16" i="95"/>
  <c r="B16" i="93"/>
  <c r="B16" i="90"/>
  <c r="B16" i="99"/>
  <c r="B16" i="91"/>
  <c r="B28" i="110"/>
  <c r="B28" i="109"/>
  <c r="B28" i="105"/>
  <c r="B28" i="107"/>
  <c r="B28" i="106"/>
  <c r="B28" i="108"/>
  <c r="B28" i="104"/>
  <c r="B28" i="103"/>
  <c r="B28" i="96"/>
  <c r="B28" i="94"/>
  <c r="B28" i="92"/>
  <c r="B28" i="102"/>
  <c r="B28" i="100"/>
  <c r="B28" i="99"/>
  <c r="B28" i="97"/>
  <c r="B28" i="91"/>
  <c r="B28" i="101"/>
  <c r="B28" i="98"/>
  <c r="B28" i="95"/>
  <c r="B28" i="93"/>
  <c r="B28" i="90"/>
  <c r="D38" i="110"/>
  <c r="D38" i="109"/>
  <c r="D38" i="108"/>
  <c r="D38" i="105"/>
  <c r="D38" i="107"/>
  <c r="D38" i="104"/>
  <c r="D38" i="94"/>
  <c r="D38" i="92"/>
  <c r="D38" i="106"/>
  <c r="D38" i="103"/>
  <c r="D38" i="100"/>
  <c r="D38" i="98"/>
  <c r="D38" i="96"/>
  <c r="D38" i="102"/>
  <c r="D38" i="97"/>
  <c r="D38" i="101"/>
  <c r="D38" i="93"/>
  <c r="D38" i="91"/>
  <c r="D38" i="90"/>
  <c r="D38" i="95"/>
  <c r="D38" i="99"/>
  <c r="B48" i="110"/>
  <c r="B48" i="109"/>
  <c r="B48" i="107"/>
  <c r="B48" i="105"/>
  <c r="B48" i="106"/>
  <c r="B48" i="104"/>
  <c r="B48" i="103"/>
  <c r="B48" i="102"/>
  <c r="B48" i="94"/>
  <c r="B48" i="92"/>
  <c r="B48" i="108"/>
  <c r="B48" i="100"/>
  <c r="B48" i="99"/>
  <c r="B48" i="96"/>
  <c r="B48" i="97"/>
  <c r="B48" i="91"/>
  <c r="B48" i="101"/>
  <c r="B48" i="98"/>
  <c r="B48" i="95"/>
  <c r="B48" i="93"/>
  <c r="B48" i="90"/>
  <c r="B5" i="110"/>
  <c r="B5" i="107"/>
  <c r="B5" i="109"/>
  <c r="B5" i="106"/>
  <c r="B5" i="104"/>
  <c r="B5" i="103"/>
  <c r="B5" i="102"/>
  <c r="B5" i="100"/>
  <c r="B5" i="98"/>
  <c r="B5" i="105"/>
  <c r="B5" i="97"/>
  <c r="B5" i="95"/>
  <c r="B5" i="108"/>
  <c r="B5" i="93"/>
  <c r="B5" i="90"/>
  <c r="B5" i="94"/>
  <c r="B5" i="92"/>
  <c r="B5" i="101"/>
  <c r="B5" i="91"/>
  <c r="B5" i="99"/>
  <c r="B5" i="96"/>
  <c r="C16" i="110"/>
  <c r="C16" i="109"/>
  <c r="C16" i="108"/>
  <c r="C16" i="107"/>
  <c r="C16" i="104"/>
  <c r="C16" i="106"/>
  <c r="C16" i="102"/>
  <c r="C16" i="100"/>
  <c r="C16" i="98"/>
  <c r="C16" i="97"/>
  <c r="C16" i="95"/>
  <c r="C16" i="93"/>
  <c r="C16" i="101"/>
  <c r="C16" i="90"/>
  <c r="C16" i="103"/>
  <c r="C16" i="96"/>
  <c r="C16" i="91"/>
  <c r="C16" i="92"/>
  <c r="C16" i="105"/>
  <c r="C16" i="99"/>
  <c r="C16" i="94"/>
  <c r="B21" i="110"/>
  <c r="B21" i="107"/>
  <c r="B21" i="109"/>
  <c r="B21" i="108"/>
  <c r="B21" i="106"/>
  <c r="B21" i="104"/>
  <c r="B21" i="103"/>
  <c r="B21" i="102"/>
  <c r="B21" i="100"/>
  <c r="B21" i="98"/>
  <c r="B21" i="105"/>
  <c r="B21" i="95"/>
  <c r="B21" i="93"/>
  <c r="B21" i="97"/>
  <c r="B21" i="90"/>
  <c r="B21" i="101"/>
  <c r="B21" i="91"/>
  <c r="B21" i="99"/>
  <c r="B21" i="96"/>
  <c r="B21" i="94"/>
  <c r="B21" i="92"/>
  <c r="D23" i="110"/>
  <c r="D23" i="109"/>
  <c r="D23" i="108"/>
  <c r="D23" i="107"/>
  <c r="D23" i="104"/>
  <c r="D23" i="105"/>
  <c r="D23" i="102"/>
  <c r="D23" i="100"/>
  <c r="D23" i="98"/>
  <c r="D23" i="95"/>
  <c r="D23" i="93"/>
  <c r="D23" i="106"/>
  <c r="D23" i="103"/>
  <c r="D23" i="99"/>
  <c r="D23" i="90"/>
  <c r="D23" i="91"/>
  <c r="D23" i="97"/>
  <c r="D23" i="96"/>
  <c r="D23" i="94"/>
  <c r="D23" i="92"/>
  <c r="D23" i="101"/>
  <c r="B33" i="110"/>
  <c r="B33" i="107"/>
  <c r="B33" i="109"/>
  <c r="B33" i="108"/>
  <c r="B33" i="106"/>
  <c r="B33" i="104"/>
  <c r="B33" i="103"/>
  <c r="B33" i="102"/>
  <c r="B33" i="100"/>
  <c r="B33" i="98"/>
  <c r="B33" i="96"/>
  <c r="B33" i="105"/>
  <c r="B33" i="95"/>
  <c r="B33" i="93"/>
  <c r="B33" i="97"/>
  <c r="B33" i="90"/>
  <c r="B33" i="91"/>
  <c r="B33" i="99"/>
  <c r="B33" i="94"/>
  <c r="B33" i="101"/>
  <c r="B33" i="92"/>
  <c r="C36" i="110"/>
  <c r="C36" i="109"/>
  <c r="C36" i="108"/>
  <c r="C36" i="106"/>
  <c r="C36" i="102"/>
  <c r="C36" i="100"/>
  <c r="C36" i="98"/>
  <c r="C36" i="96"/>
  <c r="C36" i="107"/>
  <c r="C36" i="95"/>
  <c r="C36" i="93"/>
  <c r="C36" i="101"/>
  <c r="C36" i="90"/>
  <c r="C36" i="94"/>
  <c r="C36" i="91"/>
  <c r="C36" i="105"/>
  <c r="C36" i="92"/>
  <c r="C36" i="99"/>
  <c r="C36" i="103"/>
  <c r="C36" i="97"/>
  <c r="C36" i="104"/>
  <c r="D39" i="110"/>
  <c r="D39" i="109"/>
  <c r="D39" i="108"/>
  <c r="D39" i="102"/>
  <c r="D39" i="105"/>
  <c r="D39" i="107"/>
  <c r="D39" i="100"/>
  <c r="D39" i="98"/>
  <c r="D39" i="96"/>
  <c r="D39" i="104"/>
  <c r="D39" i="95"/>
  <c r="D39" i="93"/>
  <c r="D39" i="106"/>
  <c r="D39" i="103"/>
  <c r="D39" i="99"/>
  <c r="D39" i="90"/>
  <c r="D39" i="92"/>
  <c r="D39" i="91"/>
  <c r="D39" i="97"/>
  <c r="D39" i="94"/>
  <c r="D39" i="101"/>
  <c r="C48" i="110"/>
  <c r="C48" i="109"/>
  <c r="C48" i="108"/>
  <c r="C48" i="102"/>
  <c r="C48" i="106"/>
  <c r="C48" i="100"/>
  <c r="C48" i="98"/>
  <c r="C48" i="96"/>
  <c r="C48" i="95"/>
  <c r="C48" i="93"/>
  <c r="C48" i="101"/>
  <c r="C48" i="90"/>
  <c r="C48" i="103"/>
  <c r="C48" i="91"/>
  <c r="C48" i="107"/>
  <c r="C48" i="105"/>
  <c r="C48" i="99"/>
  <c r="C48" i="97"/>
  <c r="C48" i="94"/>
  <c r="C48" i="104"/>
  <c r="C48" i="92"/>
  <c r="D16" i="109"/>
  <c r="D16" i="108"/>
  <c r="D16" i="106"/>
  <c r="D16" i="110"/>
  <c r="D16" i="102"/>
  <c r="D16" i="105"/>
  <c r="D16" i="95"/>
  <c r="D16" i="93"/>
  <c r="D16" i="101"/>
  <c r="D16" i="99"/>
  <c r="D16" i="98"/>
  <c r="D16" i="92"/>
  <c r="D16" i="97"/>
  <c r="D16" i="107"/>
  <c r="D16" i="103"/>
  <c r="D16" i="96"/>
  <c r="D16" i="94"/>
  <c r="D16" i="91"/>
  <c r="D16" i="104"/>
  <c r="D16" i="100"/>
  <c r="D16" i="90"/>
  <c r="C29" i="110"/>
  <c r="C29" i="108"/>
  <c r="C29" i="109"/>
  <c r="C29" i="106"/>
  <c r="C29" i="107"/>
  <c r="C29" i="104"/>
  <c r="C29" i="102"/>
  <c r="C29" i="103"/>
  <c r="C29" i="95"/>
  <c r="C29" i="93"/>
  <c r="C29" i="98"/>
  <c r="C29" i="92"/>
  <c r="C29" i="105"/>
  <c r="C29" i="101"/>
  <c r="C29" i="100"/>
  <c r="C29" i="91"/>
  <c r="C29" i="99"/>
  <c r="C29" i="96"/>
  <c r="C29" i="94"/>
  <c r="C29" i="97"/>
  <c r="C29" i="90"/>
  <c r="B38" i="110"/>
  <c r="B38" i="108"/>
  <c r="B38" i="107"/>
  <c r="B38" i="106"/>
  <c r="B38" i="104"/>
  <c r="B38" i="109"/>
  <c r="B38" i="105"/>
  <c r="B38" i="103"/>
  <c r="B38" i="102"/>
  <c r="B38" i="95"/>
  <c r="B38" i="93"/>
  <c r="B38" i="99"/>
  <c r="B38" i="96"/>
  <c r="B38" i="94"/>
  <c r="B38" i="101"/>
  <c r="B38" i="98"/>
  <c r="B38" i="92"/>
  <c r="B38" i="97"/>
  <c r="B38" i="91"/>
  <c r="B38" i="100"/>
  <c r="B38" i="90"/>
  <c r="B3" i="108"/>
  <c r="B3" i="110"/>
  <c r="B3" i="109"/>
  <c r="B3" i="106"/>
  <c r="B3" i="103"/>
  <c r="B3" i="104"/>
  <c r="B3" i="107"/>
  <c r="B3" i="105"/>
  <c r="B3" i="101"/>
  <c r="B3" i="99"/>
  <c r="B3" i="102"/>
  <c r="B3" i="97"/>
  <c r="B3" i="96"/>
  <c r="B3" i="94"/>
  <c r="B3" i="98"/>
  <c r="B3" i="95"/>
  <c r="B3" i="93"/>
  <c r="B3" i="91"/>
  <c r="B3" i="100"/>
  <c r="B3" i="90"/>
  <c r="B3" i="92"/>
  <c r="B23" i="110"/>
  <c r="B23" i="109"/>
  <c r="B23" i="108"/>
  <c r="B23" i="106"/>
  <c r="B23" i="103"/>
  <c r="B23" i="104"/>
  <c r="B23" i="107"/>
  <c r="B23" i="105"/>
  <c r="B23" i="101"/>
  <c r="B23" i="99"/>
  <c r="B23" i="97"/>
  <c r="B23" i="102"/>
  <c r="B23" i="96"/>
  <c r="B23" i="94"/>
  <c r="B23" i="98"/>
  <c r="B23" i="95"/>
  <c r="B23" i="93"/>
  <c r="B23" i="91"/>
  <c r="B23" i="90"/>
  <c r="B23" i="100"/>
  <c r="B23" i="92"/>
  <c r="C3" i="110"/>
  <c r="C3" i="109"/>
  <c r="C3" i="108"/>
  <c r="C3" i="105"/>
  <c r="C3" i="107"/>
  <c r="C3" i="103"/>
  <c r="C3" i="97"/>
  <c r="C3" i="96"/>
  <c r="C3" i="94"/>
  <c r="C3" i="92"/>
  <c r="C3" i="104"/>
  <c r="C3" i="101"/>
  <c r="C3" i="100"/>
  <c r="C3" i="95"/>
  <c r="C3" i="93"/>
  <c r="C3" i="99"/>
  <c r="C3" i="90"/>
  <c r="C3" i="102"/>
  <c r="C3" i="106"/>
  <c r="C3" i="98"/>
  <c r="C3" i="91"/>
  <c r="C11" i="110"/>
  <c r="C11" i="109"/>
  <c r="C11" i="108"/>
  <c r="C11" i="105"/>
  <c r="C11" i="107"/>
  <c r="C11" i="103"/>
  <c r="C11" i="97"/>
  <c r="C11" i="96"/>
  <c r="C11" i="94"/>
  <c r="C11" i="92"/>
  <c r="C11" i="104"/>
  <c r="C11" i="101"/>
  <c r="C11" i="102"/>
  <c r="C11" i="100"/>
  <c r="C11" i="106"/>
  <c r="C11" i="95"/>
  <c r="C11" i="99"/>
  <c r="C11" i="90"/>
  <c r="C11" i="98"/>
  <c r="C11" i="93"/>
  <c r="C11" i="91"/>
  <c r="D22" i="110"/>
  <c r="D22" i="109"/>
  <c r="D22" i="108"/>
  <c r="D22" i="105"/>
  <c r="D22" i="107"/>
  <c r="D22" i="96"/>
  <c r="D22" i="94"/>
  <c r="D22" i="92"/>
  <c r="D22" i="106"/>
  <c r="D22" i="103"/>
  <c r="D22" i="100"/>
  <c r="D22" i="98"/>
  <c r="D22" i="102"/>
  <c r="D22" i="97"/>
  <c r="D22" i="93"/>
  <c r="D22" i="91"/>
  <c r="D22" i="90"/>
  <c r="D22" i="104"/>
  <c r="D22" i="101"/>
  <c r="D22" i="95"/>
  <c r="D22" i="99"/>
  <c r="B36" i="110"/>
  <c r="B36" i="109"/>
  <c r="B36" i="107"/>
  <c r="B36" i="105"/>
  <c r="B36" i="106"/>
  <c r="B36" i="108"/>
  <c r="B36" i="104"/>
  <c r="B36" i="103"/>
  <c r="B36" i="94"/>
  <c r="B36" i="92"/>
  <c r="B36" i="102"/>
  <c r="B36" i="100"/>
  <c r="B36" i="99"/>
  <c r="B36" i="96"/>
  <c r="B36" i="91"/>
  <c r="B36" i="101"/>
  <c r="B36" i="98"/>
  <c r="B36" i="95"/>
  <c r="B36" i="93"/>
  <c r="B36" i="90"/>
  <c r="B36" i="97"/>
  <c r="C43" i="110"/>
  <c r="C43" i="109"/>
  <c r="C43" i="108"/>
  <c r="C43" i="107"/>
  <c r="C43" i="105"/>
  <c r="C43" i="103"/>
  <c r="C43" i="102"/>
  <c r="C43" i="94"/>
  <c r="C43" i="92"/>
  <c r="C43" i="104"/>
  <c r="C43" i="101"/>
  <c r="C43" i="96"/>
  <c r="C43" i="100"/>
  <c r="C43" i="97"/>
  <c r="C43" i="98"/>
  <c r="C43" i="95"/>
  <c r="C43" i="91"/>
  <c r="C43" i="99"/>
  <c r="C43" i="90"/>
  <c r="C43" i="106"/>
  <c r="C43" i="93"/>
  <c r="C12" i="110"/>
  <c r="C12" i="109"/>
  <c r="C12" i="108"/>
  <c r="C12" i="107"/>
  <c r="C12" i="104"/>
  <c r="C12" i="106"/>
  <c r="C12" i="102"/>
  <c r="C12" i="100"/>
  <c r="C12" i="98"/>
  <c r="C12" i="97"/>
  <c r="C12" i="95"/>
  <c r="C12" i="101"/>
  <c r="C12" i="90"/>
  <c r="C12" i="96"/>
  <c r="C12" i="91"/>
  <c r="C12" i="105"/>
  <c r="C12" i="92"/>
  <c r="C12" i="99"/>
  <c r="C12" i="103"/>
  <c r="C12" i="94"/>
  <c r="C12" i="93"/>
  <c r="D19" i="110"/>
  <c r="D19" i="109"/>
  <c r="D19" i="108"/>
  <c r="D19" i="107"/>
  <c r="D19" i="104"/>
  <c r="D19" i="105"/>
  <c r="D19" i="102"/>
  <c r="D19" i="100"/>
  <c r="D19" i="98"/>
  <c r="D19" i="95"/>
  <c r="D19" i="93"/>
  <c r="D19" i="103"/>
  <c r="D19" i="99"/>
  <c r="D19" i="90"/>
  <c r="D19" i="91"/>
  <c r="D19" i="101"/>
  <c r="D19" i="97"/>
  <c r="D19" i="96"/>
  <c r="D19" i="94"/>
  <c r="D19" i="106"/>
  <c r="D19" i="92"/>
  <c r="D35" i="110"/>
  <c r="D35" i="109"/>
  <c r="D35" i="108"/>
  <c r="D35" i="105"/>
  <c r="D35" i="107"/>
  <c r="D35" i="102"/>
  <c r="D35" i="100"/>
  <c r="D35" i="98"/>
  <c r="D35" i="96"/>
  <c r="D35" i="104"/>
  <c r="D35" i="95"/>
  <c r="D35" i="93"/>
  <c r="D35" i="103"/>
  <c r="D35" i="99"/>
  <c r="D35" i="90"/>
  <c r="D35" i="106"/>
  <c r="D35" i="92"/>
  <c r="D35" i="91"/>
  <c r="D35" i="97"/>
  <c r="D35" i="94"/>
  <c r="D35" i="101"/>
  <c r="D4" i="109"/>
  <c r="D4" i="110"/>
  <c r="D4" i="108"/>
  <c r="D4" i="106"/>
  <c r="D4" i="102"/>
  <c r="D4" i="105"/>
  <c r="D4" i="95"/>
  <c r="D4" i="93"/>
  <c r="D4" i="107"/>
  <c r="D4" i="101"/>
  <c r="D4" i="99"/>
  <c r="D4" i="98"/>
  <c r="D4" i="92"/>
  <c r="D4" i="104"/>
  <c r="D4" i="103"/>
  <c r="D4" i="96"/>
  <c r="D4" i="94"/>
  <c r="D4" i="91"/>
  <c r="D4" i="100"/>
  <c r="D4" i="97"/>
  <c r="D4" i="90"/>
  <c r="C13" i="110"/>
  <c r="C13" i="109"/>
  <c r="C13" i="106"/>
  <c r="C13" i="108"/>
  <c r="C13" i="107"/>
  <c r="C13" i="104"/>
  <c r="C13" i="102"/>
  <c r="C13" i="103"/>
  <c r="C13" i="95"/>
  <c r="C13" i="93"/>
  <c r="C13" i="97"/>
  <c r="C13" i="99"/>
  <c r="C13" i="94"/>
  <c r="C13" i="105"/>
  <c r="C13" i="101"/>
  <c r="C13" i="100"/>
  <c r="C13" i="91"/>
  <c r="C13" i="98"/>
  <c r="C13" i="96"/>
  <c r="C13" i="92"/>
  <c r="C13" i="90"/>
  <c r="D28" i="108"/>
  <c r="D28" i="109"/>
  <c r="D28" i="110"/>
  <c r="D28" i="106"/>
  <c r="D28" i="102"/>
  <c r="D28" i="105"/>
  <c r="D28" i="95"/>
  <c r="D28" i="93"/>
  <c r="D28" i="107"/>
  <c r="D28" i="101"/>
  <c r="D28" i="99"/>
  <c r="D28" i="97"/>
  <c r="D28" i="98"/>
  <c r="D28" i="103"/>
  <c r="D28" i="96"/>
  <c r="D28" i="94"/>
  <c r="D28" i="91"/>
  <c r="D28" i="92"/>
  <c r="D28" i="104"/>
  <c r="D28" i="100"/>
  <c r="D28" i="90"/>
  <c r="D40" i="108"/>
  <c r="D40" i="109"/>
  <c r="D40" i="106"/>
  <c r="D40" i="104"/>
  <c r="D40" i="110"/>
  <c r="D40" i="105"/>
  <c r="D40" i="95"/>
  <c r="D40" i="93"/>
  <c r="D40" i="102"/>
  <c r="D40" i="101"/>
  <c r="D40" i="99"/>
  <c r="D40" i="97"/>
  <c r="D40" i="98"/>
  <c r="D40" i="103"/>
  <c r="D40" i="96"/>
  <c r="D40" i="94"/>
  <c r="D40" i="91"/>
  <c r="D40" i="107"/>
  <c r="D40" i="92"/>
  <c r="D40" i="100"/>
  <c r="D40" i="90"/>
  <c r="C2" i="110"/>
  <c r="C2" i="109"/>
  <c r="C2" i="108"/>
  <c r="C2" i="107"/>
  <c r="C2" i="106"/>
  <c r="C2" i="103"/>
  <c r="C2" i="101"/>
  <c r="C2" i="99"/>
  <c r="C2" i="104"/>
  <c r="C2" i="105"/>
  <c r="C2" i="96"/>
  <c r="C2" i="94"/>
  <c r="C2" i="93"/>
  <c r="C2" i="91"/>
  <c r="C2" i="98"/>
  <c r="C2" i="92"/>
  <c r="C2" i="90"/>
  <c r="C2" i="102"/>
  <c r="C2" i="100"/>
  <c r="C2" i="97"/>
  <c r="C2" i="95"/>
  <c r="D17" i="110"/>
  <c r="D17" i="108"/>
  <c r="D17" i="109"/>
  <c r="D17" i="105"/>
  <c r="D17" i="103"/>
  <c r="D17" i="107"/>
  <c r="D17" i="106"/>
  <c r="D17" i="101"/>
  <c r="D17" i="99"/>
  <c r="D17" i="96"/>
  <c r="D17" i="94"/>
  <c r="D17" i="100"/>
  <c r="D17" i="91"/>
  <c r="D17" i="95"/>
  <c r="D17" i="93"/>
  <c r="D17" i="90"/>
  <c r="D17" i="104"/>
  <c r="D17" i="98"/>
  <c r="D17" i="92"/>
  <c r="D17" i="102"/>
  <c r="D17" i="97"/>
  <c r="D33" i="110"/>
  <c r="D33" i="109"/>
  <c r="D33" i="108"/>
  <c r="D33" i="107"/>
  <c r="D33" i="105"/>
  <c r="D33" i="103"/>
  <c r="D33" i="106"/>
  <c r="D33" i="101"/>
  <c r="D33" i="99"/>
  <c r="D33" i="97"/>
  <c r="D33" i="94"/>
  <c r="D33" i="100"/>
  <c r="D33" i="91"/>
  <c r="D33" i="95"/>
  <c r="D33" i="93"/>
  <c r="D33" i="90"/>
  <c r="D33" i="104"/>
  <c r="D33" i="98"/>
  <c r="D33" i="92"/>
  <c r="D33" i="96"/>
  <c r="D33" i="102"/>
  <c r="D2" i="110"/>
  <c r="D2" i="109"/>
  <c r="D2" i="105"/>
  <c r="D2" i="107"/>
  <c r="D2" i="97"/>
  <c r="D2" i="96"/>
  <c r="D2" i="94"/>
  <c r="D2" i="92"/>
  <c r="D2" i="106"/>
  <c r="D2" i="103"/>
  <c r="D2" i="100"/>
  <c r="D2" i="98"/>
  <c r="D2" i="108"/>
  <c r="D2" i="102"/>
  <c r="D2" i="104"/>
  <c r="D2" i="101"/>
  <c r="D2" i="99"/>
  <c r="D2" i="91"/>
  <c r="D2" i="90"/>
  <c r="D2" i="95"/>
  <c r="D2" i="93"/>
  <c r="B12" i="110"/>
  <c r="B12" i="109"/>
  <c r="B12" i="105"/>
  <c r="B12" i="108"/>
  <c r="B12" i="107"/>
  <c r="B12" i="106"/>
  <c r="B12" i="104"/>
  <c r="B12" i="103"/>
  <c r="B12" i="97"/>
  <c r="B12" i="96"/>
  <c r="B12" i="94"/>
  <c r="B12" i="92"/>
  <c r="B12" i="102"/>
  <c r="B12" i="100"/>
  <c r="B12" i="93"/>
  <c r="B12" i="91"/>
  <c r="B12" i="101"/>
  <c r="B12" i="98"/>
  <c r="B12" i="95"/>
  <c r="B12" i="90"/>
  <c r="B12" i="99"/>
  <c r="D14" i="110"/>
  <c r="D14" i="109"/>
  <c r="D14" i="105"/>
  <c r="D14" i="107"/>
  <c r="D14" i="108"/>
  <c r="D14" i="97"/>
  <c r="D14" i="96"/>
  <c r="D14" i="94"/>
  <c r="D14" i="92"/>
  <c r="D14" i="106"/>
  <c r="D14" i="103"/>
  <c r="D14" i="100"/>
  <c r="D14" i="98"/>
  <c r="D14" i="102"/>
  <c r="D14" i="104"/>
  <c r="D14" i="90"/>
  <c r="D14" i="101"/>
  <c r="D14" i="95"/>
  <c r="D14" i="99"/>
  <c r="D14" i="93"/>
  <c r="D14" i="91"/>
  <c r="C19" i="110"/>
  <c r="C19" i="109"/>
  <c r="C19" i="108"/>
  <c r="C19" i="105"/>
  <c r="C19" i="107"/>
  <c r="C19" i="103"/>
  <c r="C19" i="96"/>
  <c r="C19" i="94"/>
  <c r="C19" i="92"/>
  <c r="C19" i="104"/>
  <c r="C19" i="101"/>
  <c r="C19" i="102"/>
  <c r="C19" i="100"/>
  <c r="C19" i="97"/>
  <c r="C19" i="95"/>
  <c r="C19" i="93"/>
  <c r="C19" i="91"/>
  <c r="C19" i="99"/>
  <c r="C19" i="90"/>
  <c r="C19" i="106"/>
  <c r="C19" i="98"/>
  <c r="D26" i="110"/>
  <c r="D26" i="109"/>
  <c r="D26" i="108"/>
  <c r="D26" i="105"/>
  <c r="D26" i="107"/>
  <c r="D26" i="96"/>
  <c r="D26" i="94"/>
  <c r="D26" i="92"/>
  <c r="D26" i="106"/>
  <c r="D26" i="103"/>
  <c r="D26" i="100"/>
  <c r="D26" i="98"/>
  <c r="D26" i="102"/>
  <c r="D26" i="97"/>
  <c r="D26" i="95"/>
  <c r="D26" i="93"/>
  <c r="D26" i="91"/>
  <c r="D26" i="90"/>
  <c r="D26" i="104"/>
  <c r="D26" i="101"/>
  <c r="D26" i="99"/>
  <c r="D30" i="110"/>
  <c r="D30" i="109"/>
  <c r="D30" i="108"/>
  <c r="D30" i="105"/>
  <c r="D30" i="107"/>
  <c r="D30" i="104"/>
  <c r="D30" i="96"/>
  <c r="D30" i="94"/>
  <c r="D30" i="92"/>
  <c r="D30" i="106"/>
  <c r="D30" i="103"/>
  <c r="D30" i="100"/>
  <c r="D30" i="98"/>
  <c r="D30" i="102"/>
  <c r="D30" i="97"/>
  <c r="D30" i="101"/>
  <c r="D30" i="93"/>
  <c r="D30" i="91"/>
  <c r="D30" i="90"/>
  <c r="D30" i="95"/>
  <c r="D30" i="99"/>
  <c r="C35" i="110"/>
  <c r="C35" i="109"/>
  <c r="C35" i="108"/>
  <c r="C35" i="107"/>
  <c r="C35" i="105"/>
  <c r="C35" i="103"/>
  <c r="C35" i="94"/>
  <c r="C35" i="92"/>
  <c r="C35" i="104"/>
  <c r="C35" i="101"/>
  <c r="C35" i="96"/>
  <c r="C35" i="102"/>
  <c r="C35" i="100"/>
  <c r="C35" i="97"/>
  <c r="C35" i="106"/>
  <c r="C35" i="98"/>
  <c r="C35" i="95"/>
  <c r="C35" i="91"/>
  <c r="C35" i="99"/>
  <c r="C35" i="90"/>
  <c r="C35" i="93"/>
  <c r="D42" i="110"/>
  <c r="D42" i="109"/>
  <c r="D42" i="108"/>
  <c r="D42" i="105"/>
  <c r="D42" i="107"/>
  <c r="D42" i="104"/>
  <c r="D42" i="94"/>
  <c r="D42" i="92"/>
  <c r="D42" i="106"/>
  <c r="D42" i="103"/>
  <c r="D42" i="100"/>
  <c r="D42" i="98"/>
  <c r="D42" i="96"/>
  <c r="D42" i="102"/>
  <c r="D42" i="97"/>
  <c r="D42" i="101"/>
  <c r="D42" i="95"/>
  <c r="D42" i="99"/>
  <c r="D42" i="91"/>
  <c r="D42" i="90"/>
  <c r="D42" i="93"/>
  <c r="D46" i="110"/>
  <c r="D46" i="109"/>
  <c r="D46" i="108"/>
  <c r="D46" i="105"/>
  <c r="D46" i="107"/>
  <c r="D46" i="104"/>
  <c r="D46" i="94"/>
  <c r="D46" i="92"/>
  <c r="D46" i="106"/>
  <c r="D46" i="103"/>
  <c r="D46" i="100"/>
  <c r="D46" i="98"/>
  <c r="D46" i="96"/>
  <c r="D46" i="102"/>
  <c r="D46" i="97"/>
  <c r="D46" i="101"/>
  <c r="D46" i="95"/>
  <c r="D46" i="91"/>
  <c r="D46" i="90"/>
  <c r="D46" i="93"/>
  <c r="D46" i="99"/>
  <c r="C4" i="110"/>
  <c r="C4" i="109"/>
  <c r="C4" i="108"/>
  <c r="C4" i="107"/>
  <c r="C4" i="104"/>
  <c r="C4" i="106"/>
  <c r="C4" i="102"/>
  <c r="C4" i="100"/>
  <c r="C4" i="98"/>
  <c r="C4" i="97"/>
  <c r="C4" i="95"/>
  <c r="C4" i="101"/>
  <c r="C4" i="90"/>
  <c r="C4" i="91"/>
  <c r="C4" i="105"/>
  <c r="C4" i="92"/>
  <c r="C4" i="99"/>
  <c r="C4" i="103"/>
  <c r="C4" i="96"/>
  <c r="C4" i="94"/>
  <c r="C4" i="93"/>
  <c r="C9" i="110"/>
  <c r="C9" i="109"/>
  <c r="C9" i="106"/>
  <c r="C9" i="108"/>
  <c r="C9" i="107"/>
  <c r="C9" i="104"/>
  <c r="C9" i="102"/>
  <c r="C9" i="103"/>
  <c r="C9" i="95"/>
  <c r="C9" i="93"/>
  <c r="C9" i="97"/>
  <c r="C9" i="99"/>
  <c r="C9" i="101"/>
  <c r="C9" i="100"/>
  <c r="C9" i="91"/>
  <c r="C9" i="98"/>
  <c r="C9" i="96"/>
  <c r="C9" i="94"/>
  <c r="C9" i="92"/>
  <c r="C9" i="105"/>
  <c r="C9" i="90"/>
  <c r="D11" i="110"/>
  <c r="D11" i="109"/>
  <c r="D11" i="107"/>
  <c r="D11" i="108"/>
  <c r="D11" i="104"/>
  <c r="D11" i="105"/>
  <c r="D11" i="102"/>
  <c r="D11" i="100"/>
  <c r="D11" i="98"/>
  <c r="D11" i="95"/>
  <c r="D11" i="103"/>
  <c r="D11" i="99"/>
  <c r="D11" i="90"/>
  <c r="D11" i="106"/>
  <c r="D11" i="97"/>
  <c r="D11" i="93"/>
  <c r="D11" i="96"/>
  <c r="D11" i="94"/>
  <c r="D11" i="92"/>
  <c r="D11" i="91"/>
  <c r="D11" i="101"/>
  <c r="C20" i="110"/>
  <c r="C20" i="109"/>
  <c r="C20" i="108"/>
  <c r="C20" i="107"/>
  <c r="C20" i="104"/>
  <c r="C20" i="106"/>
  <c r="C20" i="102"/>
  <c r="C20" i="100"/>
  <c r="C20" i="98"/>
  <c r="C20" i="95"/>
  <c r="C20" i="93"/>
  <c r="C20" i="101"/>
  <c r="C20" i="90"/>
  <c r="C20" i="96"/>
  <c r="C20" i="91"/>
  <c r="C20" i="105"/>
  <c r="C20" i="92"/>
  <c r="C20" i="99"/>
  <c r="C20" i="103"/>
  <c r="C20" i="97"/>
  <c r="C20" i="94"/>
  <c r="B25" i="110"/>
  <c r="B25" i="107"/>
  <c r="B25" i="109"/>
  <c r="B25" i="108"/>
  <c r="B25" i="106"/>
  <c r="B25" i="104"/>
  <c r="B25" i="103"/>
  <c r="B25" i="102"/>
  <c r="B25" i="100"/>
  <c r="B25" i="98"/>
  <c r="B25" i="105"/>
  <c r="B25" i="95"/>
  <c r="B25" i="93"/>
  <c r="B25" i="97"/>
  <c r="B25" i="90"/>
  <c r="B25" i="101"/>
  <c r="B25" i="91"/>
  <c r="B25" i="99"/>
  <c r="B25" i="94"/>
  <c r="B25" i="96"/>
  <c r="B25" i="92"/>
  <c r="D27" i="110"/>
  <c r="D27" i="109"/>
  <c r="D27" i="108"/>
  <c r="D27" i="107"/>
  <c r="D27" i="104"/>
  <c r="D27" i="105"/>
  <c r="D27" i="102"/>
  <c r="D27" i="100"/>
  <c r="D27" i="98"/>
  <c r="D27" i="95"/>
  <c r="D27" i="93"/>
  <c r="D27" i="103"/>
  <c r="D27" i="99"/>
  <c r="D27" i="90"/>
  <c r="D27" i="106"/>
  <c r="D27" i="92"/>
  <c r="D27" i="91"/>
  <c r="D27" i="97"/>
  <c r="D27" i="96"/>
  <c r="D27" i="94"/>
  <c r="D27" i="101"/>
  <c r="B37" i="110"/>
  <c r="B37" i="107"/>
  <c r="B37" i="109"/>
  <c r="B37" i="108"/>
  <c r="B37" i="106"/>
  <c r="B37" i="104"/>
  <c r="B37" i="103"/>
  <c r="B37" i="102"/>
  <c r="B37" i="100"/>
  <c r="B37" i="98"/>
  <c r="B37" i="96"/>
  <c r="B37" i="105"/>
  <c r="B37" i="95"/>
  <c r="B37" i="93"/>
  <c r="B37" i="97"/>
  <c r="B37" i="90"/>
  <c r="B37" i="91"/>
  <c r="B37" i="99"/>
  <c r="B37" i="94"/>
  <c r="B37" i="101"/>
  <c r="B37" i="92"/>
  <c r="C40" i="110"/>
  <c r="C40" i="109"/>
  <c r="C40" i="108"/>
  <c r="C40" i="102"/>
  <c r="C40" i="106"/>
  <c r="C40" i="100"/>
  <c r="C40" i="98"/>
  <c r="C40" i="96"/>
  <c r="C40" i="95"/>
  <c r="C40" i="93"/>
  <c r="C40" i="101"/>
  <c r="C40" i="90"/>
  <c r="C40" i="103"/>
  <c r="C40" i="91"/>
  <c r="C40" i="104"/>
  <c r="C40" i="92"/>
  <c r="C40" i="105"/>
  <c r="C40" i="99"/>
  <c r="C40" i="97"/>
  <c r="C40" i="94"/>
  <c r="C40" i="107"/>
  <c r="D43" i="110"/>
  <c r="D43" i="109"/>
  <c r="D43" i="108"/>
  <c r="D43" i="102"/>
  <c r="D43" i="105"/>
  <c r="D43" i="107"/>
  <c r="D43" i="100"/>
  <c r="D43" i="98"/>
  <c r="D43" i="96"/>
  <c r="D43" i="104"/>
  <c r="D43" i="95"/>
  <c r="D43" i="93"/>
  <c r="D43" i="103"/>
  <c r="D43" i="99"/>
  <c r="D43" i="90"/>
  <c r="D43" i="91"/>
  <c r="D43" i="97"/>
  <c r="D43" i="94"/>
  <c r="D43" i="106"/>
  <c r="D43" i="92"/>
  <c r="D43" i="101"/>
  <c r="B6" i="110"/>
  <c r="B6" i="106"/>
  <c r="B6" i="109"/>
  <c r="B6" i="108"/>
  <c r="B6" i="107"/>
  <c r="B6" i="105"/>
  <c r="B6" i="104"/>
  <c r="B6" i="103"/>
  <c r="B6" i="102"/>
  <c r="B6" i="97"/>
  <c r="B6" i="95"/>
  <c r="B6" i="93"/>
  <c r="B6" i="99"/>
  <c r="B6" i="96"/>
  <c r="B6" i="94"/>
  <c r="B6" i="101"/>
  <c r="B6" i="98"/>
  <c r="B6" i="91"/>
  <c r="B6" i="100"/>
  <c r="B6" i="92"/>
  <c r="B6" i="90"/>
  <c r="C10" i="110"/>
  <c r="C10" i="108"/>
  <c r="C10" i="109"/>
  <c r="C10" i="107"/>
  <c r="C10" i="106"/>
  <c r="C10" i="103"/>
  <c r="C10" i="101"/>
  <c r="C10" i="99"/>
  <c r="C10" i="104"/>
  <c r="C10" i="105"/>
  <c r="C10" i="96"/>
  <c r="C10" i="94"/>
  <c r="C10" i="93"/>
  <c r="C10" i="91"/>
  <c r="C10" i="98"/>
  <c r="C10" i="92"/>
  <c r="C10" i="102"/>
  <c r="C10" i="100"/>
  <c r="C10" i="97"/>
  <c r="C10" i="90"/>
  <c r="C10" i="95"/>
  <c r="C17" i="110"/>
  <c r="C17" i="109"/>
  <c r="C17" i="106"/>
  <c r="C17" i="108"/>
  <c r="C17" i="107"/>
  <c r="C17" i="104"/>
  <c r="C17" i="102"/>
  <c r="C17" i="103"/>
  <c r="C17" i="95"/>
  <c r="C17" i="93"/>
  <c r="C17" i="97"/>
  <c r="C17" i="99"/>
  <c r="C17" i="94"/>
  <c r="C17" i="101"/>
  <c r="C17" i="100"/>
  <c r="C17" i="91"/>
  <c r="C17" i="98"/>
  <c r="C17" i="96"/>
  <c r="C17" i="92"/>
  <c r="C17" i="105"/>
  <c r="C17" i="90"/>
  <c r="D20" i="108"/>
  <c r="D20" i="109"/>
  <c r="D20" i="110"/>
  <c r="D20" i="106"/>
  <c r="D20" i="102"/>
  <c r="D20" i="105"/>
  <c r="D20" i="95"/>
  <c r="D20" i="93"/>
  <c r="D20" i="107"/>
  <c r="D20" i="101"/>
  <c r="D20" i="99"/>
  <c r="D20" i="97"/>
  <c r="D20" i="98"/>
  <c r="D20" i="92"/>
  <c r="D20" i="104"/>
  <c r="D20" i="103"/>
  <c r="D20" i="96"/>
  <c r="D20" i="94"/>
  <c r="D20" i="91"/>
  <c r="D20" i="100"/>
  <c r="D20" i="90"/>
  <c r="B26" i="110"/>
  <c r="B26" i="108"/>
  <c r="B26" i="106"/>
  <c r="B26" i="107"/>
  <c r="B26" i="105"/>
  <c r="B26" i="104"/>
  <c r="B26" i="103"/>
  <c r="B26" i="102"/>
  <c r="B26" i="109"/>
  <c r="B26" i="95"/>
  <c r="B26" i="93"/>
  <c r="B26" i="99"/>
  <c r="B26" i="96"/>
  <c r="B26" i="94"/>
  <c r="B26" i="101"/>
  <c r="B26" i="98"/>
  <c r="B26" i="92"/>
  <c r="B26" i="97"/>
  <c r="B26" i="91"/>
  <c r="B26" i="100"/>
  <c r="B26" i="90"/>
  <c r="D32" i="108"/>
  <c r="D32" i="109"/>
  <c r="D32" i="106"/>
  <c r="D32" i="104"/>
  <c r="D32" i="110"/>
  <c r="D32" i="102"/>
  <c r="D32" i="105"/>
  <c r="D32" i="95"/>
  <c r="D32" i="93"/>
  <c r="D32" i="101"/>
  <c r="D32" i="99"/>
  <c r="D32" i="97"/>
  <c r="D32" i="98"/>
  <c r="D32" i="107"/>
  <c r="D32" i="103"/>
  <c r="D32" i="96"/>
  <c r="D32" i="94"/>
  <c r="D32" i="91"/>
  <c r="D32" i="92"/>
  <c r="D32" i="100"/>
  <c r="D32" i="90"/>
  <c r="C37" i="110"/>
  <c r="C37" i="108"/>
  <c r="C37" i="109"/>
  <c r="C37" i="106"/>
  <c r="C37" i="104"/>
  <c r="C37" i="107"/>
  <c r="C37" i="102"/>
  <c r="C37" i="103"/>
  <c r="C37" i="95"/>
  <c r="C37" i="93"/>
  <c r="C37" i="98"/>
  <c r="C37" i="92"/>
  <c r="C37" i="97"/>
  <c r="C37" i="96"/>
  <c r="C37" i="105"/>
  <c r="C37" i="101"/>
  <c r="C37" i="100"/>
  <c r="C37" i="91"/>
  <c r="C37" i="99"/>
  <c r="C37" i="94"/>
  <c r="C37" i="90"/>
  <c r="B42" i="110"/>
  <c r="B42" i="108"/>
  <c r="B42" i="107"/>
  <c r="B42" i="106"/>
  <c r="B42" i="104"/>
  <c r="B42" i="105"/>
  <c r="B42" i="103"/>
  <c r="B42" i="102"/>
  <c r="B42" i="95"/>
  <c r="B42" i="93"/>
  <c r="B42" i="99"/>
  <c r="B42" i="96"/>
  <c r="B42" i="94"/>
  <c r="B42" i="101"/>
  <c r="B42" i="92"/>
  <c r="B42" i="97"/>
  <c r="B42" i="91"/>
  <c r="B42" i="100"/>
  <c r="B42" i="109"/>
  <c r="B42" i="98"/>
  <c r="B42" i="90"/>
  <c r="D48" i="109"/>
  <c r="D48" i="108"/>
  <c r="D48" i="106"/>
  <c r="D48" i="104"/>
  <c r="D48" i="110"/>
  <c r="D48" i="105"/>
  <c r="D48" i="95"/>
  <c r="D48" i="93"/>
  <c r="D48" i="102"/>
  <c r="D48" i="101"/>
  <c r="D48" i="99"/>
  <c r="D48" i="97"/>
  <c r="D48" i="107"/>
  <c r="D48" i="98"/>
  <c r="D48" i="92"/>
  <c r="D48" i="103"/>
  <c r="D48" i="96"/>
  <c r="D48" i="94"/>
  <c r="D48" i="91"/>
  <c r="D48" i="100"/>
  <c r="D48" i="90"/>
  <c r="C7" i="110"/>
  <c r="C7" i="109"/>
  <c r="C7" i="108"/>
  <c r="C7" i="105"/>
  <c r="C7" i="107"/>
  <c r="C7" i="103"/>
  <c r="C7" i="97"/>
  <c r="C7" i="96"/>
  <c r="C7" i="94"/>
  <c r="C7" i="92"/>
  <c r="C7" i="104"/>
  <c r="C7" i="101"/>
  <c r="C7" i="100"/>
  <c r="C7" i="95"/>
  <c r="C7" i="106"/>
  <c r="C7" i="99"/>
  <c r="C7" i="90"/>
  <c r="C7" i="102"/>
  <c r="C7" i="98"/>
  <c r="C7" i="93"/>
  <c r="C7" i="91"/>
  <c r="C14" i="110"/>
  <c r="C14" i="108"/>
  <c r="C14" i="109"/>
  <c r="C14" i="107"/>
  <c r="C14" i="106"/>
  <c r="C14" i="103"/>
  <c r="C14" i="101"/>
  <c r="C14" i="99"/>
  <c r="C14" i="104"/>
  <c r="C14" i="105"/>
  <c r="C14" i="96"/>
  <c r="C14" i="94"/>
  <c r="C14" i="93"/>
  <c r="C14" i="91"/>
  <c r="C14" i="98"/>
  <c r="C14" i="92"/>
  <c r="C14" i="102"/>
  <c r="C14" i="100"/>
  <c r="C14" i="97"/>
  <c r="C14" i="90"/>
  <c r="C14" i="95"/>
  <c r="D21" i="110"/>
  <c r="D21" i="109"/>
  <c r="D21" i="108"/>
  <c r="D21" i="105"/>
  <c r="D21" i="103"/>
  <c r="D21" i="107"/>
  <c r="D21" i="106"/>
  <c r="D21" i="101"/>
  <c r="D21" i="99"/>
  <c r="D21" i="97"/>
  <c r="D21" i="96"/>
  <c r="D21" i="94"/>
  <c r="D21" i="100"/>
  <c r="D21" i="91"/>
  <c r="D21" i="95"/>
  <c r="D21" i="90"/>
  <c r="D21" i="102"/>
  <c r="D21" i="104"/>
  <c r="D21" i="98"/>
  <c r="D21" i="92"/>
  <c r="D21" i="93"/>
  <c r="B27" i="110"/>
  <c r="B27" i="109"/>
  <c r="B27" i="108"/>
  <c r="B27" i="106"/>
  <c r="B27" i="103"/>
  <c r="B27" i="104"/>
  <c r="B27" i="107"/>
  <c r="B27" i="105"/>
  <c r="B27" i="101"/>
  <c r="B27" i="99"/>
  <c r="B27" i="97"/>
  <c r="B27" i="102"/>
  <c r="B27" i="96"/>
  <c r="B27" i="94"/>
  <c r="B27" i="98"/>
  <c r="B27" i="95"/>
  <c r="B27" i="93"/>
  <c r="B27" i="91"/>
  <c r="B27" i="100"/>
  <c r="B27" i="90"/>
  <c r="B27" i="92"/>
  <c r="C30" i="110"/>
  <c r="C30" i="109"/>
  <c r="C30" i="107"/>
  <c r="C30" i="106"/>
  <c r="C30" i="103"/>
  <c r="C30" i="104"/>
  <c r="C30" i="108"/>
  <c r="C30" i="101"/>
  <c r="C30" i="99"/>
  <c r="C30" i="97"/>
  <c r="C30" i="105"/>
  <c r="C30" i="96"/>
  <c r="C30" i="94"/>
  <c r="C30" i="91"/>
  <c r="C30" i="93"/>
  <c r="C30" i="102"/>
  <c r="C30" i="100"/>
  <c r="C30" i="98"/>
  <c r="C30" i="92"/>
  <c r="C30" i="90"/>
  <c r="C30" i="95"/>
  <c r="B39" i="110"/>
  <c r="B39" i="109"/>
  <c r="B39" i="107"/>
  <c r="B39" i="108"/>
  <c r="B39" i="106"/>
  <c r="B39" i="103"/>
  <c r="B39" i="104"/>
  <c r="B39" i="102"/>
  <c r="B39" i="105"/>
  <c r="B39" i="101"/>
  <c r="B39" i="99"/>
  <c r="B39" i="97"/>
  <c r="B39" i="94"/>
  <c r="B39" i="98"/>
  <c r="B39" i="95"/>
  <c r="B39" i="93"/>
  <c r="B39" i="91"/>
  <c r="B39" i="90"/>
  <c r="B39" i="100"/>
  <c r="B39" i="96"/>
  <c r="B39" i="92"/>
  <c r="D41" i="110"/>
  <c r="D41" i="109"/>
  <c r="D41" i="108"/>
  <c r="D41" i="107"/>
  <c r="D41" i="105"/>
  <c r="D41" i="103"/>
  <c r="D41" i="106"/>
  <c r="D41" i="101"/>
  <c r="D41" i="99"/>
  <c r="D41" i="97"/>
  <c r="D41" i="94"/>
  <c r="D41" i="100"/>
  <c r="D41" i="91"/>
  <c r="D41" i="93"/>
  <c r="D41" i="104"/>
  <c r="D41" i="98"/>
  <c r="D41" i="92"/>
  <c r="D41" i="96"/>
  <c r="D41" i="95"/>
  <c r="D41" i="90"/>
  <c r="D41" i="102"/>
  <c r="C46" i="110"/>
  <c r="C46" i="107"/>
  <c r="C46" i="109"/>
  <c r="C46" i="106"/>
  <c r="C46" i="103"/>
  <c r="C46" i="104"/>
  <c r="C46" i="108"/>
  <c r="C46" i="101"/>
  <c r="C46" i="99"/>
  <c r="C46" i="97"/>
  <c r="C46" i="105"/>
  <c r="C46" i="94"/>
  <c r="C46" i="91"/>
  <c r="C46" i="92"/>
  <c r="C46" i="90"/>
  <c r="C46" i="93"/>
  <c r="C46" i="102"/>
  <c r="C46" i="100"/>
  <c r="C46" i="98"/>
  <c r="C46" i="96"/>
  <c r="C46" i="95"/>
  <c r="C3" i="89"/>
  <c r="D22" i="89"/>
  <c r="C43" i="89"/>
  <c r="D3" i="89"/>
  <c r="D19" i="89"/>
  <c r="D35" i="89"/>
  <c r="D4" i="89"/>
  <c r="D7" i="89"/>
  <c r="D18" i="89"/>
  <c r="B24" i="89"/>
  <c r="B40" i="89"/>
  <c r="D8" i="89"/>
  <c r="D15" i="89"/>
  <c r="D31" i="89"/>
  <c r="B45" i="89"/>
  <c r="D9" i="89"/>
  <c r="C21" i="89"/>
  <c r="D36" i="89"/>
  <c r="B46" i="89"/>
  <c r="B15" i="89"/>
  <c r="D25" i="89"/>
  <c r="B31" i="89"/>
  <c r="C34" i="89"/>
  <c r="B47" i="89"/>
  <c r="D2" i="89"/>
  <c r="D14" i="89"/>
  <c r="D26" i="89"/>
  <c r="C35" i="89"/>
  <c r="D46" i="89"/>
  <c r="C4" i="89"/>
  <c r="D11" i="89"/>
  <c r="B25" i="89"/>
  <c r="B37" i="89"/>
  <c r="D43" i="89"/>
  <c r="C10" i="89"/>
  <c r="D20" i="89"/>
  <c r="D32" i="89"/>
  <c r="C37" i="89"/>
  <c r="D48" i="89"/>
  <c r="C14" i="89"/>
  <c r="B27" i="89"/>
  <c r="C46" i="89"/>
  <c r="B9" i="89"/>
  <c r="D10" i="89"/>
  <c r="B16" i="89"/>
  <c r="C23" i="89"/>
  <c r="B28" i="89"/>
  <c r="B32" i="89"/>
  <c r="D38" i="89"/>
  <c r="B44" i="89"/>
  <c r="B48" i="89"/>
  <c r="B5" i="89"/>
  <c r="B10" i="89"/>
  <c r="C16" i="89"/>
  <c r="B21" i="89"/>
  <c r="D23" i="89"/>
  <c r="B33" i="89"/>
  <c r="C36" i="89"/>
  <c r="D39" i="89"/>
  <c r="C48" i="89"/>
  <c r="D12" i="89"/>
  <c r="D16" i="89"/>
  <c r="B22" i="89"/>
  <c r="C29" i="89"/>
  <c r="C33" i="89"/>
  <c r="B38" i="89"/>
  <c r="D44" i="89"/>
  <c r="B3" i="89"/>
  <c r="B8" i="89"/>
  <c r="B19" i="89"/>
  <c r="B23" i="89"/>
  <c r="C26" i="89"/>
  <c r="B35" i="89"/>
  <c r="D37" i="89"/>
  <c r="C42" i="89"/>
  <c r="C11" i="89"/>
  <c r="C39" i="89"/>
  <c r="C12" i="89"/>
  <c r="C32" i="89"/>
  <c r="B11" i="89"/>
  <c r="B18" i="89"/>
  <c r="D24" i="89"/>
  <c r="D28" i="89"/>
  <c r="B34" i="89"/>
  <c r="D40" i="89"/>
  <c r="C45" i="89"/>
  <c r="C2" i="89"/>
  <c r="D13" i="89"/>
  <c r="D17" i="89"/>
  <c r="C22" i="89"/>
  <c r="D29" i="89"/>
  <c r="D33" i="89"/>
  <c r="C38" i="89"/>
  <c r="D45" i="89"/>
  <c r="C8" i="89"/>
  <c r="C27" i="89"/>
  <c r="B29" i="89"/>
  <c r="C31" i="89"/>
  <c r="C28" i="89"/>
  <c r="B30" i="89"/>
  <c r="B20" i="89"/>
  <c r="B36" i="89"/>
  <c r="B17" i="89"/>
  <c r="C44" i="89"/>
  <c r="C13" i="89"/>
  <c r="B4" i="89"/>
  <c r="C15" i="89"/>
  <c r="D34" i="89"/>
  <c r="C47" i="89"/>
  <c r="B13" i="89"/>
  <c r="C24" i="89"/>
  <c r="B41" i="89"/>
  <c r="D47" i="89"/>
  <c r="C5" i="89"/>
  <c r="B14" i="89"/>
  <c r="C25" i="89"/>
  <c r="C41" i="89"/>
  <c r="D6" i="89"/>
  <c r="C18" i="89"/>
  <c r="B43" i="89"/>
  <c r="B12" i="89"/>
  <c r="C19" i="89"/>
  <c r="D30" i="89"/>
  <c r="D42" i="89"/>
  <c r="C9" i="89"/>
  <c r="C20" i="89"/>
  <c r="D27" i="89"/>
  <c r="C40" i="89"/>
  <c r="B6" i="89"/>
  <c r="C17" i="89"/>
  <c r="B26" i="89"/>
  <c r="B42" i="89"/>
  <c r="C7" i="89"/>
  <c r="D21" i="89"/>
  <c r="C30" i="89"/>
  <c r="B39" i="89"/>
  <c r="D41" i="89"/>
  <c r="C6" i="110" l="1"/>
  <c r="C6" i="108"/>
  <c r="C6" i="109"/>
  <c r="C6" i="107"/>
  <c r="C6" i="106"/>
  <c r="C6" i="103"/>
  <c r="C6" i="101"/>
  <c r="C6" i="99"/>
  <c r="C6" i="104"/>
  <c r="C6" i="105"/>
  <c r="C6" i="96"/>
  <c r="C6" i="94"/>
  <c r="C6" i="93"/>
  <c r="C6" i="91"/>
  <c r="C6" i="98"/>
  <c r="C6" i="92"/>
  <c r="C6" i="90"/>
  <c r="C6" i="102"/>
  <c r="C6" i="100"/>
  <c r="C6" i="97"/>
  <c r="C6" i="95"/>
  <c r="D5" i="110"/>
  <c r="D5" i="108"/>
  <c r="D5" i="109"/>
  <c r="D5" i="105"/>
  <c r="D5" i="103"/>
  <c r="D5" i="107"/>
  <c r="D5" i="106"/>
  <c r="D5" i="101"/>
  <c r="D5" i="99"/>
  <c r="D5" i="96"/>
  <c r="D5" i="94"/>
  <c r="D5" i="100"/>
  <c r="D5" i="91"/>
  <c r="D5" i="95"/>
  <c r="D5" i="97"/>
  <c r="D5" i="93"/>
  <c r="D5" i="104"/>
  <c r="D5" i="98"/>
  <c r="D5" i="92"/>
  <c r="D5" i="90"/>
  <c r="D5" i="102"/>
  <c r="B7" i="108"/>
  <c r="B7" i="110"/>
  <c r="B7" i="109"/>
  <c r="B7" i="106"/>
  <c r="B7" i="103"/>
  <c r="B7" i="104"/>
  <c r="B7" i="107"/>
  <c r="B7" i="105"/>
  <c r="B7" i="101"/>
  <c r="B7" i="99"/>
  <c r="B7" i="102"/>
  <c r="B7" i="97"/>
  <c r="B7" i="96"/>
  <c r="B7" i="94"/>
  <c r="B7" i="98"/>
  <c r="B7" i="95"/>
  <c r="B7" i="93"/>
  <c r="B7" i="91"/>
  <c r="B7" i="100"/>
  <c r="B7" i="92"/>
  <c r="B7" i="90"/>
  <c r="D5" i="89"/>
  <c r="C6" i="89"/>
  <c r="B7" i="89"/>
  <c r="E2" i="8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tc={7683FB27-6E73-40EC-8C85-268BE12C66DA}</author>
    <author>tc={5107183C-9F66-4C04-83AE-375E36560CA2}</author>
    <author>tc={A1555562-54A4-43E0-9BBC-C78AD64FD99D}</author>
    <author>tc={C46CB869-DA87-4815-BDD1-6746F4F9CDEF}</author>
    <author>tc={9F74D460-97B1-4E3C-8BB5-2F9B0EC8DADE}</author>
    <author>tc={055FBD36-DB14-4BBB-B30F-90241ED2E4F8}</author>
    <author>tc={13F541BA-A940-437D-B023-38D7BA74735F}</author>
    <author>tc={A913694A-9FF5-4CE5-9EB6-20422DCAD6FE}</author>
    <author>tc={DA2C54E2-EDD2-4DD5-9EC4-51E7AC4B1D92}</author>
    <author>tc={203DEE81-5C1F-4D60-9A21-D11C7AF1BF9C}</author>
    <author>tc={69586849-B78D-4275-9DA1-B28273A327BA}</author>
    <author>tc={F0A05781-687D-4DE9-A1BF-131A52D0AC5B}</author>
    <author>tc={269ABAE4-40BD-459A-BA79-7D98480019D6}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683FB27-6E73-40EC-8C85-268BE12C66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R2" authorId="1" shapeId="0" xr:uid="{5107183C-9F66-4C04-83AE-375E36560CA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2" shapeId="0" xr:uid="{A1555562-54A4-43E0-9BBC-C78AD64FD9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3" shapeId="0" xr:uid="{C46CB869-DA87-4815-BDD1-6746F4F9CD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4" shapeId="0" xr:uid="{9F74D460-97B1-4E3C-8BB5-2F9B0EC8DA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5" shapeId="0" xr:uid="{055FBD36-DB14-4BBB-B30F-90241ED2E4F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6" shapeId="0" xr:uid="{13F541BA-A940-437D-B023-38D7BA7473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7" shapeId="0" xr:uid="{A913694A-9FF5-4CE5-9EB6-20422DCAD6F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8" shapeId="0" xr:uid="{DA2C54E2-EDD2-4DD5-9EC4-51E7AC4B1D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9" shapeId="0" xr:uid="{203DEE81-5C1F-4D60-9A21-D11C7AF1BF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10" shapeId="0" xr:uid="{69586849-B78D-4275-9DA1-B28273A327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1" shapeId="0" xr:uid="{F0A05781-687D-4DE9-A1BF-131A52D0AC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J6" authorId="12" shapeId="0" xr:uid="{269ABAE4-40BD-459A-BA79-7D98480019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valeur précédente et postérieure</t>
      </text>
    </comment>
    <comment ref="BH58" authorId="13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58" authorId="14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58" authorId="15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58" authorId="16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58" authorId="17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58" authorId="18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58" authorId="19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58" authorId="20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58" authorId="21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58" authorId="22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58" authorId="23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<sst xmlns="http://schemas.openxmlformats.org/spreadsheetml/2006/main" count="768" uniqueCount="106">
  <si>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</si>
  <si>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</si>
  <si>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</si>
  <si>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</si>
  <si>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</si>
  <si>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</si>
  <si>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</si>
  <si>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</si>
  <si>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</si>
  <si>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</si>
  <si>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</si>
  <si>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</si>
  <si>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</si>
  <si>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</si>
  <si>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</si>
  <si>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</si>
  <si>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</si>
  <si>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</si>
  <si>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</si>
  <si>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</si>
  <si>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</si>
  <si>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</si>
  <si>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</si>
  <si>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</si>
  <si>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</si>
  <si>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</si>
  <si>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</si>
  <si>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</si>
  <si>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</si>
  <si>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</si>
  <si>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</si>
  <si>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</si>
  <si>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</si>
  <si>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</si>
  <si>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EV</t>
  </si>
  <si>
    <t>EV*VIXl1</t>
  </si>
  <si>
    <t>EVl1</t>
  </si>
  <si>
    <t>Sent</t>
  </si>
  <si>
    <t>Sent_k, k=0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</si>
  <si>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</si>
  <si>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</si>
  <si>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</si>
  <si>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</si>
  <si>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</si>
  <si>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</si>
  <si>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</si>
  <si>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</si>
  <si>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</si>
  <si>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Sommaire pour la période après la rupture  structurelle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</si>
  <si>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</si>
  <si>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</si>
  <si>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</si>
  <si>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</si>
  <si>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</si>
  <si>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</si>
  <si>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</si>
  <si>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</si>
  <si>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</si>
  <si>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</si>
  <si>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</si>
  <si>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</si>
  <si>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</si>
  <si>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</si>
  <si>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</si>
  <si>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</si>
  <si>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</si>
  <si>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</si>
  <si>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</si>
  <si>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</si>
  <si>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</si>
  <si>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</si>
  <si>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</si>
  <si>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</si>
  <si>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</si>
  <si>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</si>
  <si>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</si>
  <si>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</si>
  <si>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</si>
  <si>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</si>
  <si>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</si>
  <si>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</si>
  <si>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</si>
  <si>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</si>
  <si>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</si>
  <si>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</si>
  <si>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</si>
  <si>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</si>
  <si>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</si>
  <si>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</si>
  <si>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</si>
  <si>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</si>
  <si>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</si>
  <si>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</si>
  <si>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</si>
  <si>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</si>
  <si>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</si>
  <si>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</si>
  <si>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</si>
  <si>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Real Estate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</si>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</sst>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Close price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VARS'!$A$2:$A$58</c:f>
              <c:numCache>
                <c:formatCode>yyyy/mm/dd;@</c:formatCode>
                <c:ptCount val="57"/>
                <c:pt idx="0">
                  <c:v>43980</c:v>
                </c:pt>
                <c:pt idx="1">
                  <c:v>43979</c:v>
                </c:pt>
                <c:pt idx="2">
                  <c:v>43978</c:v>
                </c:pt>
                <c:pt idx="3">
                  <c:v>43977</c:v>
                </c:pt>
                <c:pt idx="4">
                  <c:v>43976</c:v>
                </c:pt>
                <c:pt idx="5">
                  <c:v>43973</c:v>
                </c:pt>
                <c:pt idx="6">
                  <c:v>43972</c:v>
                </c:pt>
                <c:pt idx="7">
                  <c:v>43971</c:v>
                </c:pt>
                <c:pt idx="8">
                  <c:v>43970</c:v>
                </c:pt>
                <c:pt idx="9">
                  <c:v>43966</c:v>
                </c:pt>
                <c:pt idx="10">
                  <c:v>43965</c:v>
                </c:pt>
                <c:pt idx="11">
                  <c:v>43964</c:v>
                </c:pt>
                <c:pt idx="12">
                  <c:v>43963</c:v>
                </c:pt>
                <c:pt idx="13">
                  <c:v>43962</c:v>
                </c:pt>
                <c:pt idx="14">
                  <c:v>43959</c:v>
                </c:pt>
                <c:pt idx="15">
                  <c:v>43958</c:v>
                </c:pt>
                <c:pt idx="16">
                  <c:v>43957</c:v>
                </c:pt>
                <c:pt idx="17">
                  <c:v>43956</c:v>
                </c:pt>
                <c:pt idx="18">
                  <c:v>43955</c:v>
                </c:pt>
                <c:pt idx="19">
                  <c:v>43952</c:v>
                </c:pt>
                <c:pt idx="20">
                  <c:v>43951</c:v>
                </c:pt>
                <c:pt idx="21">
                  <c:v>43950</c:v>
                </c:pt>
                <c:pt idx="22">
                  <c:v>43949</c:v>
                </c:pt>
                <c:pt idx="23">
                  <c:v>43948</c:v>
                </c:pt>
                <c:pt idx="24">
                  <c:v>43945</c:v>
                </c:pt>
                <c:pt idx="25">
                  <c:v>43944</c:v>
                </c:pt>
                <c:pt idx="26">
                  <c:v>43943</c:v>
                </c:pt>
                <c:pt idx="27">
                  <c:v>43942</c:v>
                </c:pt>
                <c:pt idx="28">
                  <c:v>43941</c:v>
                </c:pt>
                <c:pt idx="29">
                  <c:v>43938</c:v>
                </c:pt>
                <c:pt idx="30">
                  <c:v>43937</c:v>
                </c:pt>
                <c:pt idx="31">
                  <c:v>43936</c:v>
                </c:pt>
                <c:pt idx="32">
                  <c:v>43935</c:v>
                </c:pt>
                <c:pt idx="33">
                  <c:v>43934</c:v>
                </c:pt>
                <c:pt idx="34">
                  <c:v>43930</c:v>
                </c:pt>
                <c:pt idx="35">
                  <c:v>43929</c:v>
                </c:pt>
                <c:pt idx="36">
                  <c:v>43928</c:v>
                </c:pt>
                <c:pt idx="37">
                  <c:v>43927</c:v>
                </c:pt>
                <c:pt idx="38">
                  <c:v>43924</c:v>
                </c:pt>
                <c:pt idx="39">
                  <c:v>43923</c:v>
                </c:pt>
                <c:pt idx="40">
                  <c:v>43922</c:v>
                </c:pt>
                <c:pt idx="41">
                  <c:v>43921</c:v>
                </c:pt>
                <c:pt idx="42">
                  <c:v>43920</c:v>
                </c:pt>
                <c:pt idx="43">
                  <c:v>43917</c:v>
                </c:pt>
                <c:pt idx="44">
                  <c:v>43916</c:v>
                </c:pt>
                <c:pt idx="45">
                  <c:v>43915</c:v>
                </c:pt>
                <c:pt idx="46">
                  <c:v>43914</c:v>
                </c:pt>
              </c:numCache>
            </c:numRef>
          </c:cat>
          <c:val>
            <c:numRef>
              <c:f>'Close price'!$B$2:$B$48</c:f>
              <c:numCache>
                <c:formatCode>#,##0</c:formatCode>
                <c:ptCount val="47"/>
                <c:pt idx="0">
                  <c:v>259.85000000000002</c:v>
                </c:pt>
                <c:pt idx="1">
                  <c:v>262.23</c:v>
                </c:pt>
                <c:pt idx="2">
                  <c:v>264.62</c:v>
                </c:pt>
                <c:pt idx="3">
                  <c:v>265.52999999999997</c:v>
                </c:pt>
                <c:pt idx="4">
                  <c:v>261</c:v>
                </c:pt>
                <c:pt idx="5">
                  <c:v>253.55</c:v>
                </c:pt>
                <c:pt idx="6">
                  <c:v>254.26</c:v>
                </c:pt>
                <c:pt idx="7">
                  <c:v>252.92</c:v>
                </c:pt>
                <c:pt idx="8">
                  <c:v>252.21</c:v>
                </c:pt>
                <c:pt idx="9">
                  <c:v>244.13</c:v>
                </c:pt>
                <c:pt idx="10">
                  <c:v>243.31</c:v>
                </c:pt>
                <c:pt idx="11">
                  <c:v>239.91</c:v>
                </c:pt>
                <c:pt idx="12">
                  <c:v>245.42</c:v>
                </c:pt>
                <c:pt idx="13">
                  <c:v>253.96</c:v>
                </c:pt>
                <c:pt idx="14">
                  <c:v>257.33</c:v>
                </c:pt>
                <c:pt idx="15">
                  <c:v>253.14</c:v>
                </c:pt>
                <c:pt idx="16">
                  <c:v>252.12</c:v>
                </c:pt>
                <c:pt idx="17">
                  <c:v>253.67</c:v>
                </c:pt>
                <c:pt idx="18">
                  <c:v>251.87</c:v>
                </c:pt>
                <c:pt idx="19">
                  <c:v>255.94</c:v>
                </c:pt>
                <c:pt idx="20">
                  <c:v>263.38</c:v>
                </c:pt>
                <c:pt idx="21">
                  <c:v>268.58</c:v>
                </c:pt>
                <c:pt idx="22">
                  <c:v>265.42</c:v>
                </c:pt>
                <c:pt idx="23">
                  <c:v>263.54000000000002</c:v>
                </c:pt>
                <c:pt idx="24">
                  <c:v>251.21</c:v>
                </c:pt>
                <c:pt idx="25">
                  <c:v>248.3</c:v>
                </c:pt>
                <c:pt idx="26">
                  <c:v>249.65</c:v>
                </c:pt>
                <c:pt idx="27">
                  <c:v>250.51</c:v>
                </c:pt>
                <c:pt idx="28">
                  <c:v>263.14</c:v>
                </c:pt>
                <c:pt idx="29">
                  <c:v>262.17</c:v>
                </c:pt>
                <c:pt idx="30">
                  <c:v>255.03</c:v>
                </c:pt>
                <c:pt idx="31">
                  <c:v>257.58999999999997</c:v>
                </c:pt>
                <c:pt idx="32">
                  <c:v>264.39999999999998</c:v>
                </c:pt>
                <c:pt idx="33">
                  <c:v>260.68</c:v>
                </c:pt>
                <c:pt idx="34">
                  <c:v>270.73</c:v>
                </c:pt>
                <c:pt idx="35">
                  <c:v>264.5</c:v>
                </c:pt>
                <c:pt idx="36">
                  <c:v>247.96</c:v>
                </c:pt>
                <c:pt idx="37">
                  <c:v>240.5</c:v>
                </c:pt>
                <c:pt idx="38">
                  <c:v>230.98</c:v>
                </c:pt>
                <c:pt idx="39">
                  <c:v>234.02</c:v>
                </c:pt>
                <c:pt idx="40">
                  <c:v>231.5</c:v>
                </c:pt>
                <c:pt idx="41">
                  <c:v>244.97</c:v>
                </c:pt>
                <c:pt idx="42">
                  <c:v>241.14</c:v>
                </c:pt>
                <c:pt idx="43">
                  <c:v>243.91</c:v>
                </c:pt>
                <c:pt idx="44">
                  <c:v>243.44</c:v>
                </c:pt>
                <c:pt idx="45">
                  <c:v>239.55</c:v>
                </c:pt>
                <c:pt idx="46">
                  <c:v>217.97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  <c:majorUnit val="2"/>
      </c:dateAx>
      <c:valAx>
        <c:axId val="495652671"/>
        <c:scaling>
          <c:orientation val="minMax"/>
          <c:max val="275"/>
          <c:min val="215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752476</xdr:colOff>
      <xdr:row>1</xdr:row>
      <xdr:rowOff>9526</xdr:rowOff>
    </xdr:from>
    <xdr:to>
      <xdr:col>10</xdr:col>
      <xdr:colOff>752475</xdr:colOff>
      <xdr:row>18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Regressions\Thru%20July%202025\Real%20estate%20sector%20index-pre%20struct%20break.xlsx" TargetMode="External"/><Relationship Id="rId1" Type="http://schemas.openxmlformats.org/officeDocument/2006/relationships/externalLinkPath" Target="Real%20estate%20sector%20index-pre%20struct%20brea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&amp;PTSX-3 pers"/>
      <sheetName val="ALL VARS"/>
      <sheetName val="Close price"/>
      <sheetName val="Eq4 avec Sent_t__+__1"/>
      <sheetName val="Eq4 avec Sent__t_+_1_k, k=0"/>
      <sheetName val="Eq4 avec Sent__t_+_1_k, k=1"/>
      <sheetName val="Eq4 avec Sent__t_+_1_k, k=2"/>
      <sheetName val="Eq4 avec Sent__t_+_1_k, k=3"/>
      <sheetName val="Eq4 avec Sent__t_+_1_k, k=4"/>
      <sheetName val="Eq4 avec Sent__t_+_1_k, k=5"/>
      <sheetName val="Eq4 avec Sent__t_+_1_k, k=6"/>
      <sheetName val="Eq4 avec Sent__t_+_1_k, k=7"/>
      <sheetName val="Eq4 avec Sent__t_+_1_k, k=8"/>
      <sheetName val="Eq4 avec Sent__t_+_1_k, k=9"/>
      <sheetName val="Eq7 avec Sent_t"/>
      <sheetName val="Eq7 avec Sent__t_k, k=0"/>
      <sheetName val="Eq7 avec Sent__t_k, k=1"/>
      <sheetName val="Eq7 avec Sent__t_k, k=2"/>
      <sheetName val="Eq7 avec Sent__t_k, k=3"/>
      <sheetName val="Eq7 avec Sent__t_k, k=4"/>
      <sheetName val="Eq7 avec Sent__t_k, k=5"/>
      <sheetName val="Eq7 avec Sent__t_k, k=6"/>
      <sheetName val="Eq7 avec Sent__t_k, k=7"/>
      <sheetName val="Eq7 avec Sent__t_k, k=8"/>
      <sheetName val="Eq7 avec Sent__t_k, k=9"/>
      <sheetName val="Sommaire_OLD"/>
      <sheetName val="Sommaire"/>
    </sheetNames>
    <sheetDataSet>
      <sheetData sheetId="0" refreshError="1"/>
      <sheetData sheetId="1" refreshError="1"/>
      <sheetData sheetId="2">
        <row r="2">
          <cell r="B2">
            <v>198.2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16T00:19:38.63" personId="{B386E71F-82BA-4214-89B1-D8DCB07045AF}" id="{7683FB27-6E73-40EC-8C85-268BE12C66DA}">
    <text>Moyenne de la colonne</text>
  </threadedComment>
  <threadedComment ref="R2" dT="2024-07-16T00:19:38.63" personId="{B386E71F-82BA-4214-89B1-D8DCB07045AF}" id="{5107183C-9F66-4C04-83AE-375E36560CA2}">
    <text>Moyenne de la colonne</text>
  </threadedComment>
  <threadedComment ref="T2" dT="2024-07-16T00:19:38.63" personId="{B386E71F-82BA-4214-89B1-D8DCB07045AF}" id="{A1555562-54A4-43E0-9BBC-C78AD64FD99D}">
    <text>Moyenne de la colonne</text>
  </threadedComment>
  <threadedComment ref="X2" dT="2024-07-16T00:19:38.63" personId="{B386E71F-82BA-4214-89B1-D8DCB07045AF}" id="{C46CB869-DA87-4815-BDD1-6746F4F9CDEF}">
    <text>Moyenne de la colonne</text>
  </threadedComment>
  <threadedComment ref="AB2" dT="2024-07-16T00:19:38.63" personId="{B386E71F-82BA-4214-89B1-D8DCB07045AF}" id="{9F74D460-97B1-4E3C-8BB5-2F9B0EC8DADE}">
    <text>Moyenne de la colonne</text>
  </threadedComment>
  <threadedComment ref="AF2" dT="2024-07-16T00:19:38.63" personId="{B386E71F-82BA-4214-89B1-D8DCB07045AF}" id="{055FBD36-DB14-4BBB-B30F-90241ED2E4F8}">
    <text>Moyenne de la colonne</text>
  </threadedComment>
  <threadedComment ref="AJ2" dT="2024-07-16T00:19:38.63" personId="{B386E71F-82BA-4214-89B1-D8DCB07045AF}" id="{13F541BA-A940-437D-B023-38D7BA74735F}">
    <text>Moyenne de la colonne</text>
  </threadedComment>
  <threadedComment ref="AN2" dT="2024-07-16T00:19:38.63" personId="{B386E71F-82BA-4214-89B1-D8DCB07045AF}" id="{A913694A-9FF5-4CE5-9EB6-20422DCAD6FE}">
    <text>Moyenne de la colonne</text>
  </threadedComment>
  <threadedComment ref="AR2" dT="2024-07-16T00:19:38.63" personId="{B386E71F-82BA-4214-89B1-D8DCB07045AF}" id="{DA2C54E2-EDD2-4DD5-9EC4-51E7AC4B1D92}">
    <text>Moyenne de la colonne</text>
  </threadedComment>
  <threadedComment ref="AV2" dT="2024-07-16T00:19:38.63" personId="{B386E71F-82BA-4214-89B1-D8DCB07045AF}" id="{203DEE81-5C1F-4D60-9A21-D11C7AF1BF9C}">
    <text>Moyenne de la colonne</text>
  </threadedComment>
  <threadedComment ref="AZ2" dT="2024-07-16T00:19:38.63" personId="{B386E71F-82BA-4214-89B1-D8DCB07045AF}" id="{69586849-B78D-4275-9DA1-B28273A327BA}">
    <text>Moyenne de la colonne</text>
  </threadedComment>
  <threadedComment ref="BD2" dT="2024-07-16T00:19:38.63" personId="{B386E71F-82BA-4214-89B1-D8DCB07045AF}" id="{F0A05781-687D-4DE9-A1BF-131A52D0AC5B}">
    <text>Moyenne de la colonne</text>
  </threadedComment>
  <threadedComment ref="J6" dT="2024-03-18T18:50:09.70" personId="{163BB6B9-B723-4244-A02B-D203858A4BD4}" id="{269ABAE4-40BD-459A-BA79-7D98480019D6}">
    <text>Moyenne de la valeur précédente et postérieure</text>
  </threadedComment>
  <threadedComment ref="BH58" dT="2024-03-19T03:08:32.20" personId="{163BB6B9-B723-4244-A02B-D203858A4BD4}" id="{3CBB640E-CE8B-48C6-A4DC-61CAA140CB66}">
    <text xml:space="preserve">Average </text>
  </threadedComment>
  <threadedComment ref="BH58" dT="2024-03-19T03:23:06.24" personId="{163BB6B9-B723-4244-A02B-D203858A4BD4}" id="{73E31130-E2DF-43CF-BE6D-3A3D9761907C}" parentId="{3CBB640E-CE8B-48C6-A4DC-61CAA140CB66}">
    <text>Moyenne</text>
  </threadedComment>
  <threadedComment ref="BH58" dT="2024-03-19T03:26:43.81" personId="{163BB6B9-B723-4244-A02B-D203858A4BD4}" id="{43D8F9B6-F875-44A2-B8D7-D19624648D88}" parentId="{3CBB640E-CE8B-48C6-A4DC-61CAA140CB66}">
    <text>Moyenne</text>
  </threadedComment>
  <threadedComment ref="BH58" dT="2024-03-19T03:27:04.07" personId="{163BB6B9-B723-4244-A02B-D203858A4BD4}" id="{99A0B4FA-67E7-4ECA-8DAE-6AECFF25076F}" parentId="{3CBB640E-CE8B-48C6-A4DC-61CAA140CB66}">
    <text>Moyenne</text>
  </threadedComment>
  <threadedComment ref="BH58" dT="2024-03-19T03:27:14.14" personId="{163BB6B9-B723-4244-A02B-D203858A4BD4}" id="{3EDD0EA6-F5DD-4A25-B1DD-87B2E2A389CE}" parentId="{3CBB640E-CE8B-48C6-A4DC-61CAA140CB66}">
    <text>Moyenne</text>
  </threadedComment>
  <threadedComment ref="BH58" dT="2024-03-19T03:27:37.31" personId="{163BB6B9-B723-4244-A02B-D203858A4BD4}" id="{51421915-B699-46B6-A191-EF62A1366A3F}" parentId="{3CBB640E-CE8B-48C6-A4DC-61CAA140CB66}">
    <text>Moyenne</text>
  </threadedComment>
  <threadedComment ref="BJ58" dT="2024-03-19T03:23:13.63" personId="{163BB6B9-B723-4244-A02B-D203858A4BD4}" id="{9C51EE1B-5DC5-4349-920B-A80894B3B69B}">
    <text>Moyenne</text>
  </threadedComment>
  <threadedComment ref="BL58" dT="2024-03-19T03:27:27.43" personId="{163BB6B9-B723-4244-A02B-D203858A4BD4}" id="{D6555B02-5C09-4905-B07C-EF1B6C5B84DB}">
    <text>Moyenne</text>
  </threadedComment>
  <threadedComment ref="BL58" dT="2024-03-19T03:30:31.26" personId="{163BB6B9-B723-4244-A02B-D203858A4BD4}" id="{EC874401-2111-4CF4-B104-A121C21FB747}" parentId="{D6555B02-5C09-4905-B07C-EF1B6C5B84DB}">
    <text>Moyenne</text>
  </threadedComment>
  <threadedComment ref="BN58" dT="2024-03-19T03:30:19.03" personId="{163BB6B9-B723-4244-A02B-D203858A4BD4}" id="{D2908705-9A34-4CE6-AA4C-CC27A744CC1F}">
    <text xml:space="preserve">Moyenne
</text>
  </threadedComment>
  <threadedComment ref="BP58" dT="2024-03-19T03:32:25.34" personId="{163BB6B9-B723-4244-A02B-D203858A4BD4}" id="{E96ED23C-526B-4D2B-B5F4-685DF9919957}">
    <text>Moyenne</text>
  </threadedComment>
  <threadedComment ref="BR58" dT="2024-03-19T03:34:37.99" personId="{163BB6B9-B723-4244-A02B-D203858A4BD4}" id="{2F5A0ACD-14C6-448B-A3E3-189F646CDE88}">
    <text>Moyenne</text>
  </threadedComment>
  <threadedComment ref="BT58" dT="2024-03-19T03:36:37.15" personId="{163BB6B9-B723-4244-A02B-D203858A4BD4}" id="{BCA56E8A-50FF-4349-8863-A58F2B78E81E}">
    <text>Moyenne</text>
  </threadedComment>
  <threadedComment ref="BV58" dT="2024-03-19T03:38:39.98" personId="{163BB6B9-B723-4244-A02B-D203858A4BD4}" id="{B41C1DB4-43F7-4B9C-BA7D-436489D242F7}">
    <text>Moyenne</text>
  </threadedComment>
  <threadedComment ref="BX58" dT="2024-03-19T03:41:01.16" personId="{163BB6B9-B723-4244-A02B-D203858A4BD4}" id="{DC61383F-5054-44E6-917B-B1DA946E6EEA}">
    <text>Moyenne</text>
  </threadedComment>
  <threadedComment ref="BZ58" dT="2024-03-19T03:43:17.83" personId="{163BB6B9-B723-4244-A02B-D203858A4BD4}" id="{7CE62977-8A60-4616-AF75-3725E35B2863}">
    <text>Moyenne</text>
  </threadedComment>
  <threadedComment ref="CB58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65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3" style="16" bestFit="1" customWidth="1"/>
    <col min="3" max="3" width="14.140625" style="16" bestFit="1" customWidth="1"/>
    <col min="4" max="4" width="27.85546875" style="17" bestFit="1" customWidth="1"/>
    <col min="5" max="5" width="2.42578125" style="17" customWidth="1"/>
    <col min="6" max="6" width="19" style="16" bestFit="1" customWidth="1"/>
    <col min="7" max="7" width="15.85546875" style="16" bestFit="1" customWidth="1"/>
    <col min="8" max="8" width="24.57031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50</v>
      </c>
      <c r="C1" s="11" t="s">
        <v>51</v>
      </c>
      <c r="D1" s="12" t="s">
        <v>1</v>
      </c>
      <c r="E1" s="12"/>
      <c r="F1" s="11" t="s">
        <v>52</v>
      </c>
      <c r="G1" s="11" t="s">
        <v>53</v>
      </c>
      <c r="H1" s="11" t="s">
        <v>54</v>
      </c>
      <c r="I1" s="11" t="s">
        <v>2</v>
      </c>
      <c r="J1" s="12" t="s">
        <v>3</v>
      </c>
      <c r="K1" s="11" t="s">
        <v>4</v>
      </c>
      <c r="L1" s="12" t="s">
        <v>7</v>
      </c>
      <c r="M1" s="12" t="s">
        <v>19</v>
      </c>
      <c r="N1" s="11" t="s">
        <v>6</v>
      </c>
      <c r="O1" s="11" t="s">
        <v>6</v>
      </c>
      <c r="P1" s="12" t="s">
        <v>5</v>
      </c>
      <c r="Q1" s="11" t="s">
        <v>30</v>
      </c>
      <c r="R1" s="11" t="s">
        <v>18</v>
      </c>
      <c r="S1" s="12" t="s">
        <v>20</v>
      </c>
      <c r="T1" s="12" t="s">
        <v>8</v>
      </c>
      <c r="U1" s="11" t="s">
        <v>88</v>
      </c>
      <c r="V1" s="11" t="s">
        <v>78</v>
      </c>
      <c r="W1" s="12" t="s">
        <v>21</v>
      </c>
      <c r="X1" s="12" t="s">
        <v>9</v>
      </c>
      <c r="Y1" s="11" t="s">
        <v>89</v>
      </c>
      <c r="Z1" s="11" t="s">
        <v>79</v>
      </c>
      <c r="AA1" s="12" t="s">
        <v>22</v>
      </c>
      <c r="AB1" s="12" t="s">
        <v>10</v>
      </c>
      <c r="AC1" s="11" t="s">
        <v>90</v>
      </c>
      <c r="AD1" s="11" t="s">
        <v>80</v>
      </c>
      <c r="AE1" s="12" t="s">
        <v>23</v>
      </c>
      <c r="AF1" s="12" t="s">
        <v>11</v>
      </c>
      <c r="AG1" s="11" t="s">
        <v>91</v>
      </c>
      <c r="AH1" s="11" t="s">
        <v>81</v>
      </c>
      <c r="AI1" s="12" t="s">
        <v>24</v>
      </c>
      <c r="AJ1" s="12" t="s">
        <v>12</v>
      </c>
      <c r="AK1" s="11" t="s">
        <v>92</v>
      </c>
      <c r="AL1" s="11" t="s">
        <v>82</v>
      </c>
      <c r="AM1" s="12" t="s">
        <v>25</v>
      </c>
      <c r="AN1" s="12" t="s">
        <v>13</v>
      </c>
      <c r="AO1" s="11" t="s">
        <v>93</v>
      </c>
      <c r="AP1" s="11" t="s">
        <v>83</v>
      </c>
      <c r="AQ1" s="12" t="s">
        <v>26</v>
      </c>
      <c r="AR1" s="12" t="s">
        <v>14</v>
      </c>
      <c r="AS1" s="11" t="s">
        <v>94</v>
      </c>
      <c r="AT1" s="11" t="s">
        <v>84</v>
      </c>
      <c r="AU1" s="12" t="s">
        <v>27</v>
      </c>
      <c r="AV1" s="12" t="s">
        <v>15</v>
      </c>
      <c r="AW1" s="11" t="s">
        <v>95</v>
      </c>
      <c r="AX1" s="11" t="s">
        <v>85</v>
      </c>
      <c r="AY1" s="12" t="s">
        <v>28</v>
      </c>
      <c r="AZ1" s="12" t="s">
        <v>16</v>
      </c>
      <c r="BA1" s="11" t="s">
        <v>96</v>
      </c>
      <c r="BB1" s="11" t="s">
        <v>86</v>
      </c>
      <c r="BC1" s="12" t="s">
        <v>29</v>
      </c>
      <c r="BD1" s="12" t="s">
        <v>17</v>
      </c>
      <c r="BE1" s="11" t="s">
        <v>97</v>
      </c>
      <c r="BF1" s="11" t="s">
        <v>87</v>
      </c>
      <c r="BH1" s="13" t="s">
        <v>19</v>
      </c>
      <c r="BI1" s="13" t="s">
        <v>30</v>
      </c>
      <c r="BJ1" s="14" t="s">
        <v>20</v>
      </c>
      <c r="BK1" s="13" t="s">
        <v>88</v>
      </c>
      <c r="BL1" s="14" t="s">
        <v>21</v>
      </c>
      <c r="BM1" s="13" t="s">
        <v>89</v>
      </c>
      <c r="BN1" s="14" t="s">
        <v>22</v>
      </c>
      <c r="BO1" s="13" t="s">
        <v>90</v>
      </c>
      <c r="BP1" s="14" t="s">
        <v>23</v>
      </c>
      <c r="BQ1" s="13" t="s">
        <v>91</v>
      </c>
      <c r="BR1" s="14" t="s">
        <v>24</v>
      </c>
      <c r="BS1" s="13" t="s">
        <v>92</v>
      </c>
      <c r="BT1" s="14" t="s">
        <v>25</v>
      </c>
      <c r="BU1" s="13" t="s">
        <v>93</v>
      </c>
      <c r="BV1" s="14" t="s">
        <v>26</v>
      </c>
      <c r="BW1" s="13" t="s">
        <v>94</v>
      </c>
      <c r="BX1" s="14" t="s">
        <v>27</v>
      </c>
      <c r="BY1" s="13" t="s">
        <v>95</v>
      </c>
      <c r="BZ1" s="14" t="s">
        <v>28</v>
      </c>
      <c r="CA1" s="13" t="s">
        <v>96</v>
      </c>
      <c r="CB1" s="14" t="s">
        <v>29</v>
      </c>
      <c r="CC1" s="13" t="s">
        <v>97</v>
      </c>
      <c r="CD1" s="14" t="s">
        <v>3</v>
      </c>
      <c r="CE1" s="13" t="s">
        <v>6</v>
      </c>
    </row>
    <row r="2" spans="1:83" x14ac:dyDescent="0.25">
      <c r="A2" s="15">
        <v>43980</v>
      </c>
      <c r="B2" s="16">
        <v>259.85000000000002</v>
      </c>
      <c r="C2" s="16">
        <v>-9.0760019829920126E-3</v>
      </c>
      <c r="D2" s="17">
        <v>-0.24457772169262171</v>
      </c>
      <c r="F2" s="16">
        <v>-1.0005772561094775E-3</v>
      </c>
      <c r="G2" s="16">
        <v>-9.0760019829920126E-3</v>
      </c>
      <c r="H2" s="16">
        <v>-9.0318192124555444E-3</v>
      </c>
      <c r="I2" s="17">
        <v>-0.24457772169262171</v>
      </c>
      <c r="J2" s="17">
        <v>29.423000200000001</v>
      </c>
      <c r="K2" s="16">
        <v>45.214509014035059</v>
      </c>
      <c r="L2" s="17">
        <v>-15.791508814035058</v>
      </c>
      <c r="M2" s="17">
        <v>-0.24457772169262171</v>
      </c>
      <c r="N2" s="16" t="b">
        <v>1</v>
      </c>
      <c r="O2" s="16" t="b">
        <v>1</v>
      </c>
      <c r="P2" s="17">
        <v>-6.7721571688512602E-2</v>
      </c>
      <c r="Q2" s="16">
        <v>3.862251247825649</v>
      </c>
      <c r="R2" s="17">
        <v>-0.85012212926853625</v>
      </c>
      <c r="S2" s="17">
        <v>-4.0665114527942831E-2</v>
      </c>
      <c r="T2" s="17">
        <v>-1.6831778097426366E-3</v>
      </c>
      <c r="U2" s="16">
        <v>0.64216351449175435</v>
      </c>
      <c r="V2" s="16">
        <v>2.6579917218139071E-2</v>
      </c>
      <c r="W2" s="17">
        <v>-3.9796701988386524E-3</v>
      </c>
      <c r="X2" s="17">
        <v>-4.8347977428148174E-4</v>
      </c>
      <c r="Y2" s="16">
        <v>6.2844997021913235E-2</v>
      </c>
      <c r="Z2" s="16">
        <v>7.6348751169736991E-3</v>
      </c>
      <c r="AA2" s="17">
        <v>-3.9797236618121191E-3</v>
      </c>
      <c r="AB2" s="17">
        <v>-2.675892021827254E-3</v>
      </c>
      <c r="AC2" s="16">
        <v>6.2845841282929957E-2</v>
      </c>
      <c r="AD2" s="16">
        <v>4.2256372448091176E-2</v>
      </c>
      <c r="AE2" s="17">
        <v>-3.9798217536506728E-3</v>
      </c>
      <c r="AF2" s="17">
        <v>-2.3405861609551936E-3</v>
      </c>
      <c r="AG2" s="16">
        <v>6.2847390301063066E-2</v>
      </c>
      <c r="AH2" s="16">
        <v>3.6961386990732419E-2</v>
      </c>
      <c r="AI2" s="17">
        <v>-7.955194694050792E-2</v>
      </c>
      <c r="AJ2" s="17">
        <v>-6.2882420154539284E-3</v>
      </c>
      <c r="AK2" s="16">
        <v>1.2562452712846801</v>
      </c>
      <c r="AL2" s="16">
        <v>9.9300829211826286E-2</v>
      </c>
      <c r="AM2" s="17">
        <v>-3.8919147226137089E-2</v>
      </c>
      <c r="AN2" s="17">
        <v>-6.3397233158746487E-3</v>
      </c>
      <c r="AO2" s="16">
        <v>0.61459205645627191</v>
      </c>
      <c r="AP2" s="16">
        <v>0.10011379662117809</v>
      </c>
      <c r="AQ2" s="17">
        <v>-3.794859758094106E-2</v>
      </c>
      <c r="AR2" s="17">
        <v>-1.0995213328620782E-2</v>
      </c>
      <c r="AS2" s="16">
        <v>0.59926561317970028</v>
      </c>
      <c r="AT2" s="16">
        <v>0.17363100819111082</v>
      </c>
      <c r="AU2" s="17">
        <v>-2.7594732918593681E-2</v>
      </c>
      <c r="AV2" s="17">
        <v>-1.8403209256075696E-2</v>
      </c>
      <c r="AW2" s="16">
        <v>0.43576246810491548</v>
      </c>
      <c r="AX2" s="16">
        <v>0.29061444117385093</v>
      </c>
      <c r="AY2" s="17">
        <v>-3.9793148523069597E-3</v>
      </c>
      <c r="AZ2" s="17">
        <v>-1.3136615279900534E-2</v>
      </c>
      <c r="BA2" s="16">
        <v>6.2839385564025976E-2</v>
      </c>
      <c r="BB2" s="16">
        <v>0.20744697597913692</v>
      </c>
      <c r="BC2" s="17">
        <v>-3.9796520318904297E-3</v>
      </c>
      <c r="BD2" s="17">
        <v>-5.3754327257803909E-3</v>
      </c>
      <c r="BE2" s="16">
        <v>6.2844710138390256E-2</v>
      </c>
      <c r="BF2" s="16">
        <v>8.488619326841354E-2</v>
      </c>
      <c r="BH2" s="19">
        <v>-0.24457772169262171</v>
      </c>
      <c r="BI2" s="18">
        <v>3.862251247825649</v>
      </c>
      <c r="BJ2" s="19">
        <v>-4.0665114527942831E-2</v>
      </c>
      <c r="BK2" s="18">
        <v>0.64216351449175435</v>
      </c>
      <c r="BL2" s="19">
        <v>-3.9796701988386524E-3</v>
      </c>
      <c r="BM2" s="18">
        <v>6.2844997021913235E-2</v>
      </c>
      <c r="BN2" s="19">
        <v>-3.9797236618121191E-3</v>
      </c>
      <c r="BO2" s="18">
        <v>6.2845841282929957E-2</v>
      </c>
      <c r="BP2" s="19">
        <v>-3.9798217536506728E-3</v>
      </c>
      <c r="BQ2" s="18">
        <v>6.2847390301063066E-2</v>
      </c>
      <c r="BR2" s="19">
        <v>-7.955194694050792E-2</v>
      </c>
      <c r="BS2" s="18">
        <v>1.2562452712846801</v>
      </c>
      <c r="BT2" s="19">
        <v>-3.8919147226137089E-2</v>
      </c>
      <c r="BU2" s="18">
        <v>0.61459205645627191</v>
      </c>
      <c r="BV2" s="19">
        <v>-3.794859758094106E-2</v>
      </c>
      <c r="BW2" s="18">
        <v>0.59926561317970028</v>
      </c>
      <c r="BX2" s="19">
        <v>-2.7594732918593681E-2</v>
      </c>
      <c r="BY2" s="18">
        <v>0.43576246810491548</v>
      </c>
      <c r="BZ2" s="19">
        <v>-3.9793148523069597E-3</v>
      </c>
      <c r="CA2" s="18">
        <v>6.2839385564025976E-2</v>
      </c>
      <c r="CB2" s="19">
        <v>-3.9796520318904297E-3</v>
      </c>
      <c r="CC2" s="18">
        <v>6.2844710138390256E-2</v>
      </c>
      <c r="CD2" s="19">
        <v>29.423000200000001</v>
      </c>
      <c r="CE2" s="18" t="b">
        <v>1</v>
      </c>
    </row>
    <row r="3" spans="1:83" x14ac:dyDescent="0.25">
      <c r="A3" s="15">
        <v>43979</v>
      </c>
      <c r="B3" s="16">
        <v>262.23</v>
      </c>
      <c r="C3" s="16">
        <v>-9.0318192124555444E-3</v>
      </c>
      <c r="D3" s="17">
        <v>6.2640197575092316E-3</v>
      </c>
      <c r="F3" s="16">
        <v>-9.0760019829920126E-3</v>
      </c>
      <c r="G3" s="16">
        <v>-9.0318192124555444E-3</v>
      </c>
      <c r="H3" s="16">
        <v>-3.4271080480547142E-3</v>
      </c>
      <c r="I3" s="17">
        <v>6.2640197575092316E-3</v>
      </c>
      <c r="J3" s="17">
        <v>30.092000099999996</v>
      </c>
      <c r="K3" s="16">
        <v>45.214509014035059</v>
      </c>
      <c r="L3" s="17">
        <v>-15.122508914035063</v>
      </c>
      <c r="M3" s="17">
        <v>6.2640197575092316E-3</v>
      </c>
      <c r="N3" s="16" t="b">
        <v>1</v>
      </c>
      <c r="O3" s="16" t="b">
        <v>1</v>
      </c>
      <c r="P3" s="17">
        <v>-0.24457772169262171</v>
      </c>
      <c r="Q3" s="16">
        <v>-9.4727694620625108E-2</v>
      </c>
      <c r="R3" s="16">
        <v>3.6986287764710584</v>
      </c>
      <c r="S3" s="17">
        <v>1.3925055326792781E-4</v>
      </c>
      <c r="T3" s="17">
        <v>-4.0665114527942831E-2</v>
      </c>
      <c r="U3" s="16">
        <v>-2.1058177330785526E-3</v>
      </c>
      <c r="V3" s="16">
        <v>0.6149585569390722</v>
      </c>
      <c r="W3" s="17">
        <v>1.3920669668449529E-4</v>
      </c>
      <c r="X3" s="17">
        <v>-3.9796701988386524E-3</v>
      </c>
      <c r="Y3" s="16">
        <v>-2.1051545115046552E-3</v>
      </c>
      <c r="Z3" s="16">
        <v>6.018259805685721E-2</v>
      </c>
      <c r="AA3" s="17">
        <v>1.3922479831146258E-4</v>
      </c>
      <c r="AB3" s="17">
        <v>-3.9797236618121191E-3</v>
      </c>
      <c r="AC3" s="16">
        <v>-2.1054282535198266E-3</v>
      </c>
      <c r="AD3" s="16">
        <v>6.018340655115003E-2</v>
      </c>
      <c r="AE3" s="17">
        <v>1.3921647057884599E-4</v>
      </c>
      <c r="AF3" s="17">
        <v>-3.9798217536506728E-3</v>
      </c>
      <c r="AG3" s="16">
        <v>-2.1053023173090986E-3</v>
      </c>
      <c r="AH3" s="16">
        <v>6.0184889945852957E-2</v>
      </c>
      <c r="AI3" s="17">
        <v>1.8791543484551196E-3</v>
      </c>
      <c r="AJ3" s="17">
        <v>-7.955194694050792E-2</v>
      </c>
      <c r="AK3" s="16">
        <v>-2.8417528385360297E-2</v>
      </c>
      <c r="AL3" s="16">
        <v>1.2030250267366753</v>
      </c>
      <c r="AM3" s="17">
        <v>1.3922239934180766E-4</v>
      </c>
      <c r="AN3" s="17">
        <v>-3.8919147226137089E-2</v>
      </c>
      <c r="AO3" s="16">
        <v>-2.1053919750798357E-3</v>
      </c>
      <c r="AP3" s="16">
        <v>0.58855515085390109</v>
      </c>
      <c r="AQ3" s="17">
        <v>1.3921325823791918E-4</v>
      </c>
      <c r="AR3" s="17">
        <v>-3.794859758094106E-2</v>
      </c>
      <c r="AS3" s="16">
        <v>-2.105253738654798E-3</v>
      </c>
      <c r="AT3" s="16">
        <v>0.57387800519291055</v>
      </c>
      <c r="AU3" s="17">
        <v>1.8791680861907644E-3</v>
      </c>
      <c r="AV3" s="17">
        <v>-2.7594732918593681E-2</v>
      </c>
      <c r="AW3" s="16">
        <v>-2.8417736134390043E-2</v>
      </c>
      <c r="AX3" s="16">
        <v>0.41730159454184973</v>
      </c>
      <c r="AY3" s="17">
        <v>1.5311548504140444E-3</v>
      </c>
      <c r="AZ3" s="17">
        <v>-3.9793148523069597E-3</v>
      </c>
      <c r="BA3" s="16">
        <v>-2.315490287415441E-2</v>
      </c>
      <c r="BB3" s="16">
        <v>6.0177224325764118E-2</v>
      </c>
      <c r="BC3" s="17">
        <v>1.3920829602683825E-4</v>
      </c>
      <c r="BD3" s="17">
        <v>-3.9796520318904297E-3</v>
      </c>
      <c r="BE3" s="16">
        <v>-2.1051786975734934E-3</v>
      </c>
      <c r="BF3" s="16">
        <v>6.0182323327020774E-2</v>
      </c>
      <c r="BH3" s="19">
        <v>6.2640197575092316E-3</v>
      </c>
      <c r="BI3" s="18">
        <v>-9.4727694620625108E-2</v>
      </c>
      <c r="BJ3" s="19">
        <v>1.3925055326792781E-4</v>
      </c>
      <c r="BK3" s="18">
        <v>-2.1058177330785526E-3</v>
      </c>
      <c r="BL3" s="19">
        <v>1.3920669668449529E-4</v>
      </c>
      <c r="BM3" s="18">
        <v>-2.1051545115046552E-3</v>
      </c>
      <c r="BN3" s="19">
        <v>1.3922479831146258E-4</v>
      </c>
      <c r="BO3" s="18">
        <v>-2.1054282535198266E-3</v>
      </c>
      <c r="BP3" s="19">
        <v>1.3921647057884599E-4</v>
      </c>
      <c r="BQ3" s="18">
        <v>-2.1053023173090986E-3</v>
      </c>
      <c r="BR3" s="19">
        <v>1.8791543484551196E-3</v>
      </c>
      <c r="BS3" s="18">
        <v>-2.8417528385360297E-2</v>
      </c>
      <c r="BT3" s="19">
        <v>1.3922239934180766E-4</v>
      </c>
      <c r="BU3" s="18">
        <v>-2.1053919750798357E-3</v>
      </c>
      <c r="BV3" s="19">
        <v>1.3921325823791918E-4</v>
      </c>
      <c r="BW3" s="18">
        <v>-2.105253738654798E-3</v>
      </c>
      <c r="BX3" s="19">
        <v>1.8791680861907644E-3</v>
      </c>
      <c r="BY3" s="18">
        <v>-2.8417736134390043E-2</v>
      </c>
      <c r="BZ3" s="19">
        <v>1.5311548504140444E-3</v>
      </c>
      <c r="CA3" s="18">
        <v>-2.315490287415441E-2</v>
      </c>
      <c r="CB3" s="19">
        <v>1.3920829602683825E-4</v>
      </c>
      <c r="CC3" s="18">
        <v>-2.1051786975734934E-3</v>
      </c>
      <c r="CD3" s="19">
        <v>30.092000099999996</v>
      </c>
      <c r="CE3" s="18" t="b">
        <v>1</v>
      </c>
    </row>
    <row r="4" spans="1:83" x14ac:dyDescent="0.25">
      <c r="A4" s="15">
        <v>43978</v>
      </c>
      <c r="B4" s="16">
        <v>264.62</v>
      </c>
      <c r="C4" s="16">
        <v>-3.4271080480547142E-3</v>
      </c>
      <c r="D4" s="17">
        <v>-0.23609326717754206</v>
      </c>
      <c r="F4" s="16">
        <v>-9.0318192124555444E-3</v>
      </c>
      <c r="G4" s="16">
        <v>-3.4271080480547142E-3</v>
      </c>
      <c r="H4" s="16">
        <v>1.7356321839080355E-2</v>
      </c>
      <c r="I4" s="17">
        <v>-0.23609326717754206</v>
      </c>
      <c r="J4" s="17">
        <v>30.634000099999998</v>
      </c>
      <c r="K4" s="16">
        <v>45.214509014035059</v>
      </c>
      <c r="L4" s="17">
        <v>-14.580508914035061</v>
      </c>
      <c r="M4" s="17">
        <v>-0.23609326717754206</v>
      </c>
      <c r="N4" s="16" t="b">
        <v>1</v>
      </c>
      <c r="O4" s="16" t="b">
        <v>1</v>
      </c>
      <c r="P4" s="17">
        <v>6.2640197575092316E-3</v>
      </c>
      <c r="Q4" s="16">
        <v>3.4423599866258132</v>
      </c>
      <c r="R4" s="16">
        <v>-9.1332595912055087E-2</v>
      </c>
      <c r="S4" s="17">
        <v>-3.5602666505929132E-3</v>
      </c>
      <c r="T4" s="17">
        <v>1.3925055326792781E-4</v>
      </c>
      <c r="U4" s="16">
        <v>5.1910499635311719E-2</v>
      </c>
      <c r="V4" s="16">
        <v>-2.0303439332073356E-3</v>
      </c>
      <c r="W4" s="17">
        <v>-3.5609529572036467E-3</v>
      </c>
      <c r="X4" s="17">
        <v>1.3920669668449529E-4</v>
      </c>
      <c r="Y4" s="16">
        <v>5.1920506334967281E-2</v>
      </c>
      <c r="Z4" s="16">
        <v>-2.0297044819016586E-3</v>
      </c>
      <c r="AA4" s="17">
        <v>-3.5611298229558694E-3</v>
      </c>
      <c r="AB4" s="17">
        <v>1.3922479831146258E-4</v>
      </c>
      <c r="AC4" s="16">
        <v>5.1923085127644153E-2</v>
      </c>
      <c r="AD4" s="16">
        <v>-2.0299684128350136E-3</v>
      </c>
      <c r="AE4" s="17">
        <v>-3.5606154811124438E-3</v>
      </c>
      <c r="AF4" s="17">
        <v>1.3921647057884599E-4</v>
      </c>
      <c r="AG4" s="16">
        <v>5.1915585761811225E-2</v>
      </c>
      <c r="AH4" s="16">
        <v>-2.0298469902553639E-3</v>
      </c>
      <c r="AI4" s="17">
        <v>-7.1014121345705353E-2</v>
      </c>
      <c r="AJ4" s="17">
        <v>1.8791543484551196E-3</v>
      </c>
      <c r="AK4" s="16">
        <v>1.0354220293034244</v>
      </c>
      <c r="AL4" s="16">
        <v>-2.739902672849762E-2</v>
      </c>
      <c r="AM4" s="17">
        <v>-3.5611198346530977E-3</v>
      </c>
      <c r="AN4" s="17">
        <v>1.3922239934180766E-4</v>
      </c>
      <c r="AO4" s="16">
        <v>5.192293949310655E-2</v>
      </c>
      <c r="AP4" s="16">
        <v>-2.0299334346365757E-3</v>
      </c>
      <c r="AQ4" s="17">
        <v>-6.9139850899143054E-2</v>
      </c>
      <c r="AR4" s="17">
        <v>1.3921325823791918E-4</v>
      </c>
      <c r="AS4" s="16">
        <v>1.0080942123500103</v>
      </c>
      <c r="AT4" s="16">
        <v>-2.0298001526898456E-3</v>
      </c>
      <c r="AU4" s="17">
        <v>-7.1014753252992016E-2</v>
      </c>
      <c r="AV4" s="17">
        <v>1.8791680861907644E-3</v>
      </c>
      <c r="AW4" s="16">
        <v>1.0354312428332504</v>
      </c>
      <c r="AX4" s="16">
        <v>-2.7399227031674647E-2</v>
      </c>
      <c r="AY4" s="17">
        <v>-3.5602382730395791E-3</v>
      </c>
      <c r="AZ4" s="17">
        <v>1.5311548504140444E-3</v>
      </c>
      <c r="BA4" s="16">
        <v>5.1910085876142376E-2</v>
      </c>
      <c r="BB4" s="16">
        <v>-2.2325016945229995E-2</v>
      </c>
      <c r="BC4" s="17">
        <v>-3.5602186601439139E-3</v>
      </c>
      <c r="BD4" s="17">
        <v>1.3920829602683825E-4</v>
      </c>
      <c r="BE4" s="16">
        <v>5.1909799910142301E-2</v>
      </c>
      <c r="BF4" s="16">
        <v>-2.0297278011269467E-3</v>
      </c>
      <c r="BH4" s="19">
        <v>-0.23609326717754206</v>
      </c>
      <c r="BI4" s="18">
        <v>3.4423599866258132</v>
      </c>
      <c r="BJ4" s="19">
        <v>-3.5602666505929132E-3</v>
      </c>
      <c r="BK4" s="18">
        <v>5.1910499635311719E-2</v>
      </c>
      <c r="BL4" s="19">
        <v>-3.5609529572036467E-3</v>
      </c>
      <c r="BM4" s="18">
        <v>5.1920506334967281E-2</v>
      </c>
      <c r="BN4" s="19">
        <v>-3.5611298229558694E-3</v>
      </c>
      <c r="BO4" s="18">
        <v>5.1923085127644153E-2</v>
      </c>
      <c r="BP4" s="19">
        <v>-3.5606154811124438E-3</v>
      </c>
      <c r="BQ4" s="18">
        <v>5.1915585761811225E-2</v>
      </c>
      <c r="BR4" s="19">
        <v>-7.1014121345705353E-2</v>
      </c>
      <c r="BS4" s="18">
        <v>1.0354220293034244</v>
      </c>
      <c r="BT4" s="19">
        <v>-3.5611198346530977E-3</v>
      </c>
      <c r="BU4" s="18">
        <v>5.192293949310655E-2</v>
      </c>
      <c r="BV4" s="19">
        <v>-6.9139850899143054E-2</v>
      </c>
      <c r="BW4" s="18">
        <v>1.0080942123500103</v>
      </c>
      <c r="BX4" s="19">
        <v>-7.1014753252992016E-2</v>
      </c>
      <c r="BY4" s="18">
        <v>1.0354312428332504</v>
      </c>
      <c r="BZ4" s="19">
        <v>-3.5602382730395791E-3</v>
      </c>
      <c r="CA4" s="18">
        <v>5.1910085876142376E-2</v>
      </c>
      <c r="CB4" s="19">
        <v>-3.5602186601439139E-3</v>
      </c>
      <c r="CC4" s="18">
        <v>5.1909799910142301E-2</v>
      </c>
      <c r="CD4" s="19">
        <v>30.634000099999998</v>
      </c>
      <c r="CE4" s="18" t="b">
        <v>1</v>
      </c>
    </row>
    <row r="5" spans="1:83" x14ac:dyDescent="0.25">
      <c r="A5" s="15">
        <v>43977</v>
      </c>
      <c r="B5" s="16">
        <v>265.52999999999997</v>
      </c>
      <c r="C5" s="16">
        <v>1.7356321839080355E-2</v>
      </c>
      <c r="D5" s="17">
        <v>0.13119693499590671</v>
      </c>
      <c r="F5" s="16">
        <v>-3.4271080480547142E-3</v>
      </c>
      <c r="G5" s="16">
        <v>1.7356321839080355E-2</v>
      </c>
      <c r="H5" s="16">
        <v>2.9382764740682264E-2</v>
      </c>
      <c r="I5" s="17">
        <v>0.13119693499590671</v>
      </c>
      <c r="J5" s="17">
        <v>30.590000099999997</v>
      </c>
      <c r="K5" s="16">
        <v>45.214509014035059</v>
      </c>
      <c r="L5" s="17">
        <v>-14.624508914035061</v>
      </c>
      <c r="M5" s="17">
        <v>0.13119693499590671</v>
      </c>
      <c r="N5" s="16" t="b">
        <v>1</v>
      </c>
      <c r="O5" s="16" t="b">
        <v>1</v>
      </c>
      <c r="P5" s="17">
        <v>-0.23609326717754206</v>
      </c>
      <c r="Q5" s="16">
        <v>-1.9186907453417161</v>
      </c>
      <c r="R5" s="16">
        <v>3.4527480903816254</v>
      </c>
      <c r="S5" s="17">
        <v>2.2716123014224466E-3</v>
      </c>
      <c r="T5" s="17">
        <v>-3.5602666505929132E-3</v>
      </c>
      <c r="U5" s="16">
        <v>-3.3221214351384268E-2</v>
      </c>
      <c r="V5" s="16">
        <v>5.2067151367937811E-2</v>
      </c>
      <c r="W5" s="17">
        <v>2.2717113236016386E-3</v>
      </c>
      <c r="X5" s="17">
        <v>-3.5609529572036467E-3</v>
      </c>
      <c r="Y5" s="16">
        <v>-3.3222662502126549E-2</v>
      </c>
      <c r="Z5" s="16">
        <v>5.2077188265084243E-2</v>
      </c>
      <c r="AA5" s="17">
        <v>2.2715899837558381E-3</v>
      </c>
      <c r="AB5" s="17">
        <v>-3.5611298229558694E-3</v>
      </c>
      <c r="AC5" s="16">
        <v>-3.3220887966470013E-2</v>
      </c>
      <c r="AD5" s="16">
        <v>5.2079774839854209E-2</v>
      </c>
      <c r="AE5" s="17">
        <v>1.8336339409687766E-2</v>
      </c>
      <c r="AF5" s="17">
        <v>-3.5606154811124438E-3</v>
      </c>
      <c r="AG5" s="16">
        <v>-0.26815995914775115</v>
      </c>
      <c r="AH5" s="16">
        <v>5.2072252842980171E-2</v>
      </c>
      <c r="AI5" s="17">
        <v>2.2719340723243277E-3</v>
      </c>
      <c r="AJ5" s="17">
        <v>-7.1014121345705353E-2</v>
      </c>
      <c r="AK5" s="16">
        <v>-3.3225920092807108E-2</v>
      </c>
      <c r="AL5" s="16">
        <v>1.0385466506426355</v>
      </c>
      <c r="AM5" s="17">
        <v>1.7890036048415457E-2</v>
      </c>
      <c r="AN5" s="17">
        <v>-3.5611198346530977E-3</v>
      </c>
      <c r="AO5" s="16">
        <v>-0.26163299166246046</v>
      </c>
      <c r="AP5" s="16">
        <v>5.207962876583129E-2</v>
      </c>
      <c r="AQ5" s="17">
        <v>1.7890084463399868E-2</v>
      </c>
      <c r="AR5" s="17">
        <v>-6.9139850899143054E-2</v>
      </c>
      <c r="AS5" s="16">
        <v>-0.26163369970783151</v>
      </c>
      <c r="AT5" s="16">
        <v>1.0111363657895727</v>
      </c>
      <c r="AU5" s="17">
        <v>6.0613439519532374E-2</v>
      </c>
      <c r="AV5" s="17">
        <v>-7.1014753252992016E-2</v>
      </c>
      <c r="AW5" s="16">
        <v>-0.8864417865637263</v>
      </c>
      <c r="AX5" s="16">
        <v>1.0385558919763822</v>
      </c>
      <c r="AY5" s="17">
        <v>2.2715361108688798E-3</v>
      </c>
      <c r="AZ5" s="17">
        <v>-3.5602382730395791E-3</v>
      </c>
      <c r="BA5" s="16">
        <v>-3.3220100101954468E-2</v>
      </c>
      <c r="BB5" s="16">
        <v>5.2066736360156116E-2</v>
      </c>
      <c r="BC5" s="17">
        <v>5.1086517628979589E-3</v>
      </c>
      <c r="BD5" s="17">
        <v>-3.5602186601439139E-3</v>
      </c>
      <c r="BE5" s="16">
        <v>-7.4711523245202124E-2</v>
      </c>
      <c r="BF5" s="16">
        <v>5.2066449531188629E-2</v>
      </c>
      <c r="BH5" s="19">
        <v>0.13119693499590671</v>
      </c>
      <c r="BI5" s="18">
        <v>-1.9186907453417161</v>
      </c>
      <c r="BJ5" s="19">
        <v>2.2716123014224466E-3</v>
      </c>
      <c r="BK5" s="18">
        <v>-3.3221214351384268E-2</v>
      </c>
      <c r="BL5" s="19">
        <v>2.2717113236016386E-3</v>
      </c>
      <c r="BM5" s="18">
        <v>-3.3222662502126549E-2</v>
      </c>
      <c r="BN5" s="19">
        <v>2.2715899837558381E-3</v>
      </c>
      <c r="BO5" s="18">
        <v>-3.3220887966470013E-2</v>
      </c>
      <c r="BP5" s="19">
        <v>1.8336339409687766E-2</v>
      </c>
      <c r="BQ5" s="18">
        <v>-0.26815995914775115</v>
      </c>
      <c r="BR5" s="19">
        <v>2.2719340723243277E-3</v>
      </c>
      <c r="BS5" s="18">
        <v>-3.3225920092807108E-2</v>
      </c>
      <c r="BT5" s="19">
        <v>1.7890036048415457E-2</v>
      </c>
      <c r="BU5" s="18">
        <v>-0.26163299166246046</v>
      </c>
      <c r="BV5" s="19">
        <v>1.7890084463399868E-2</v>
      </c>
      <c r="BW5" s="18">
        <v>-0.26163369970783151</v>
      </c>
      <c r="BX5" s="19">
        <v>6.0613439519532374E-2</v>
      </c>
      <c r="BY5" s="18">
        <v>-0.8864417865637263</v>
      </c>
      <c r="BZ5" s="19">
        <v>2.2715361108688798E-3</v>
      </c>
      <c r="CA5" s="18">
        <v>-3.3220100101954468E-2</v>
      </c>
      <c r="CB5" s="19">
        <v>5.1086517628979589E-3</v>
      </c>
      <c r="CC5" s="18">
        <v>-7.4711523245202124E-2</v>
      </c>
      <c r="CD5" s="19">
        <v>30.590000099999997</v>
      </c>
      <c r="CE5" s="18" t="b">
        <v>1</v>
      </c>
    </row>
    <row r="6" spans="1:83" x14ac:dyDescent="0.25">
      <c r="A6" s="15">
        <v>43976</v>
      </c>
      <c r="B6" s="16">
        <v>261</v>
      </c>
      <c r="C6" s="16">
        <v>2.9382764740682264E-2</v>
      </c>
      <c r="D6" s="17">
        <v>-0.66873623467981813</v>
      </c>
      <c r="F6" s="16">
        <v>1.7356321839080355E-2</v>
      </c>
      <c r="G6" s="16">
        <v>2.9382764740682264E-2</v>
      </c>
      <c r="H6" s="16">
        <v>-2.7924172107290945E-3</v>
      </c>
      <c r="I6" s="17">
        <v>-0.66873623467981813</v>
      </c>
      <c r="J6" s="17">
        <v>30.581000099999997</v>
      </c>
      <c r="K6" s="16">
        <v>45.214509014035059</v>
      </c>
      <c r="L6" s="17">
        <v>-14.633508914035062</v>
      </c>
      <c r="M6" s="17">
        <v>-0.66873623467981813</v>
      </c>
      <c r="N6" s="16" t="b">
        <v>1</v>
      </c>
      <c r="O6" s="16" t="b">
        <v>1</v>
      </c>
      <c r="P6" s="17">
        <v>0.13119693499590671</v>
      </c>
      <c r="Q6" s="16">
        <v>9.7859576513253614</v>
      </c>
      <c r="R6" s="16">
        <v>-1.9198715177566794</v>
      </c>
      <c r="S6" s="17">
        <v>-1.1965291788171723E-2</v>
      </c>
      <c r="T6" s="17">
        <v>2.2716123014224466E-3</v>
      </c>
      <c r="U6" s="16">
        <v>0.17509420404124143</v>
      </c>
      <c r="V6" s="16">
        <v>-3.3241658862097075E-2</v>
      </c>
      <c r="W6" s="17">
        <v>-1.1963390519316018E-2</v>
      </c>
      <c r="X6" s="17">
        <v>2.2717113236016386E-3</v>
      </c>
      <c r="Y6" s="16">
        <v>0.1750663818064935</v>
      </c>
      <c r="Z6" s="16">
        <v>-3.324310790403897E-2</v>
      </c>
      <c r="AA6" s="17">
        <v>-1.1966886213536851E-2</v>
      </c>
      <c r="AB6" s="17">
        <v>2.2715899837558381E-3</v>
      </c>
      <c r="AC6" s="16">
        <v>0.1751175360790348</v>
      </c>
      <c r="AD6" s="16">
        <v>-3.3241332276323816E-2</v>
      </c>
      <c r="AE6" s="17">
        <v>-1.1964713310661899E-2</v>
      </c>
      <c r="AF6" s="17">
        <v>1.8336339409687766E-2</v>
      </c>
      <c r="AG6" s="16">
        <v>0.17508573888544485</v>
      </c>
      <c r="AH6" s="16">
        <v>-0.26832498620243833</v>
      </c>
      <c r="AI6" s="17">
        <v>-1.1964590791802263E-2</v>
      </c>
      <c r="AJ6" s="17">
        <v>2.2719340723243277E-3</v>
      </c>
      <c r="AK6" s="16">
        <v>0.17508394600462024</v>
      </c>
      <c r="AL6" s="16">
        <v>-3.3246367499458029E-2</v>
      </c>
      <c r="AM6" s="17">
        <v>-0.14429406955611179</v>
      </c>
      <c r="AN6" s="17">
        <v>1.7890036048415457E-2</v>
      </c>
      <c r="AO6" s="16">
        <v>2.1115285530917571</v>
      </c>
      <c r="AP6" s="16">
        <v>-0.26179400198689617</v>
      </c>
      <c r="AQ6" s="17">
        <v>-1.196396563690969E-2</v>
      </c>
      <c r="AR6" s="17">
        <v>1.7890084463399868E-2</v>
      </c>
      <c r="AS6" s="16">
        <v>0.1750747977949271</v>
      </c>
      <c r="AT6" s="16">
        <v>-0.26179471046800212</v>
      </c>
      <c r="AU6" s="17">
        <v>-0.22142565327130143</v>
      </c>
      <c r="AV6" s="17">
        <v>6.0613439519532374E-2</v>
      </c>
      <c r="AW6" s="16">
        <v>3.2402342709416261</v>
      </c>
      <c r="AX6" s="16">
        <v>-0.88698730751940214</v>
      </c>
      <c r="AY6" s="17">
        <v>-0.21926329805601888</v>
      </c>
      <c r="AZ6" s="17">
        <v>2.2715361108688798E-3</v>
      </c>
      <c r="BA6" s="16">
        <v>3.208591426623479</v>
      </c>
      <c r="BB6" s="16">
        <v>-3.324054392695229E-2</v>
      </c>
      <c r="BC6" s="17">
        <v>-1.1964375535987065E-2</v>
      </c>
      <c r="BD6" s="17">
        <v>5.1086517628979589E-3</v>
      </c>
      <c r="BE6" s="16">
        <v>0.17508079605672974</v>
      </c>
      <c r="BF6" s="16">
        <v>-7.4757501111068214E-2</v>
      </c>
      <c r="BH6" s="19">
        <v>-0.66873623467981813</v>
      </c>
      <c r="BI6" s="18">
        <v>9.7859576513253614</v>
      </c>
      <c r="BJ6" s="19">
        <v>-1.1965291788171723E-2</v>
      </c>
      <c r="BK6" s="18">
        <v>0.17509420404124143</v>
      </c>
      <c r="BL6" s="19">
        <v>-1.1963390519316018E-2</v>
      </c>
      <c r="BM6" s="18">
        <v>0.1750663818064935</v>
      </c>
      <c r="BN6" s="19">
        <v>-1.1966886213536851E-2</v>
      </c>
      <c r="BO6" s="18">
        <v>0.1751175360790348</v>
      </c>
      <c r="BP6" s="19">
        <v>-1.1964713310661899E-2</v>
      </c>
      <c r="BQ6" s="18">
        <v>0.17508573888544485</v>
      </c>
      <c r="BR6" s="19">
        <v>-1.1964590791802263E-2</v>
      </c>
      <c r="BS6" s="18">
        <v>0.17508394600462024</v>
      </c>
      <c r="BT6" s="19">
        <v>-0.14429406955611179</v>
      </c>
      <c r="BU6" s="18">
        <v>2.1115285530917571</v>
      </c>
      <c r="BV6" s="19">
        <v>-1.196396563690969E-2</v>
      </c>
      <c r="BW6" s="18">
        <v>0.1750747977949271</v>
      </c>
      <c r="BX6" s="19">
        <v>-0.22142565327130143</v>
      </c>
      <c r="BY6" s="18">
        <v>3.2402342709416261</v>
      </c>
      <c r="BZ6" s="19">
        <v>-0.21926329805601888</v>
      </c>
      <c r="CA6" s="18">
        <v>3.208591426623479</v>
      </c>
      <c r="CB6" s="19">
        <v>-1.1964375535987065E-2</v>
      </c>
      <c r="CC6" s="18">
        <v>0.17508079605672974</v>
      </c>
      <c r="CD6" s="19">
        <v>30.581000099999997</v>
      </c>
      <c r="CE6" s="18" t="b">
        <v>1</v>
      </c>
    </row>
    <row r="7" spans="1:83" x14ac:dyDescent="0.25">
      <c r="A7" s="15">
        <v>43973</v>
      </c>
      <c r="B7" s="16">
        <v>253.55</v>
      </c>
      <c r="C7" s="16">
        <v>-2.7924172107290945E-3</v>
      </c>
      <c r="D7" s="17">
        <v>5.5399095018704735E-2</v>
      </c>
      <c r="F7" s="16">
        <v>2.9382764740682264E-2</v>
      </c>
      <c r="G7" s="16">
        <v>-2.7924172107290945E-3</v>
      </c>
      <c r="H7" s="16">
        <v>5.2981179819705975E-3</v>
      </c>
      <c r="I7" s="17">
        <v>5.5399095018704735E-2</v>
      </c>
      <c r="J7" s="17">
        <v>30.572000099999997</v>
      </c>
      <c r="K7" s="16">
        <v>45.214509014035059</v>
      </c>
      <c r="L7" s="17">
        <v>-14.642508914035062</v>
      </c>
      <c r="M7" s="17">
        <v>5.5399095018704735E-2</v>
      </c>
      <c r="N7" s="16" t="b">
        <v>1</v>
      </c>
      <c r="O7" s="16" t="b">
        <v>1</v>
      </c>
      <c r="P7" s="17">
        <v>-0.66873623467981813</v>
      </c>
      <c r="Q7" s="16">
        <v>-0.81118174264085952</v>
      </c>
      <c r="R7" s="16">
        <v>9.791976277437481</v>
      </c>
      <c r="S7" s="17">
        <v>7.422496670563565E-4</v>
      </c>
      <c r="T7" s="17">
        <v>-1.1965291788171723E-2</v>
      </c>
      <c r="U7" s="16">
        <v>-1.0868397366312257E-2</v>
      </c>
      <c r="V7" s="16">
        <v>0.17520189166733499</v>
      </c>
      <c r="W7" s="17">
        <v>7.4224151691076282E-4</v>
      </c>
      <c r="X7" s="17">
        <v>-1.1963390519316018E-2</v>
      </c>
      <c r="Y7" s="16">
        <v>-1.086827802773275E-2</v>
      </c>
      <c r="Z7" s="16">
        <v>0.17517405232116734</v>
      </c>
      <c r="AA7" s="17">
        <v>6.829273949933305E-3</v>
      </c>
      <c r="AB7" s="17">
        <v>-1.1966886213536851E-2</v>
      </c>
      <c r="AC7" s="16">
        <v>-9.9997704688285852E-2</v>
      </c>
      <c r="AD7" s="16">
        <v>0.17522523805495663</v>
      </c>
      <c r="AE7" s="17">
        <v>7.4224460685514359E-4</v>
      </c>
      <c r="AF7" s="17">
        <v>-1.1964713310661899E-2</v>
      </c>
      <c r="AG7" s="16">
        <v>-1.0868323272270891E-2</v>
      </c>
      <c r="AH7" s="16">
        <v>0.17519342130524082</v>
      </c>
      <c r="AI7" s="17">
        <v>7.4225155210289398E-4</v>
      </c>
      <c r="AJ7" s="17">
        <v>-1.1964590791802263E-2</v>
      </c>
      <c r="AK7" s="16">
        <v>-1.0868424968122986E-2</v>
      </c>
      <c r="AL7" s="16">
        <v>0.17519162732174645</v>
      </c>
      <c r="AM7" s="17">
        <v>7.4223890153826959E-4</v>
      </c>
      <c r="AN7" s="17">
        <v>-0.14429406955611179</v>
      </c>
      <c r="AO7" s="16">
        <v>-1.0868239732117705E-2</v>
      </c>
      <c r="AP7" s="16">
        <v>2.1128271997177621</v>
      </c>
      <c r="AQ7" s="17">
        <v>1.6900038817622122E-2</v>
      </c>
      <c r="AR7" s="17">
        <v>-1.196396563690969E-2</v>
      </c>
      <c r="AS7" s="16">
        <v>-0.24745896903457049</v>
      </c>
      <c r="AT7" s="16">
        <v>0.1751824734856593</v>
      </c>
      <c r="AU7" s="17">
        <v>1.7788015681860843E-2</v>
      </c>
      <c r="AV7" s="17">
        <v>-0.22142565327130143</v>
      </c>
      <c r="AW7" s="16">
        <v>-0.26046117818464287</v>
      </c>
      <c r="AX7" s="16">
        <v>3.2422271018210682</v>
      </c>
      <c r="AY7" s="17">
        <v>9.4282772560790821E-3</v>
      </c>
      <c r="AZ7" s="17">
        <v>-0.21926329805601888</v>
      </c>
      <c r="BA7" s="16">
        <v>-0.138053633766132</v>
      </c>
      <c r="BB7" s="16">
        <v>3.2105647963059831</v>
      </c>
      <c r="BC7" s="17">
        <v>7.4226306874589608E-4</v>
      </c>
      <c r="BD7" s="17">
        <v>-1.1964375535987065E-2</v>
      </c>
      <c r="BE7" s="16">
        <v>-1.0868593600670804E-2</v>
      </c>
      <c r="BF7" s="16">
        <v>0.17518847543655361</v>
      </c>
      <c r="BH7" s="19">
        <v>5.5399095018704735E-2</v>
      </c>
      <c r="BI7" s="18">
        <v>-0.81118174264085952</v>
      </c>
      <c r="BJ7" s="19">
        <v>7.422496670563565E-4</v>
      </c>
      <c r="BK7" s="18">
        <v>-1.0868397366312257E-2</v>
      </c>
      <c r="BL7" s="19">
        <v>7.4224151691076282E-4</v>
      </c>
      <c r="BM7" s="18">
        <v>-1.086827802773275E-2</v>
      </c>
      <c r="BN7" s="19">
        <v>6.829273949933305E-3</v>
      </c>
      <c r="BO7" s="18">
        <v>-9.9997704688285852E-2</v>
      </c>
      <c r="BP7" s="19">
        <v>7.4224460685514359E-4</v>
      </c>
      <c r="BQ7" s="18">
        <v>-1.0868323272270891E-2</v>
      </c>
      <c r="BR7" s="19">
        <v>7.4225155210289398E-4</v>
      </c>
      <c r="BS7" s="18">
        <v>-1.0868424968122986E-2</v>
      </c>
      <c r="BT7" s="19">
        <v>7.4223890153826959E-4</v>
      </c>
      <c r="BU7" s="18">
        <v>-1.0868239732117705E-2</v>
      </c>
      <c r="BV7" s="19">
        <v>1.6900038817622122E-2</v>
      </c>
      <c r="BW7" s="18">
        <v>-0.24745896903457049</v>
      </c>
      <c r="BX7" s="19">
        <v>1.7788015681860843E-2</v>
      </c>
      <c r="BY7" s="18">
        <v>-0.26046117818464287</v>
      </c>
      <c r="BZ7" s="19">
        <v>9.4282772560790821E-3</v>
      </c>
      <c r="CA7" s="18">
        <v>-0.138053633766132</v>
      </c>
      <c r="CB7" s="19">
        <v>7.4226306874589608E-4</v>
      </c>
      <c r="CC7" s="18">
        <v>-1.0868593600670804E-2</v>
      </c>
      <c r="CD7" s="19">
        <v>30.572000099999997</v>
      </c>
      <c r="CE7" s="18" t="b">
        <v>1</v>
      </c>
    </row>
    <row r="8" spans="1:83" x14ac:dyDescent="0.25">
      <c r="A8" s="15">
        <v>43972</v>
      </c>
      <c r="B8" s="16">
        <v>254.26</v>
      </c>
      <c r="C8" s="16">
        <v>5.2981179819705975E-3</v>
      </c>
      <c r="D8" s="17">
        <v>9.735283938546975E-2</v>
      </c>
      <c r="F8" s="16">
        <v>-2.7924172107290945E-3</v>
      </c>
      <c r="G8" s="16">
        <v>5.2981179819705975E-3</v>
      </c>
      <c r="H8" s="16">
        <v>2.8151143888029005E-3</v>
      </c>
      <c r="I8" s="17">
        <v>9.735283938546975E-2</v>
      </c>
      <c r="J8" s="17">
        <v>30.763000099999999</v>
      </c>
      <c r="K8" s="16">
        <v>45.214509014035059</v>
      </c>
      <c r="L8" s="17">
        <v>-14.45150891403506</v>
      </c>
      <c r="M8" s="17">
        <v>9.735283938546975E-2</v>
      </c>
      <c r="N8" s="16" t="b">
        <v>1</v>
      </c>
      <c r="O8" s="16" t="b">
        <v>1</v>
      </c>
      <c r="P8" s="17">
        <v>5.5399095018704735E-2</v>
      </c>
      <c r="Q8" s="16">
        <v>-1.4068954261857396</v>
      </c>
      <c r="R8" s="16">
        <v>-0.80060051549228672</v>
      </c>
      <c r="S8" s="17">
        <v>1.5144547309495519E-3</v>
      </c>
      <c r="T8" s="17">
        <v>7.422496670563565E-4</v>
      </c>
      <c r="U8" s="16">
        <v>-2.1886156044220017E-2</v>
      </c>
      <c r="V8" s="16">
        <v>-1.0726627679904491E-2</v>
      </c>
      <c r="W8" s="17">
        <v>1.5145366119592391E-3</v>
      </c>
      <c r="X8" s="17">
        <v>7.4224151691076282E-4</v>
      </c>
      <c r="Y8" s="16">
        <v>-2.1887339348361401E-2</v>
      </c>
      <c r="Z8" s="16">
        <v>-1.0726509898002794E-2</v>
      </c>
      <c r="AA8" s="17">
        <v>1.5145415361475247E-3</v>
      </c>
      <c r="AB8" s="17">
        <v>6.829273949933305E-3</v>
      </c>
      <c r="AC8" s="16">
        <v>-2.1887410510312306E-2</v>
      </c>
      <c r="AD8" s="16">
        <v>-9.8693313363848581E-2</v>
      </c>
      <c r="AE8" s="17">
        <v>1.5147639909597423E-3</v>
      </c>
      <c r="AF8" s="17">
        <v>7.4224460685514359E-4</v>
      </c>
      <c r="AG8" s="16">
        <v>-2.1890625318014039E-2</v>
      </c>
      <c r="AH8" s="16">
        <v>-1.0726554552361555E-2</v>
      </c>
      <c r="AI8" s="17">
        <v>9.5738014578356685E-3</v>
      </c>
      <c r="AJ8" s="17">
        <v>7.4225155210289398E-4</v>
      </c>
      <c r="AK8" s="16">
        <v>-0.13835587710911401</v>
      </c>
      <c r="AL8" s="16">
        <v>-1.0726654921671332E-2</v>
      </c>
      <c r="AM8" s="17">
        <v>1.514711407785909E-3</v>
      </c>
      <c r="AN8" s="17">
        <v>7.4223890153826959E-4</v>
      </c>
      <c r="AO8" s="16">
        <v>-2.1889865411808658E-2</v>
      </c>
      <c r="AP8" s="16">
        <v>-1.0726472101923894E-2</v>
      </c>
      <c r="AQ8" s="17">
        <v>1.5146466565282085E-3</v>
      </c>
      <c r="AR8" s="17">
        <v>1.6900038817622122E-2</v>
      </c>
      <c r="AS8" s="16">
        <v>-2.1888929658430804E-2</v>
      </c>
      <c r="AT8" s="16">
        <v>-0.24423106162040462</v>
      </c>
      <c r="AU8" s="17">
        <v>6.131797597706537E-2</v>
      </c>
      <c r="AV8" s="17">
        <v>1.7788015681860843E-2</v>
      </c>
      <c r="AW8" s="16">
        <v>-0.88613727642314788</v>
      </c>
      <c r="AX8" s="16">
        <v>-0.25706366718940737</v>
      </c>
      <c r="AY8" s="17">
        <v>1.5144979162469395E-3</v>
      </c>
      <c r="AZ8" s="17">
        <v>9.4282772560790821E-3</v>
      </c>
      <c r="BA8" s="16">
        <v>-2.188678013693017E-2</v>
      </c>
      <c r="BB8" s="16">
        <v>-0.13625283281022088</v>
      </c>
      <c r="BC8" s="17">
        <v>1.5858909099991488E-2</v>
      </c>
      <c r="BD8" s="17">
        <v>7.4226306874589608E-4</v>
      </c>
      <c r="BE8" s="16">
        <v>-0.22918516622539872</v>
      </c>
      <c r="BF8" s="16">
        <v>-1.0726821354540336E-2</v>
      </c>
      <c r="BH8" s="19">
        <v>9.735283938546975E-2</v>
      </c>
      <c r="BI8" s="18">
        <v>-1.4068954261857396</v>
      </c>
      <c r="BJ8" s="19">
        <v>1.5144547309495519E-3</v>
      </c>
      <c r="BK8" s="18">
        <v>-2.1886156044220017E-2</v>
      </c>
      <c r="BL8" s="19">
        <v>1.5145366119592391E-3</v>
      </c>
      <c r="BM8" s="18">
        <v>-2.1887339348361401E-2</v>
      </c>
      <c r="BN8" s="19">
        <v>1.5145415361475247E-3</v>
      </c>
      <c r="BO8" s="18">
        <v>-2.1887410510312306E-2</v>
      </c>
      <c r="BP8" s="19">
        <v>1.5147639909597423E-3</v>
      </c>
      <c r="BQ8" s="18">
        <v>-2.1890625318014039E-2</v>
      </c>
      <c r="BR8" s="19">
        <v>9.5738014578356685E-3</v>
      </c>
      <c r="BS8" s="18">
        <v>-0.13835587710911401</v>
      </c>
      <c r="BT8" s="19">
        <v>1.514711407785909E-3</v>
      </c>
      <c r="BU8" s="18">
        <v>-2.1889865411808658E-2</v>
      </c>
      <c r="BV8" s="19">
        <v>1.5146466565282085E-3</v>
      </c>
      <c r="BW8" s="18">
        <v>-2.1888929658430804E-2</v>
      </c>
      <c r="BX8" s="19">
        <v>6.131797597706537E-2</v>
      </c>
      <c r="BY8" s="18">
        <v>-0.88613727642314788</v>
      </c>
      <c r="BZ8" s="19">
        <v>1.5144979162469395E-3</v>
      </c>
      <c r="CA8" s="18">
        <v>-2.188678013693017E-2</v>
      </c>
      <c r="CB8" s="19">
        <v>1.5858909099991488E-2</v>
      </c>
      <c r="CC8" s="18">
        <v>-0.22918516622539872</v>
      </c>
      <c r="CD8" s="19">
        <v>30.763000099999999</v>
      </c>
      <c r="CE8" s="18" t="b">
        <v>1</v>
      </c>
    </row>
    <row r="9" spans="1:83" x14ac:dyDescent="0.25">
      <c r="A9" s="15">
        <v>43971</v>
      </c>
      <c r="B9" s="16">
        <v>252.92</v>
      </c>
      <c r="C9" s="16">
        <v>2.8151143888029005E-3</v>
      </c>
      <c r="D9" s="17">
        <v>0.49790565359095734</v>
      </c>
      <c r="F9" s="16">
        <v>5.2981179819705975E-3</v>
      </c>
      <c r="G9" s="16">
        <v>2.8151143888029005E-3</v>
      </c>
      <c r="H9" s="16">
        <v>3.309712038667928E-2</v>
      </c>
      <c r="I9" s="17">
        <v>0.49790565359095734</v>
      </c>
      <c r="J9" s="17">
        <v>31.375999999999998</v>
      </c>
      <c r="K9" s="16">
        <v>45.214509014035059</v>
      </c>
      <c r="L9" s="17">
        <v>-13.838509014035061</v>
      </c>
      <c r="M9" s="17">
        <v>0.49790565359095734</v>
      </c>
      <c r="N9" s="16" t="b">
        <v>1</v>
      </c>
      <c r="O9" s="16" t="b">
        <v>1</v>
      </c>
      <c r="P9" s="17">
        <v>9.735283938546975E-2</v>
      </c>
      <c r="Q9" s="16">
        <v>-6.8902718753574819</v>
      </c>
      <c r="R9" s="16">
        <v>-1.3472181453777308</v>
      </c>
      <c r="S9" s="17">
        <v>8.7608269336477695E-3</v>
      </c>
      <c r="T9" s="17">
        <v>1.5144547309495519E-3</v>
      </c>
      <c r="U9" s="16">
        <v>-0.1212367824916858</v>
      </c>
      <c r="V9" s="16">
        <v>-2.0957795445593418E-2</v>
      </c>
      <c r="W9" s="17">
        <v>8.7604672078830364E-3</v>
      </c>
      <c r="X9" s="17">
        <v>1.5145366119592391E-3</v>
      </c>
      <c r="Y9" s="16">
        <v>-0.12123180442344797</v>
      </c>
      <c r="Z9" s="16">
        <v>-2.0958928556684051E-2</v>
      </c>
      <c r="AA9" s="17">
        <v>8.7602504281608495E-3</v>
      </c>
      <c r="AB9" s="17">
        <v>1.5145415361475247E-3</v>
      </c>
      <c r="AC9" s="16">
        <v>-0.12122880451530842</v>
      </c>
      <c r="AD9" s="16">
        <v>-2.0958996700108028E-2</v>
      </c>
      <c r="AE9" s="17">
        <v>8.7605665985715977E-3</v>
      </c>
      <c r="AF9" s="17">
        <v>1.5147639909597423E-3</v>
      </c>
      <c r="AG9" s="16">
        <v>-0.12123317984238753</v>
      </c>
      <c r="AH9" s="16">
        <v>-2.0962075143032118E-2</v>
      </c>
      <c r="AI9" s="17">
        <v>0.13323096533654652</v>
      </c>
      <c r="AJ9" s="17">
        <v>9.5738014578356685E-3</v>
      </c>
      <c r="AK9" s="16">
        <v>-1.8437179147583918</v>
      </c>
      <c r="AL9" s="16">
        <v>-0.13248713777284091</v>
      </c>
      <c r="AM9" s="17">
        <v>8.7612305217810056E-3</v>
      </c>
      <c r="AN9" s="17">
        <v>1.514711407785909E-3</v>
      </c>
      <c r="AO9" s="16">
        <v>-0.12124236754970555</v>
      </c>
      <c r="AP9" s="16">
        <v>-2.0961347470307038E-2</v>
      </c>
      <c r="AQ9" s="17">
        <v>0.29459082105573497</v>
      </c>
      <c r="AR9" s="17">
        <v>1.5146466565282085E-3</v>
      </c>
      <c r="AS9" s="16">
        <v>-4.0766977326317786</v>
      </c>
      <c r="AT9" s="16">
        <v>-2.0960451409443678E-2</v>
      </c>
      <c r="AU9" s="17">
        <v>8.7610368130071857E-3</v>
      </c>
      <c r="AV9" s="17">
        <v>6.131797597706537E-2</v>
      </c>
      <c r="AW9" s="16">
        <v>-0.12123968690909294</v>
      </c>
      <c r="AX9" s="16">
        <v>-0.8485493632810045</v>
      </c>
      <c r="AY9" s="17">
        <v>8.7596785349484309E-3</v>
      </c>
      <c r="AZ9" s="17">
        <v>1.5144979162469395E-3</v>
      </c>
      <c r="BA9" s="16">
        <v>-0.1212208903659333</v>
      </c>
      <c r="BB9" s="16">
        <v>-2.0958393065720591E-2</v>
      </c>
      <c r="BC9" s="17">
        <v>8.7598101606754693E-3</v>
      </c>
      <c r="BD9" s="17">
        <v>1.5858909099991488E-2</v>
      </c>
      <c r="BE9" s="16">
        <v>-0.1212227118697434</v>
      </c>
      <c r="BF9" s="16">
        <v>-0.21946365653299488</v>
      </c>
      <c r="BH9" s="19">
        <v>0.49790565359095734</v>
      </c>
      <c r="BI9" s="18">
        <v>-6.8902718753574819</v>
      </c>
      <c r="BJ9" s="19">
        <v>8.7608269336477695E-3</v>
      </c>
      <c r="BK9" s="18">
        <v>-0.1212367824916858</v>
      </c>
      <c r="BL9" s="19">
        <v>8.7604672078830364E-3</v>
      </c>
      <c r="BM9" s="18">
        <v>-0.12123180442344797</v>
      </c>
      <c r="BN9" s="19">
        <v>8.7602504281608495E-3</v>
      </c>
      <c r="BO9" s="18">
        <v>-0.12122880451530842</v>
      </c>
      <c r="BP9" s="19">
        <v>8.7605665985715977E-3</v>
      </c>
      <c r="BQ9" s="18">
        <v>-0.12123317984238753</v>
      </c>
      <c r="BR9" s="19">
        <v>0.13323096533654652</v>
      </c>
      <c r="BS9" s="18">
        <v>-1.8437179147583918</v>
      </c>
      <c r="BT9" s="19">
        <v>8.7612305217810056E-3</v>
      </c>
      <c r="BU9" s="18">
        <v>-0.12124236754970555</v>
      </c>
      <c r="BV9" s="19">
        <v>0.29459082105573497</v>
      </c>
      <c r="BW9" s="18">
        <v>-4.0766977326317786</v>
      </c>
      <c r="BX9" s="19">
        <v>8.7610368130071857E-3</v>
      </c>
      <c r="BY9" s="18">
        <v>-0.12123968690909294</v>
      </c>
      <c r="BZ9" s="19">
        <v>8.7596785349484309E-3</v>
      </c>
      <c r="CA9" s="18">
        <v>-0.1212208903659333</v>
      </c>
      <c r="CB9" s="19">
        <v>8.7598101606754693E-3</v>
      </c>
      <c r="CC9" s="18">
        <v>-0.1212227118697434</v>
      </c>
      <c r="CD9" s="19">
        <v>31.375999999999998</v>
      </c>
      <c r="CE9" s="18" t="b">
        <v>1</v>
      </c>
    </row>
    <row r="10" spans="1:83" x14ac:dyDescent="0.25">
      <c r="A10" s="15">
        <v>43970</v>
      </c>
      <c r="B10" s="16">
        <v>252.21</v>
      </c>
      <c r="C10" s="16">
        <v>3.309712038667928E-2</v>
      </c>
      <c r="D10" s="17">
        <v>0.48645331314764917</v>
      </c>
      <c r="F10" s="16">
        <v>2.8151143888029005E-3</v>
      </c>
      <c r="G10" s="16">
        <v>3.309712038667928E-2</v>
      </c>
      <c r="H10" s="16">
        <v>3.3701861822366249E-3</v>
      </c>
      <c r="I10" s="17">
        <v>0.48645331314764917</v>
      </c>
      <c r="J10" s="17">
        <v>31.683999999999997</v>
      </c>
      <c r="K10" s="16">
        <v>45.214509014035059</v>
      </c>
      <c r="L10" s="17">
        <v>-13.530509014035061</v>
      </c>
      <c r="M10" s="17">
        <v>0.48645331314764917</v>
      </c>
      <c r="N10" s="16" t="b">
        <v>1</v>
      </c>
      <c r="O10" s="16" t="b">
        <v>1</v>
      </c>
      <c r="P10" s="17">
        <v>0.49790565359095734</v>
      </c>
      <c r="Q10" s="16">
        <v>-6.5819609384514877</v>
      </c>
      <c r="R10" s="16">
        <v>-6.7369169340514672</v>
      </c>
      <c r="S10" s="17">
        <v>8.3449585057469022E-3</v>
      </c>
      <c r="T10" s="17">
        <v>8.7608269336477695E-3</v>
      </c>
      <c r="U10" s="16">
        <v>-0.11291153628375702</v>
      </c>
      <c r="V10" s="16">
        <v>-0.1185384477961223</v>
      </c>
      <c r="W10" s="17">
        <v>8.3455874052259706E-3</v>
      </c>
      <c r="X10" s="17">
        <v>8.7604672078830364E-3</v>
      </c>
      <c r="Y10" s="16">
        <v>-0.11292004561382747</v>
      </c>
      <c r="Z10" s="16">
        <v>-0.11853358052341999</v>
      </c>
      <c r="AA10" s="17">
        <v>0.10563345255546264</v>
      </c>
      <c r="AB10" s="17">
        <v>8.7602504281608495E-3</v>
      </c>
      <c r="AC10" s="16">
        <v>-1.4292743819853322</v>
      </c>
      <c r="AD10" s="16">
        <v>-0.11853064738343488</v>
      </c>
      <c r="AE10" s="17">
        <v>8.3454580998488931E-3</v>
      </c>
      <c r="AF10" s="17">
        <v>8.7605665985715977E-3</v>
      </c>
      <c r="AG10" s="16">
        <v>-0.11291829604625736</v>
      </c>
      <c r="AH10" s="16">
        <v>-0.11853492533002748</v>
      </c>
      <c r="AI10" s="17">
        <v>8.3453369595011574E-3</v>
      </c>
      <c r="AJ10" s="17">
        <v>0.13323096533654652</v>
      </c>
      <c r="AK10" s="16">
        <v>-0.11291665695569036</v>
      </c>
      <c r="AL10" s="16">
        <v>-1.8026827774347356</v>
      </c>
      <c r="AM10" s="17">
        <v>0.11475578352035808</v>
      </c>
      <c r="AN10" s="17">
        <v>8.7612305217810056E-3</v>
      </c>
      <c r="AO10" s="16">
        <v>-1.5527041633348611</v>
      </c>
      <c r="AP10" s="16">
        <v>-0.118543908548997</v>
      </c>
      <c r="AQ10" s="17">
        <v>8.3452897586769031E-3</v>
      </c>
      <c r="AR10" s="17">
        <v>0.29459082105573497</v>
      </c>
      <c r="AS10" s="16">
        <v>-0.11291601830451233</v>
      </c>
      <c r="AT10" s="16">
        <v>-3.9859637597466118</v>
      </c>
      <c r="AU10" s="17">
        <v>0.20764727004212868</v>
      </c>
      <c r="AV10" s="17">
        <v>8.7610368130071857E-3</v>
      </c>
      <c r="AW10" s="16">
        <v>-2.8095732590447948</v>
      </c>
      <c r="AX10" s="16">
        <v>-0.11854128757068673</v>
      </c>
      <c r="AY10" s="17">
        <v>8.3453181082705809E-3</v>
      </c>
      <c r="AZ10" s="17">
        <v>8.7596785349484309E-3</v>
      </c>
      <c r="BA10" s="16">
        <v>-0.11291640188894513</v>
      </c>
      <c r="BB10" s="16">
        <v>-0.11852290937716918</v>
      </c>
      <c r="BC10" s="17">
        <v>8.3448581924290572E-3</v>
      </c>
      <c r="BD10" s="17">
        <v>8.7598101606754693E-3</v>
      </c>
      <c r="BE10" s="16">
        <v>-0.11291017899350569</v>
      </c>
      <c r="BF10" s="16">
        <v>-0.11852469034025535</v>
      </c>
      <c r="BH10" s="19">
        <v>0.48645331314764917</v>
      </c>
      <c r="BI10" s="18">
        <v>-6.5819609384514877</v>
      </c>
      <c r="BJ10" s="19">
        <v>8.3449585057469022E-3</v>
      </c>
      <c r="BK10" s="18">
        <v>-0.11291153628375702</v>
      </c>
      <c r="BL10" s="19">
        <v>8.3455874052259706E-3</v>
      </c>
      <c r="BM10" s="18">
        <v>-0.11292004561382747</v>
      </c>
      <c r="BN10" s="19">
        <v>0.10563345255546264</v>
      </c>
      <c r="BO10" s="18">
        <v>-1.4292743819853322</v>
      </c>
      <c r="BP10" s="19">
        <v>8.3454580998488931E-3</v>
      </c>
      <c r="BQ10" s="18">
        <v>-0.11291829604625736</v>
      </c>
      <c r="BR10" s="19">
        <v>8.3453369595011574E-3</v>
      </c>
      <c r="BS10" s="18">
        <v>-0.11291665695569036</v>
      </c>
      <c r="BT10" s="19">
        <v>0.11475578352035808</v>
      </c>
      <c r="BU10" s="18">
        <v>-1.5527041633348611</v>
      </c>
      <c r="BV10" s="19">
        <v>8.3452897586769031E-3</v>
      </c>
      <c r="BW10" s="18">
        <v>-0.11291601830451233</v>
      </c>
      <c r="BX10" s="19">
        <v>0.20764727004212868</v>
      </c>
      <c r="BY10" s="18">
        <v>-2.8095732590447948</v>
      </c>
      <c r="BZ10" s="19">
        <v>8.3453181082705809E-3</v>
      </c>
      <c r="CA10" s="18">
        <v>-0.11291640188894513</v>
      </c>
      <c r="CB10" s="19">
        <v>8.3448581924290572E-3</v>
      </c>
      <c r="CC10" s="18">
        <v>-0.11291017899350569</v>
      </c>
      <c r="CD10" s="19">
        <v>31.683999999999997</v>
      </c>
      <c r="CE10" s="18" t="b">
        <v>1</v>
      </c>
    </row>
    <row r="11" spans="1:83" x14ac:dyDescent="0.25">
      <c r="A11" s="15">
        <v>43966</v>
      </c>
      <c r="B11" s="16">
        <v>244.13</v>
      </c>
      <c r="C11" s="16">
        <v>3.3701861822366249E-3</v>
      </c>
      <c r="D11" s="17">
        <v>-0.19248065624672633</v>
      </c>
      <c r="F11" s="16">
        <v>3.309712038667928E-2</v>
      </c>
      <c r="G11" s="16">
        <v>3.3701861822366249E-3</v>
      </c>
      <c r="H11" s="16">
        <v>1.417198115960154E-2</v>
      </c>
      <c r="I11" s="17">
        <v>-0.19248065624672633</v>
      </c>
      <c r="J11" s="17">
        <v>32.881000200000003</v>
      </c>
      <c r="K11" s="16">
        <v>45.214509014035059</v>
      </c>
      <c r="L11" s="17">
        <v>-12.333508814035056</v>
      </c>
      <c r="M11" s="17">
        <v>-0.19248065624672633</v>
      </c>
      <c r="N11" s="16" t="b">
        <v>1</v>
      </c>
      <c r="O11" s="16" t="b">
        <v>1</v>
      </c>
      <c r="P11" s="17">
        <v>0.48645331314764917</v>
      </c>
      <c r="Q11" s="16">
        <v>2.373961870350251</v>
      </c>
      <c r="R11" s="16">
        <v>-5.9996762253230864</v>
      </c>
      <c r="S11" s="17">
        <v>-1.5775973530628956E-2</v>
      </c>
      <c r="T11" s="17">
        <v>8.3449585057469022E-3</v>
      </c>
      <c r="U11" s="16">
        <v>0.19457310858999599</v>
      </c>
      <c r="V11" s="16">
        <v>-0.10292261928338624</v>
      </c>
      <c r="W11" s="17">
        <v>-7.4675970629340827E-3</v>
      </c>
      <c r="X11" s="17">
        <v>8.3455874052259706E-3</v>
      </c>
      <c r="Y11" s="16">
        <v>9.2101674195359806E-2</v>
      </c>
      <c r="Z11" s="16">
        <v>-0.10293037582065447</v>
      </c>
      <c r="AA11" s="17">
        <v>-2.8211767729283792E-3</v>
      </c>
      <c r="AB11" s="17">
        <v>0.10563345255546264</v>
      </c>
      <c r="AC11" s="16">
        <v>3.479500859486314E-2</v>
      </c>
      <c r="AD11" s="16">
        <v>-1.3028311181497523</v>
      </c>
      <c r="AE11" s="17">
        <v>-2.8211577105299855E-3</v>
      </c>
      <c r="AF11" s="17">
        <v>8.3454580998488931E-3</v>
      </c>
      <c r="AG11" s="16">
        <v>3.4794773488604533E-2</v>
      </c>
      <c r="AH11" s="16">
        <v>-0.10292878103164657</v>
      </c>
      <c r="AI11" s="17">
        <v>-2.7990992655536742E-2</v>
      </c>
      <c r="AJ11" s="17">
        <v>8.3453369595011574E-3</v>
      </c>
      <c r="AK11" s="16">
        <v>0.34522715463065295</v>
      </c>
      <c r="AL11" s="16">
        <v>-0.10292728694610004</v>
      </c>
      <c r="AM11" s="17">
        <v>-1.5159416219432191E-2</v>
      </c>
      <c r="AN11" s="17">
        <v>0.11475578352035808</v>
      </c>
      <c r="AO11" s="16">
        <v>0.18696879355799292</v>
      </c>
      <c r="AP11" s="16">
        <v>-1.4153414675098352</v>
      </c>
      <c r="AQ11" s="17">
        <v>-4.4681785963683565E-2</v>
      </c>
      <c r="AR11" s="17">
        <v>8.3452897586769031E-3</v>
      </c>
      <c r="AS11" s="16">
        <v>0.55108320100991914</v>
      </c>
      <c r="AT11" s="16">
        <v>-0.10292670479431808</v>
      </c>
      <c r="AU11" s="17">
        <v>-4.4738487644284834E-2</v>
      </c>
      <c r="AV11" s="17">
        <v>0.20764727004212868</v>
      </c>
      <c r="AW11" s="16">
        <v>0.55178253168738545</v>
      </c>
      <c r="AX11" s="16">
        <v>-2.5610194352749116</v>
      </c>
      <c r="AY11" s="17">
        <v>-2.8202952723899617E-2</v>
      </c>
      <c r="AZ11" s="17">
        <v>8.3453181082705809E-3</v>
      </c>
      <c r="BA11" s="16">
        <v>0.34784136600202992</v>
      </c>
      <c r="BB11" s="16">
        <v>-0.10292705444428157</v>
      </c>
      <c r="BC11" s="17">
        <v>-2.8211159628678006E-3</v>
      </c>
      <c r="BD11" s="17">
        <v>8.3448581924290572E-3</v>
      </c>
      <c r="BE11" s="16">
        <v>3.4794258593445017E-2</v>
      </c>
      <c r="BF11" s="16">
        <v>-0.10292138206819643</v>
      </c>
      <c r="BH11" s="19">
        <v>-0.19248065624672633</v>
      </c>
      <c r="BI11" s="18">
        <v>2.373961870350251</v>
      </c>
      <c r="BJ11" s="19">
        <v>-1.5775973530628956E-2</v>
      </c>
      <c r="BK11" s="18">
        <v>0.19457310858999599</v>
      </c>
      <c r="BL11" s="19">
        <v>-7.4675970629340827E-3</v>
      </c>
      <c r="BM11" s="18">
        <v>9.2101674195359806E-2</v>
      </c>
      <c r="BN11" s="19">
        <v>-2.8211767729283792E-3</v>
      </c>
      <c r="BO11" s="18">
        <v>3.479500859486314E-2</v>
      </c>
      <c r="BP11" s="19">
        <v>-2.8211577105299855E-3</v>
      </c>
      <c r="BQ11" s="18">
        <v>3.4794773488604533E-2</v>
      </c>
      <c r="BR11" s="19">
        <v>-2.7990992655536742E-2</v>
      </c>
      <c r="BS11" s="18">
        <v>0.34522715463065295</v>
      </c>
      <c r="BT11" s="19">
        <v>-1.5159416219432191E-2</v>
      </c>
      <c r="BU11" s="18">
        <v>0.18696879355799292</v>
      </c>
      <c r="BV11" s="19">
        <v>-4.4681785963683565E-2</v>
      </c>
      <c r="BW11" s="18">
        <v>0.55108320100991914</v>
      </c>
      <c r="BX11" s="19">
        <v>-4.4738487644284834E-2</v>
      </c>
      <c r="BY11" s="18">
        <v>0.55178253168738545</v>
      </c>
      <c r="BZ11" s="19">
        <v>-2.8202952723899617E-2</v>
      </c>
      <c r="CA11" s="18">
        <v>0.34784136600202992</v>
      </c>
      <c r="CB11" s="19">
        <v>-2.8211159628678006E-3</v>
      </c>
      <c r="CC11" s="18">
        <v>3.4794258593445017E-2</v>
      </c>
      <c r="CD11" s="19">
        <v>32.881000200000003</v>
      </c>
      <c r="CE11" s="18" t="b">
        <v>1</v>
      </c>
    </row>
    <row r="12" spans="1:83" x14ac:dyDescent="0.25">
      <c r="A12" s="15">
        <v>43965</v>
      </c>
      <c r="B12" s="16">
        <v>243.31</v>
      </c>
      <c r="C12" s="16">
        <v>1.417198115960154E-2</v>
      </c>
      <c r="D12" s="17">
        <v>0.27620824612677097</v>
      </c>
      <c r="F12" s="16">
        <v>3.3701861822366249E-3</v>
      </c>
      <c r="G12" s="16">
        <v>1.417198115960154E-2</v>
      </c>
      <c r="H12" s="16">
        <v>-2.2451307961861264E-2</v>
      </c>
      <c r="I12" s="17">
        <v>0.27620824612677097</v>
      </c>
      <c r="J12" s="17">
        <v>33.0350003</v>
      </c>
      <c r="K12" s="16">
        <v>45.214509014035059</v>
      </c>
      <c r="L12" s="17">
        <v>-12.179508714035059</v>
      </c>
      <c r="M12" s="17">
        <v>0.27620824612677097</v>
      </c>
      <c r="N12" s="16" t="b">
        <v>1</v>
      </c>
      <c r="O12" s="16" t="b">
        <v>1</v>
      </c>
      <c r="P12" s="17">
        <v>-0.19248065624672633</v>
      </c>
      <c r="Q12" s="16">
        <v>-3.3640807405893476</v>
      </c>
      <c r="R12" s="16">
        <v>2.34431983004019</v>
      </c>
      <c r="S12" s="17">
        <v>5.2182364343557929E-3</v>
      </c>
      <c r="T12" s="17">
        <v>-1.5775973530628956E-2</v>
      </c>
      <c r="U12" s="16">
        <v>-6.3555556124131607E-2</v>
      </c>
      <c r="V12" s="16">
        <v>0.19214360708868181</v>
      </c>
      <c r="W12" s="17">
        <v>5.2177766315999914E-3</v>
      </c>
      <c r="X12" s="17">
        <v>-7.4675970629340827E-3</v>
      </c>
      <c r="Y12" s="16">
        <v>-6.3549955952460588E-2</v>
      </c>
      <c r="Z12" s="16">
        <v>9.0951663500908275E-2</v>
      </c>
      <c r="AA12" s="17">
        <v>8.1938723304662245E-2</v>
      </c>
      <c r="AB12" s="17">
        <v>-2.8211767729283792E-3</v>
      </c>
      <c r="AC12" s="16">
        <v>-0.99797339450604139</v>
      </c>
      <c r="AD12" s="16">
        <v>3.4360547089714498E-2</v>
      </c>
      <c r="AE12" s="17">
        <v>7.8871176383527114E-2</v>
      </c>
      <c r="AF12" s="17">
        <v>-2.8211577105299855E-3</v>
      </c>
      <c r="AG12" s="16">
        <v>-0.96061218004936466</v>
      </c>
      <c r="AH12" s="16">
        <v>3.4360314919067152E-2</v>
      </c>
      <c r="AI12" s="17">
        <v>5.2180861460409036E-3</v>
      </c>
      <c r="AJ12" s="17">
        <v>-2.7990992655536742E-2</v>
      </c>
      <c r="AK12" s="16">
        <v>-6.3553725686290807E-2</v>
      </c>
      <c r="AL12" s="16">
        <v>0.3409165389626011</v>
      </c>
      <c r="AM12" s="17">
        <v>5.2184187411698337E-3</v>
      </c>
      <c r="AN12" s="17">
        <v>-1.5159416219432191E-2</v>
      </c>
      <c r="AO12" s="16">
        <v>-6.3557776531561846E-2</v>
      </c>
      <c r="AP12" s="16">
        <v>0.18463424194425879</v>
      </c>
      <c r="AQ12" s="17">
        <v>7.8871721243973542E-2</v>
      </c>
      <c r="AR12" s="17">
        <v>-4.4681785963683565E-2</v>
      </c>
      <c r="AS12" s="16">
        <v>-0.9606188161819198</v>
      </c>
      <c r="AT12" s="16">
        <v>0.54420220150333332</v>
      </c>
      <c r="AU12" s="17">
        <v>5.2180886369083751E-3</v>
      </c>
      <c r="AV12" s="17">
        <v>-4.4738487644284834E-2</v>
      </c>
      <c r="AW12" s="16">
        <v>-6.3553756023832883E-2</v>
      </c>
      <c r="AX12" s="16">
        <v>0.54489280011631691</v>
      </c>
      <c r="AY12" s="17">
        <v>5.2182124916950066E-3</v>
      </c>
      <c r="AZ12" s="17">
        <v>-2.8202952723899617E-2</v>
      </c>
      <c r="BA12" s="16">
        <v>-6.3555264514285933E-2</v>
      </c>
      <c r="BB12" s="16">
        <v>0.3434981084622542</v>
      </c>
      <c r="BC12" s="17">
        <v>5.2178061128379328E-3</v>
      </c>
      <c r="BD12" s="17">
        <v>-2.8211159628678006E-3</v>
      </c>
      <c r="BE12" s="16">
        <v>-6.3550315019455003E-2</v>
      </c>
      <c r="BF12" s="16">
        <v>3.4359806453051783E-2</v>
      </c>
      <c r="BH12" s="19">
        <v>0.27620824612677097</v>
      </c>
      <c r="BI12" s="18">
        <v>-3.3640807405893476</v>
      </c>
      <c r="BJ12" s="19">
        <v>5.2182364343557929E-3</v>
      </c>
      <c r="BK12" s="18">
        <v>-6.3555556124131607E-2</v>
      </c>
      <c r="BL12" s="19">
        <v>5.2177766315999914E-3</v>
      </c>
      <c r="BM12" s="18">
        <v>-6.3549955952460588E-2</v>
      </c>
      <c r="BN12" s="19">
        <v>8.1938723304662245E-2</v>
      </c>
      <c r="BO12" s="18">
        <v>-0.99797339450604139</v>
      </c>
      <c r="BP12" s="19">
        <v>7.8871176383527114E-2</v>
      </c>
      <c r="BQ12" s="18">
        <v>-0.96061218004936466</v>
      </c>
      <c r="BR12" s="19">
        <v>5.2180861460409036E-3</v>
      </c>
      <c r="BS12" s="18">
        <v>-6.3553725686290807E-2</v>
      </c>
      <c r="BT12" s="19">
        <v>5.2184187411698337E-3</v>
      </c>
      <c r="BU12" s="18">
        <v>-6.3557776531561846E-2</v>
      </c>
      <c r="BV12" s="19">
        <v>7.8871721243973542E-2</v>
      </c>
      <c r="BW12" s="18">
        <v>-0.9606188161819198</v>
      </c>
      <c r="BX12" s="19">
        <v>5.2180886369083751E-3</v>
      </c>
      <c r="BY12" s="18">
        <v>-6.3553756023832883E-2</v>
      </c>
      <c r="BZ12" s="19">
        <v>5.2182124916950066E-3</v>
      </c>
      <c r="CA12" s="18">
        <v>-6.3555264514285933E-2</v>
      </c>
      <c r="CB12" s="19">
        <v>5.2178061128379328E-3</v>
      </c>
      <c r="CC12" s="18">
        <v>-6.3550315019455003E-2</v>
      </c>
      <c r="CD12" s="19">
        <v>33.0350003</v>
      </c>
      <c r="CE12" s="18" t="b">
        <v>1</v>
      </c>
    </row>
    <row r="13" spans="1:83" x14ac:dyDescent="0.25">
      <c r="A13" s="15">
        <v>43964</v>
      </c>
      <c r="B13" s="16">
        <v>239.91</v>
      </c>
      <c r="C13" s="16">
        <v>-2.2451307961861264E-2</v>
      </c>
      <c r="D13" s="17">
        <v>0.1164589305408299</v>
      </c>
      <c r="F13" s="16">
        <v>1.417198115960154E-2</v>
      </c>
      <c r="G13" s="16">
        <v>-2.2451307961861264E-2</v>
      </c>
      <c r="H13" s="16">
        <v>-3.3627342888643962E-2</v>
      </c>
      <c r="I13" s="17">
        <v>0.1164589305408299</v>
      </c>
      <c r="J13" s="17">
        <v>32.630000399999993</v>
      </c>
      <c r="K13" s="16">
        <v>45.214509014035059</v>
      </c>
      <c r="L13" s="17">
        <v>-12.584508614035066</v>
      </c>
      <c r="M13" s="17">
        <v>0.1164589305408299</v>
      </c>
      <c r="N13" s="16" t="b">
        <v>1</v>
      </c>
      <c r="O13" s="16" t="b">
        <v>1</v>
      </c>
      <c r="P13" s="17">
        <v>0.27620824612677097</v>
      </c>
      <c r="Q13" s="16">
        <v>-1.4655784145723854</v>
      </c>
      <c r="R13" s="16">
        <v>-3.475945052649867</v>
      </c>
      <c r="S13" s="17">
        <v>2.135158897815472E-3</v>
      </c>
      <c r="T13" s="17">
        <v>5.2182364343557929E-3</v>
      </c>
      <c r="U13" s="16">
        <v>-2.6869925541892423E-2</v>
      </c>
      <c r="V13" s="16">
        <v>-6.5668941358222099E-2</v>
      </c>
      <c r="W13" s="17">
        <v>2.1353922332834766E-3</v>
      </c>
      <c r="X13" s="17">
        <v>5.2177766315999914E-3</v>
      </c>
      <c r="Y13" s="16">
        <v>-2.6872861954099488E-2</v>
      </c>
      <c r="Z13" s="16">
        <v>-6.5663154966480966E-2</v>
      </c>
      <c r="AA13" s="17">
        <v>2.1362410423807297E-3</v>
      </c>
      <c r="AB13" s="17">
        <v>8.1938723304662245E-2</v>
      </c>
      <c r="AC13" s="16">
        <v>-2.6883543799495542E-2</v>
      </c>
      <c r="AD13" s="16">
        <v>-1.0311585692505578</v>
      </c>
      <c r="AE13" s="17">
        <v>2.135346429041922E-3</v>
      </c>
      <c r="AF13" s="17">
        <v>7.8871176383527114E-2</v>
      </c>
      <c r="AG13" s="16">
        <v>-2.6872285530227084E-2</v>
      </c>
      <c r="AH13" s="16">
        <v>-0.99255499859757601</v>
      </c>
      <c r="AI13" s="17">
        <v>2.1353841939272334E-3</v>
      </c>
      <c r="AJ13" s="17">
        <v>5.2180861460409036E-3</v>
      </c>
      <c r="AK13" s="16">
        <v>-2.6872760782751595E-2</v>
      </c>
      <c r="AL13" s="16">
        <v>-6.5667050053628787E-2</v>
      </c>
      <c r="AM13" s="17">
        <v>2.1357551362771866E-3</v>
      </c>
      <c r="AN13" s="17">
        <v>5.2184187411698337E-3</v>
      </c>
      <c r="AO13" s="16">
        <v>-2.6877428909949892E-2</v>
      </c>
      <c r="AP13" s="16">
        <v>-6.5671235599893796E-2</v>
      </c>
      <c r="AQ13" s="17">
        <v>4.8716392446393718E-2</v>
      </c>
      <c r="AR13" s="17">
        <v>7.8871721243973542E-2</v>
      </c>
      <c r="AS13" s="16">
        <v>-0.61307186038635453</v>
      </c>
      <c r="AT13" s="16">
        <v>-0.99256185539855757</v>
      </c>
      <c r="AU13" s="17">
        <v>5.0658548950672337E-2</v>
      </c>
      <c r="AV13" s="17">
        <v>5.2180886369083751E-3</v>
      </c>
      <c r="AW13" s="16">
        <v>-0.63751294564425309</v>
      </c>
      <c r="AX13" s="16">
        <v>-6.5667081399971947E-2</v>
      </c>
      <c r="AY13" s="17">
        <v>2.1353989241585667E-3</v>
      </c>
      <c r="AZ13" s="17">
        <v>5.2182124916950066E-3</v>
      </c>
      <c r="BA13" s="16">
        <v>-2.6872946155474694E-2</v>
      </c>
      <c r="BB13" s="16">
        <v>-6.5668640051601196E-2</v>
      </c>
      <c r="BC13" s="17">
        <v>2.1353122868791098E-3</v>
      </c>
      <c r="BD13" s="17">
        <v>5.2178061128379328E-3</v>
      </c>
      <c r="BE13" s="16">
        <v>-2.6871855867885073E-2</v>
      </c>
      <c r="BF13" s="16">
        <v>-6.5663525973373785E-2</v>
      </c>
      <c r="BH13" s="19">
        <v>0.1164589305408299</v>
      </c>
      <c r="BI13" s="18">
        <v>-1.4655784145723854</v>
      </c>
      <c r="BJ13" s="19">
        <v>2.135158897815472E-3</v>
      </c>
      <c r="BK13" s="18">
        <v>-2.6869925541892423E-2</v>
      </c>
      <c r="BL13" s="19">
        <v>2.1353922332834766E-3</v>
      </c>
      <c r="BM13" s="18">
        <v>-2.6872861954099488E-2</v>
      </c>
      <c r="BN13" s="19">
        <v>2.1362410423807297E-3</v>
      </c>
      <c r="BO13" s="18">
        <v>-2.6883543799495542E-2</v>
      </c>
      <c r="BP13" s="19">
        <v>2.135346429041922E-3</v>
      </c>
      <c r="BQ13" s="18">
        <v>-2.6872285530227084E-2</v>
      </c>
      <c r="BR13" s="19">
        <v>2.1353841939272334E-3</v>
      </c>
      <c r="BS13" s="18">
        <v>-2.6872760782751595E-2</v>
      </c>
      <c r="BT13" s="19">
        <v>2.1357551362771866E-3</v>
      </c>
      <c r="BU13" s="18">
        <v>-2.6877428909949892E-2</v>
      </c>
      <c r="BV13" s="19">
        <v>4.8716392446393718E-2</v>
      </c>
      <c r="BW13" s="18">
        <v>-0.61307186038635453</v>
      </c>
      <c r="BX13" s="19">
        <v>5.0658548950672337E-2</v>
      </c>
      <c r="BY13" s="18">
        <v>-0.63751294564425309</v>
      </c>
      <c r="BZ13" s="19">
        <v>2.1353989241585667E-3</v>
      </c>
      <c r="CA13" s="18">
        <v>-2.6872946155474694E-2</v>
      </c>
      <c r="CB13" s="19">
        <v>2.1353122868791098E-3</v>
      </c>
      <c r="CC13" s="18">
        <v>-2.6871855867885073E-2</v>
      </c>
      <c r="CD13" s="19">
        <v>32.630000399999993</v>
      </c>
      <c r="CE13" s="18" t="b">
        <v>1</v>
      </c>
    </row>
    <row r="14" spans="1:83" x14ac:dyDescent="0.25">
      <c r="A14" s="15">
        <v>43963</v>
      </c>
      <c r="B14" s="16">
        <v>245.42</v>
      </c>
      <c r="C14" s="16">
        <v>-3.3627342888643962E-2</v>
      </c>
      <c r="D14" s="17">
        <v>-0.15498585706915369</v>
      </c>
      <c r="F14" s="16">
        <v>-2.2451307961861264E-2</v>
      </c>
      <c r="G14" s="16">
        <v>-3.3627342888643962E-2</v>
      </c>
      <c r="H14" s="16">
        <v>-1.3096024559903535E-2</v>
      </c>
      <c r="I14" s="17">
        <v>-0.15498585706915369</v>
      </c>
      <c r="J14" s="17">
        <v>32.683000299999996</v>
      </c>
      <c r="K14" s="16">
        <v>45.214509014035059</v>
      </c>
      <c r="L14" s="17">
        <v>-12.531508714035063</v>
      </c>
      <c r="M14" s="17">
        <v>-0.15498585706915369</v>
      </c>
      <c r="N14" s="16" t="b">
        <v>1</v>
      </c>
      <c r="O14" s="16" t="b">
        <v>1</v>
      </c>
      <c r="P14" s="17">
        <v>0.1164589305408299</v>
      </c>
      <c r="Q14" s="16">
        <v>1.9422066184142921</v>
      </c>
      <c r="R14" s="16">
        <v>-1.4594061028996139</v>
      </c>
      <c r="S14" s="17">
        <v>-2.6453926531445223E-3</v>
      </c>
      <c r="T14" s="17">
        <v>2.135158897815472E-3</v>
      </c>
      <c r="U14" s="16">
        <v>3.3150761084924915E-2</v>
      </c>
      <c r="V14" s="16">
        <v>-2.6756762333824086E-2</v>
      </c>
      <c r="W14" s="17">
        <v>-1.1690442426449081E-2</v>
      </c>
      <c r="X14" s="17">
        <v>2.1353922332834766E-3</v>
      </c>
      <c r="Y14" s="16">
        <v>0.14649888113797185</v>
      </c>
      <c r="Z14" s="16">
        <v>-2.6759686379274679E-2</v>
      </c>
      <c r="AA14" s="17">
        <v>-2.6453647036272405E-3</v>
      </c>
      <c r="AB14" s="17">
        <v>2.1362410423807297E-3</v>
      </c>
      <c r="AC14" s="16">
        <v>3.3150410835305545E-2</v>
      </c>
      <c r="AD14" s="16">
        <v>-2.6770323237873459E-2</v>
      </c>
      <c r="AE14" s="17">
        <v>-1.4721901458676289E-2</v>
      </c>
      <c r="AF14" s="17">
        <v>2.135346429041922E-3</v>
      </c>
      <c r="AG14" s="16">
        <v>0.1844876364165674</v>
      </c>
      <c r="AH14" s="16">
        <v>-2.6759112383022501E-2</v>
      </c>
      <c r="AI14" s="17">
        <v>-1.4973801806830672E-2</v>
      </c>
      <c r="AJ14" s="17">
        <v>2.1353841939272334E-3</v>
      </c>
      <c r="AK14" s="16">
        <v>0.18764432782453253</v>
      </c>
      <c r="AL14" s="16">
        <v>-2.6759585634011863E-2</v>
      </c>
      <c r="AM14" s="17">
        <v>-1.6612901626957308E-2</v>
      </c>
      <c r="AN14" s="17">
        <v>2.1357551362771866E-3</v>
      </c>
      <c r="AO14" s="16">
        <v>0.20818472150362277</v>
      </c>
      <c r="AP14" s="16">
        <v>-2.6764234101302707E-2</v>
      </c>
      <c r="AQ14" s="17">
        <v>-2.6454948922483507E-3</v>
      </c>
      <c r="AR14" s="17">
        <v>4.8716392446393718E-2</v>
      </c>
      <c r="AS14" s="16">
        <v>3.3152042295145456E-2</v>
      </c>
      <c r="AT14" s="16">
        <v>-0.61048989645833474</v>
      </c>
      <c r="AU14" s="17">
        <v>-3.9836174196673346E-2</v>
      </c>
      <c r="AV14" s="17">
        <v>5.0658548950672337E-2</v>
      </c>
      <c r="AW14" s="16">
        <v>0.49920736407943073</v>
      </c>
      <c r="AX14" s="16">
        <v>-0.6348280476157222</v>
      </c>
      <c r="AY14" s="17">
        <v>-3.5856215812900882E-2</v>
      </c>
      <c r="AZ14" s="17">
        <v>2.1353989241585667E-3</v>
      </c>
      <c r="BA14" s="16">
        <v>0.4493324809116892</v>
      </c>
      <c r="BB14" s="16">
        <v>-2.6759770226034176E-2</v>
      </c>
      <c r="BC14" s="17">
        <v>-1.335816749164582E-2</v>
      </c>
      <c r="BD14" s="17">
        <v>2.1353122868791098E-3</v>
      </c>
      <c r="BE14" s="16">
        <v>0.1673979923250995</v>
      </c>
      <c r="BF14" s="16">
        <v>-2.6758684530211702E-2</v>
      </c>
      <c r="BH14" s="19">
        <v>-0.15498585706915369</v>
      </c>
      <c r="BI14" s="18">
        <v>1.9422066184142921</v>
      </c>
      <c r="BJ14" s="19">
        <v>-2.6453926531445223E-3</v>
      </c>
      <c r="BK14" s="18">
        <v>3.3150761084924915E-2</v>
      </c>
      <c r="BL14" s="19">
        <v>-1.1690442426449081E-2</v>
      </c>
      <c r="BM14" s="18">
        <v>0.14649888113797185</v>
      </c>
      <c r="BN14" s="19">
        <v>-2.6453647036272405E-3</v>
      </c>
      <c r="BO14" s="18">
        <v>3.3150410835305545E-2</v>
      </c>
      <c r="BP14" s="19">
        <v>-1.4721901458676289E-2</v>
      </c>
      <c r="BQ14" s="18">
        <v>0.1844876364165674</v>
      </c>
      <c r="BR14" s="19">
        <v>-1.4973801806830672E-2</v>
      </c>
      <c r="BS14" s="18">
        <v>0.18764432782453253</v>
      </c>
      <c r="BT14" s="19">
        <v>-1.6612901626957308E-2</v>
      </c>
      <c r="BU14" s="18">
        <v>0.20818472150362277</v>
      </c>
      <c r="BV14" s="19">
        <v>-2.6454948922483507E-3</v>
      </c>
      <c r="BW14" s="18">
        <v>3.3152042295145456E-2</v>
      </c>
      <c r="BX14" s="19">
        <v>-3.9836174196673346E-2</v>
      </c>
      <c r="BY14" s="18">
        <v>0.49920736407943073</v>
      </c>
      <c r="BZ14" s="19">
        <v>-3.5856215812900882E-2</v>
      </c>
      <c r="CA14" s="18">
        <v>0.4493324809116892</v>
      </c>
      <c r="CB14" s="19">
        <v>-1.335816749164582E-2</v>
      </c>
      <c r="CC14" s="18">
        <v>0.1673979923250995</v>
      </c>
      <c r="CD14" s="19">
        <v>32.683000299999996</v>
      </c>
      <c r="CE14" s="18" t="b">
        <v>1</v>
      </c>
    </row>
    <row r="15" spans="1:83" x14ac:dyDescent="0.25">
      <c r="A15" s="15">
        <v>43962</v>
      </c>
      <c r="B15" s="16">
        <v>253.96</v>
      </c>
      <c r="C15" s="16">
        <v>-1.3096024559903535E-2</v>
      </c>
      <c r="D15" s="17">
        <v>9.5311682671308517E-2</v>
      </c>
      <c r="F15" s="16">
        <v>-3.3627342888643962E-2</v>
      </c>
      <c r="G15" s="16">
        <v>-1.3096024559903535E-2</v>
      </c>
      <c r="H15" s="16">
        <v>1.6552105554238753E-2</v>
      </c>
      <c r="I15" s="17">
        <v>9.5311682671308517E-2</v>
      </c>
      <c r="J15" s="17">
        <v>33.2550004</v>
      </c>
      <c r="K15" s="16">
        <v>45.214509014035059</v>
      </c>
      <c r="L15" s="17">
        <v>-11.959508614035059</v>
      </c>
      <c r="M15" s="17">
        <v>9.5311682671308517E-2</v>
      </c>
      <c r="N15" s="16" t="b">
        <v>1</v>
      </c>
      <c r="O15" s="16" t="b">
        <v>1</v>
      </c>
      <c r="P15" s="17">
        <v>-0.15498585706915369</v>
      </c>
      <c r="Q15" s="16">
        <v>-1.1398808899256903</v>
      </c>
      <c r="R15" s="16">
        <v>1.85355469267215</v>
      </c>
      <c r="S15" s="17">
        <v>1.5914759434505219E-3</v>
      </c>
      <c r="T15" s="17">
        <v>-2.6453926531445223E-3</v>
      </c>
      <c r="U15" s="16">
        <v>-1.9033270254726089E-2</v>
      </c>
      <c r="V15" s="16">
        <v>3.1637596222786973E-2</v>
      </c>
      <c r="W15" s="17">
        <v>1.5915756643559884E-3</v>
      </c>
      <c r="X15" s="17">
        <v>-1.1690442426449081E-2</v>
      </c>
      <c r="Y15" s="16">
        <v>-1.9034462867754016E-2</v>
      </c>
      <c r="Z15" s="16">
        <v>0.13981194690099871</v>
      </c>
      <c r="AA15" s="17">
        <v>4.2863747882977331E-2</v>
      </c>
      <c r="AB15" s="17">
        <v>-2.6453647036272405E-3</v>
      </c>
      <c r="AC15" s="16">
        <v>-0.51262936203629439</v>
      </c>
      <c r="AD15" s="16">
        <v>3.1637261960294281E-2</v>
      </c>
      <c r="AE15" s="17">
        <v>9.06511203372788E-3</v>
      </c>
      <c r="AF15" s="17">
        <v>-1.4721901458676289E-2</v>
      </c>
      <c r="AG15" s="16">
        <v>-0.10841428545456146</v>
      </c>
      <c r="AH15" s="16">
        <v>0.17606670731001436</v>
      </c>
      <c r="AI15" s="17">
        <v>1.5917358586429852E-3</v>
      </c>
      <c r="AJ15" s="17">
        <v>-1.4973801806830672E-2</v>
      </c>
      <c r="AK15" s="16">
        <v>-1.9036378712709273E-2</v>
      </c>
      <c r="AL15" s="16">
        <v>0.17907931169364516</v>
      </c>
      <c r="AM15" s="17">
        <v>2.0653575991413892E-2</v>
      </c>
      <c r="AN15" s="17">
        <v>-1.6612901626957308E-2</v>
      </c>
      <c r="AO15" s="16">
        <v>-0.24700661997994214</v>
      </c>
      <c r="AP15" s="16">
        <v>0.19868214011171298</v>
      </c>
      <c r="AQ15" s="17">
        <v>1.3179888306233662E-2</v>
      </c>
      <c r="AR15" s="17">
        <v>-2.6454948922483507E-3</v>
      </c>
      <c r="AS15" s="16">
        <v>-0.15762498773042144</v>
      </c>
      <c r="AT15" s="16">
        <v>3.1638818952229898E-2</v>
      </c>
      <c r="AU15" s="17">
        <v>1.5917473632021156E-3</v>
      </c>
      <c r="AV15" s="17">
        <v>-3.9836174196673346E-2</v>
      </c>
      <c r="AW15" s="16">
        <v>-1.9036516301583293E-2</v>
      </c>
      <c r="AX15" s="16">
        <v>0.47642106845531601</v>
      </c>
      <c r="AY15" s="17">
        <v>1.5913647093750702E-3</v>
      </c>
      <c r="AZ15" s="17">
        <v>-3.5856215812900882E-2</v>
      </c>
      <c r="BA15" s="16">
        <v>-1.903193994984255E-2</v>
      </c>
      <c r="BB15" s="16">
        <v>0.42882272188108816</v>
      </c>
      <c r="BC15" s="17">
        <v>1.5914589179289761E-3</v>
      </c>
      <c r="BD15" s="17">
        <v>-1.335816749164582E-2</v>
      </c>
      <c r="BE15" s="16">
        <v>-1.9033066637854503E-2</v>
      </c>
      <c r="BF15" s="16">
        <v>0.15975711918406127</v>
      </c>
      <c r="BH15" s="19">
        <v>9.5311682671308517E-2</v>
      </c>
      <c r="BI15" s="18">
        <v>-1.1398808899256903</v>
      </c>
      <c r="BJ15" s="19">
        <v>1.5914759434505219E-3</v>
      </c>
      <c r="BK15" s="18">
        <v>-1.9033270254726089E-2</v>
      </c>
      <c r="BL15" s="19">
        <v>1.5915756643559884E-3</v>
      </c>
      <c r="BM15" s="18">
        <v>-1.9034462867754016E-2</v>
      </c>
      <c r="BN15" s="19">
        <v>4.2863747882977331E-2</v>
      </c>
      <c r="BO15" s="18">
        <v>-0.51262936203629439</v>
      </c>
      <c r="BP15" s="19">
        <v>9.06511203372788E-3</v>
      </c>
      <c r="BQ15" s="18">
        <v>-0.10841428545456146</v>
      </c>
      <c r="BR15" s="19">
        <v>1.5917358586429852E-3</v>
      </c>
      <c r="BS15" s="18">
        <v>-1.9036378712709273E-2</v>
      </c>
      <c r="BT15" s="19">
        <v>2.0653575991413892E-2</v>
      </c>
      <c r="BU15" s="18">
        <v>-0.24700661997994214</v>
      </c>
      <c r="BV15" s="19">
        <v>1.3179888306233662E-2</v>
      </c>
      <c r="BW15" s="18">
        <v>-0.15762498773042144</v>
      </c>
      <c r="BX15" s="19">
        <v>1.5917473632021156E-3</v>
      </c>
      <c r="BY15" s="18">
        <v>-1.9036516301583293E-2</v>
      </c>
      <c r="BZ15" s="19">
        <v>1.5913647093750702E-3</v>
      </c>
      <c r="CA15" s="18">
        <v>-1.903193994984255E-2</v>
      </c>
      <c r="CB15" s="19">
        <v>1.5914589179289761E-3</v>
      </c>
      <c r="CC15" s="18">
        <v>-1.9033066637854503E-2</v>
      </c>
      <c r="CD15" s="19">
        <v>33.2550004</v>
      </c>
      <c r="CE15" s="18" t="b">
        <v>1</v>
      </c>
    </row>
    <row r="16" spans="1:83" x14ac:dyDescent="0.25">
      <c r="A16" s="15">
        <v>43959</v>
      </c>
      <c r="B16" s="16">
        <v>257.33</v>
      </c>
      <c r="C16" s="16">
        <v>1.6552105554238753E-2</v>
      </c>
      <c r="D16" s="17">
        <v>0.29172629743282286</v>
      </c>
      <c r="F16" s="16">
        <v>-1.3096024559903535E-2</v>
      </c>
      <c r="G16" s="16">
        <v>1.6552105554238753E-2</v>
      </c>
      <c r="H16" s="16">
        <v>4.0456925273678482E-3</v>
      </c>
      <c r="I16" s="17">
        <v>0.29172629743282286</v>
      </c>
      <c r="J16" s="17">
        <v>34.050000400000002</v>
      </c>
      <c r="K16" s="16">
        <v>45.214509014035059</v>
      </c>
      <c r="L16" s="17">
        <v>-11.164508614035057</v>
      </c>
      <c r="M16" s="17">
        <v>0.29172629743282286</v>
      </c>
      <c r="N16" s="16" t="b">
        <v>1</v>
      </c>
      <c r="O16" s="16" t="b">
        <v>1</v>
      </c>
      <c r="P16" s="17">
        <v>9.5311682671308517E-2</v>
      </c>
      <c r="Q16" s="16">
        <v>-3.256980760629304</v>
      </c>
      <c r="R16" s="16">
        <v>-1.0641081022019998</v>
      </c>
      <c r="S16" s="17">
        <v>4.0751832722028182E-2</v>
      </c>
      <c r="T16" s="17">
        <v>1.5914759434505219E-3</v>
      </c>
      <c r="U16" s="16">
        <v>-0.45497418746279933</v>
      </c>
      <c r="V16" s="16">
        <v>-1.7768046879682919E-2</v>
      </c>
      <c r="W16" s="17">
        <v>4.2867611724490213E-3</v>
      </c>
      <c r="X16" s="17">
        <v>1.5915756643559884E-3</v>
      </c>
      <c r="Y16" s="16">
        <v>-4.785958203611812E-2</v>
      </c>
      <c r="Z16" s="16">
        <v>-1.7769160214591E-2</v>
      </c>
      <c r="AA16" s="17">
        <v>2.8136761843105738E-2</v>
      </c>
      <c r="AB16" s="17">
        <v>4.2863747882977331E-2</v>
      </c>
      <c r="AC16" s="16">
        <v>-0.31413311996840693</v>
      </c>
      <c r="AD16" s="16">
        <v>-0.47855268246932736</v>
      </c>
      <c r="AE16" s="17">
        <v>4.2870673284897722E-3</v>
      </c>
      <c r="AF16" s="17">
        <v>9.06511203372788E-3</v>
      </c>
      <c r="AG16" s="16">
        <v>-4.7863000117872319E-2</v>
      </c>
      <c r="AH16" s="16">
        <v>-0.10120752138774777</v>
      </c>
      <c r="AI16" s="17">
        <v>6.1766729341750308E-2</v>
      </c>
      <c r="AJ16" s="17">
        <v>1.5917358586429852E-3</v>
      </c>
      <c r="AK16" s="16">
        <v>-0.68959518179674317</v>
      </c>
      <c r="AL16" s="16">
        <v>-1.7770948705088097E-2</v>
      </c>
      <c r="AM16" s="17">
        <v>6.8371708610143536E-2</v>
      </c>
      <c r="AN16" s="17">
        <v>2.0653575991413892E-2</v>
      </c>
      <c r="AO16" s="16">
        <v>-0.76333652973424237</v>
      </c>
      <c r="AP16" s="16">
        <v>-0.23058702706676804</v>
      </c>
      <c r="AQ16" s="17">
        <v>1.8026310506875309E-2</v>
      </c>
      <c r="AR16" s="17">
        <v>1.3179888306233662E-2</v>
      </c>
      <c r="AS16" s="16">
        <v>-0.20125489893328005</v>
      </c>
      <c r="AT16" s="16">
        <v>-0.14714697652696565</v>
      </c>
      <c r="AU16" s="17">
        <v>4.2871073565977254E-3</v>
      </c>
      <c r="AV16" s="17">
        <v>1.5917473632021156E-3</v>
      </c>
      <c r="AW16" s="16">
        <v>-4.7863447012028368E-2</v>
      </c>
      <c r="AX16" s="16">
        <v>-1.777107714783761E-2</v>
      </c>
      <c r="AY16" s="17">
        <v>5.7524593295812776E-2</v>
      </c>
      <c r="AZ16" s="17">
        <v>1.5913647093750702E-3</v>
      </c>
      <c r="BA16" s="16">
        <v>-0.64223381736996499</v>
      </c>
      <c r="BB16" s="16">
        <v>-1.7766805005889365E-2</v>
      </c>
      <c r="BC16" s="17">
        <v>4.2874252555701571E-3</v>
      </c>
      <c r="BD16" s="17">
        <v>1.5914589179289761E-3</v>
      </c>
      <c r="BE16" s="16">
        <v>-4.7866996197844479E-2</v>
      </c>
      <c r="BF16" s="16">
        <v>-1.7767856798100966E-2</v>
      </c>
      <c r="BH16" s="19">
        <v>0.29172629743282286</v>
      </c>
      <c r="BI16" s="18">
        <v>-3.256980760629304</v>
      </c>
      <c r="BJ16" s="19">
        <v>4.0751832722028182E-2</v>
      </c>
      <c r="BK16" s="18">
        <v>-0.45497418746279933</v>
      </c>
      <c r="BL16" s="19">
        <v>4.2867611724490213E-3</v>
      </c>
      <c r="BM16" s="18">
        <v>-4.785958203611812E-2</v>
      </c>
      <c r="BN16" s="19">
        <v>2.8136761843105738E-2</v>
      </c>
      <c r="BO16" s="18">
        <v>-0.31413311996840693</v>
      </c>
      <c r="BP16" s="19">
        <v>4.2870673284897722E-3</v>
      </c>
      <c r="BQ16" s="18">
        <v>-4.7863000117872319E-2</v>
      </c>
      <c r="BR16" s="19">
        <v>6.1766729341750308E-2</v>
      </c>
      <c r="BS16" s="18">
        <v>-0.68959518179674317</v>
      </c>
      <c r="BT16" s="19">
        <v>6.8371708610143536E-2</v>
      </c>
      <c r="BU16" s="18">
        <v>-0.76333652973424237</v>
      </c>
      <c r="BV16" s="19">
        <v>1.8026310506875309E-2</v>
      </c>
      <c r="BW16" s="18">
        <v>-0.20125489893328005</v>
      </c>
      <c r="BX16" s="19">
        <v>4.2871073565977254E-3</v>
      </c>
      <c r="BY16" s="18">
        <v>-4.7863447012028368E-2</v>
      </c>
      <c r="BZ16" s="19">
        <v>5.7524593295812776E-2</v>
      </c>
      <c r="CA16" s="18">
        <v>-0.64223381736996499</v>
      </c>
      <c r="CB16" s="19">
        <v>4.2874252555701571E-3</v>
      </c>
      <c r="CC16" s="18">
        <v>-4.7866996197844479E-2</v>
      </c>
      <c r="CD16" s="19">
        <v>34.050000400000002</v>
      </c>
      <c r="CE16" s="18" t="b">
        <v>1</v>
      </c>
    </row>
    <row r="17" spans="1:83" x14ac:dyDescent="0.25">
      <c r="A17" s="15">
        <v>43958</v>
      </c>
      <c r="B17" s="16">
        <v>253.14</v>
      </c>
      <c r="C17" s="16">
        <v>4.0456925273678482E-3</v>
      </c>
      <c r="D17" s="17">
        <v>-0.23442382345508253</v>
      </c>
      <c r="F17" s="16">
        <v>1.6552105554238753E-2</v>
      </c>
      <c r="G17" s="16">
        <v>4.0456925273678482E-3</v>
      </c>
      <c r="H17" s="16">
        <v>-6.1103007844837114E-3</v>
      </c>
      <c r="I17" s="17">
        <v>-0.23442382345508253</v>
      </c>
      <c r="J17" s="17">
        <v>35.044000400000002</v>
      </c>
      <c r="K17" s="16">
        <v>45.214509014035059</v>
      </c>
      <c r="L17" s="17">
        <v>-10.170508614035057</v>
      </c>
      <c r="M17" s="17">
        <v>-0.23442382345508253</v>
      </c>
      <c r="N17" s="16" t="b">
        <v>1</v>
      </c>
      <c r="O17" s="16" t="b">
        <v>1</v>
      </c>
      <c r="P17" s="17">
        <v>0.29172629743282286</v>
      </c>
      <c r="Q17" s="16">
        <v>2.3842095157849506</v>
      </c>
      <c r="R17" s="16">
        <v>-2.967004820981078</v>
      </c>
      <c r="S17" s="17">
        <v>-3.5818737551425602E-3</v>
      </c>
      <c r="T17" s="17">
        <v>4.0751832722028182E-2</v>
      </c>
      <c r="U17" s="16">
        <v>3.6429477881063509E-2</v>
      </c>
      <c r="V17" s="16">
        <v>-0.41446686573710334</v>
      </c>
      <c r="W17" s="17">
        <v>-3.5819131495890924E-3</v>
      </c>
      <c r="X17" s="17">
        <v>4.2867611724490213E-3</v>
      </c>
      <c r="Y17" s="16">
        <v>3.6429878542621308E-2</v>
      </c>
      <c r="Z17" s="16">
        <v>-4.359854143070379E-2</v>
      </c>
      <c r="AA17" s="17">
        <v>-3.582024853674988E-3</v>
      </c>
      <c r="AB17" s="17">
        <v>2.8136761843105738E-2</v>
      </c>
      <c r="AC17" s="16">
        <v>3.6431014629989128E-2</v>
      </c>
      <c r="AD17" s="16">
        <v>-0.28616517869635982</v>
      </c>
      <c r="AE17" s="17">
        <v>-3.0093028263110756E-2</v>
      </c>
      <c r="AF17" s="17">
        <v>4.2870673284897722E-3</v>
      </c>
      <c r="AG17" s="16">
        <v>0.30606140317236841</v>
      </c>
      <c r="AH17" s="16">
        <v>-4.3601655193353489E-2</v>
      </c>
      <c r="AI17" s="17">
        <v>-3.5822543275427178E-3</v>
      </c>
      <c r="AJ17" s="17">
        <v>6.1766729341750308E-2</v>
      </c>
      <c r="AK17" s="16">
        <v>3.6433348495937573E-2</v>
      </c>
      <c r="AL17" s="16">
        <v>-0.62819905283104338</v>
      </c>
      <c r="AM17" s="17">
        <v>-3.7551567646014278E-2</v>
      </c>
      <c r="AN17" s="17">
        <v>6.8371708610143536E-2</v>
      </c>
      <c r="AO17" s="16">
        <v>0.38191854221430838</v>
      </c>
      <c r="AP17" s="16">
        <v>-0.69537505137575972</v>
      </c>
      <c r="AQ17" s="17">
        <v>-4.7954920898685659E-2</v>
      </c>
      <c r="AR17" s="17">
        <v>1.8026310506875309E-2</v>
      </c>
      <c r="AS17" s="16">
        <v>0.48772593608545228</v>
      </c>
      <c r="AT17" s="16">
        <v>-0.18333674628944599</v>
      </c>
      <c r="AU17" s="17">
        <v>-4.7807699933113644E-2</v>
      </c>
      <c r="AV17" s="17">
        <v>4.2871073565977254E-3</v>
      </c>
      <c r="AW17" s="16">
        <v>0.48622862398693556</v>
      </c>
      <c r="AX17" s="16">
        <v>-4.3602062299570234E-2</v>
      </c>
      <c r="AY17" s="17">
        <v>-3.5818343514204738E-3</v>
      </c>
      <c r="AZ17" s="17">
        <v>5.7524593295812776E-2</v>
      </c>
      <c r="BA17" s="16">
        <v>3.6429077125168602E-2</v>
      </c>
      <c r="BB17" s="16">
        <v>-0.58505437163392715</v>
      </c>
      <c r="BC17" s="17">
        <v>-5.3106706276788151E-2</v>
      </c>
      <c r="BD17" s="17">
        <v>4.2874252555701571E-3</v>
      </c>
      <c r="BE17" s="16">
        <v>0.54012221365110358</v>
      </c>
      <c r="BF17" s="16">
        <v>-4.360529549380774E-2</v>
      </c>
      <c r="BH17" s="19">
        <v>-0.23442382345508253</v>
      </c>
      <c r="BI17" s="18">
        <v>2.3842095157849506</v>
      </c>
      <c r="BJ17" s="19">
        <v>-3.5818737551425602E-3</v>
      </c>
      <c r="BK17" s="18">
        <v>3.6429477881063509E-2</v>
      </c>
      <c r="BL17" s="19">
        <v>-3.5819131495890924E-3</v>
      </c>
      <c r="BM17" s="18">
        <v>3.6429878542621308E-2</v>
      </c>
      <c r="BN17" s="19">
        <v>-3.582024853674988E-3</v>
      </c>
      <c r="BO17" s="18">
        <v>3.6431014629989128E-2</v>
      </c>
      <c r="BP17" s="19">
        <v>-3.0093028263110756E-2</v>
      </c>
      <c r="BQ17" s="18">
        <v>0.30606140317236841</v>
      </c>
      <c r="BR17" s="19">
        <v>-3.5822543275427178E-3</v>
      </c>
      <c r="BS17" s="18">
        <v>3.6433348495937573E-2</v>
      </c>
      <c r="BT17" s="19">
        <v>-3.7551567646014278E-2</v>
      </c>
      <c r="BU17" s="18">
        <v>0.38191854221430838</v>
      </c>
      <c r="BV17" s="19">
        <v>-4.7954920898685659E-2</v>
      </c>
      <c r="BW17" s="18">
        <v>0.48772593608545228</v>
      </c>
      <c r="BX17" s="19">
        <v>-4.7807699933113644E-2</v>
      </c>
      <c r="BY17" s="18">
        <v>0.48622862398693556</v>
      </c>
      <c r="BZ17" s="19">
        <v>-3.5818343514204738E-3</v>
      </c>
      <c r="CA17" s="18">
        <v>3.6429077125168602E-2</v>
      </c>
      <c r="CB17" s="19">
        <v>-5.3106706276788151E-2</v>
      </c>
      <c r="CC17" s="18">
        <v>0.54012221365110358</v>
      </c>
      <c r="CD17" s="19">
        <v>35.044000400000002</v>
      </c>
      <c r="CE17" s="18" t="b">
        <v>1</v>
      </c>
    </row>
    <row r="18" spans="1:83" x14ac:dyDescent="0.25">
      <c r="A18" s="15">
        <v>43957</v>
      </c>
      <c r="B18" s="16">
        <v>252.12</v>
      </c>
      <c r="C18" s="16">
        <v>-6.1103007844837114E-3</v>
      </c>
      <c r="D18" s="17">
        <v>-2.1146204477796953E-2</v>
      </c>
      <c r="F18" s="16">
        <v>4.0456925273678482E-3</v>
      </c>
      <c r="G18" s="16">
        <v>-6.1103007844837114E-3</v>
      </c>
      <c r="H18" s="16">
        <v>7.1465438519870686E-3</v>
      </c>
      <c r="I18" s="17">
        <v>-2.1146204477796953E-2</v>
      </c>
      <c r="J18" s="17">
        <v>35.830000499999997</v>
      </c>
      <c r="K18" s="16">
        <v>45.214509014035059</v>
      </c>
      <c r="L18" s="17">
        <v>-9.3845085140350619</v>
      </c>
      <c r="M18" s="17">
        <v>-2.1146204477796953E-2</v>
      </c>
      <c r="N18" s="16" t="b">
        <v>1</v>
      </c>
      <c r="O18" s="16" t="b">
        <v>1</v>
      </c>
      <c r="P18" s="17">
        <v>-0.23442382345508253</v>
      </c>
      <c r="Q18" s="16">
        <v>0.19844673596141185</v>
      </c>
      <c r="R18" s="16">
        <v>2.1999523671068744</v>
      </c>
      <c r="S18" s="17">
        <v>-3.8910877398021015E-4</v>
      </c>
      <c r="T18" s="17">
        <v>-3.5818737551425602E-3</v>
      </c>
      <c r="U18" s="16">
        <v>3.6515946023030267E-3</v>
      </c>
      <c r="V18" s="16">
        <v>3.3614124751334094E-2</v>
      </c>
      <c r="W18" s="17">
        <v>-3.8911296934307027E-4</v>
      </c>
      <c r="X18" s="17">
        <v>-3.5819131495890924E-3</v>
      </c>
      <c r="Y18" s="16">
        <v>3.6516339737215071E-3</v>
      </c>
      <c r="Z18" s="16">
        <v>3.3614494448852984E-2</v>
      </c>
      <c r="AA18" s="17">
        <v>-3.8913929979446024E-4</v>
      </c>
      <c r="AB18" s="17">
        <v>-3.582024853674988E-3</v>
      </c>
      <c r="AC18" s="16">
        <v>3.6518810720667545E-3</v>
      </c>
      <c r="AD18" s="16">
        <v>3.3615542736798121E-2</v>
      </c>
      <c r="AE18" s="17">
        <v>-3.3260198391362921E-3</v>
      </c>
      <c r="AF18" s="17">
        <v>-3.0093028263110756E-2</v>
      </c>
      <c r="AG18" s="16">
        <v>3.121306149822406E-2</v>
      </c>
      <c r="AH18" s="16">
        <v>0.28240827994826062</v>
      </c>
      <c r="AI18" s="17">
        <v>-3.8914218522612484E-4</v>
      </c>
      <c r="AJ18" s="17">
        <v>-3.5822543275427178E-3</v>
      </c>
      <c r="AK18" s="16">
        <v>3.6519081504247778E-3</v>
      </c>
      <c r="AL18" s="16">
        <v>3.3617696236263581E-2</v>
      </c>
      <c r="AM18" s="17">
        <v>-3.0322835667519542E-3</v>
      </c>
      <c r="AN18" s="17">
        <v>-3.7551567646014278E-2</v>
      </c>
      <c r="AO18" s="16">
        <v>2.845649094915232E-2</v>
      </c>
      <c r="AP18" s="16">
        <v>0.35240300628938453</v>
      </c>
      <c r="AQ18" s="17">
        <v>-5.3088061077177914E-3</v>
      </c>
      <c r="AR18" s="17">
        <v>-4.7954920898685659E-2</v>
      </c>
      <c r="AS18" s="16">
        <v>4.9820536117238953E-2</v>
      </c>
      <c r="AT18" s="16">
        <v>0.45003336346359346</v>
      </c>
      <c r="AU18" s="17">
        <v>-3.4099239780294166E-3</v>
      </c>
      <c r="AV18" s="17">
        <v>-4.7807699933113644E-2</v>
      </c>
      <c r="AW18" s="16">
        <v>3.200046060402937E-2</v>
      </c>
      <c r="AX18" s="16">
        <v>0.44865176705873844</v>
      </c>
      <c r="AY18" s="17">
        <v>-1.7740851763834208E-3</v>
      </c>
      <c r="AZ18" s="17">
        <v>-3.5818343514204738E-3</v>
      </c>
      <c r="BA18" s="16">
        <v>1.6648917442393607E-2</v>
      </c>
      <c r="BB18" s="16">
        <v>3.3613754966768689E-2</v>
      </c>
      <c r="BC18" s="17">
        <v>-2.7385825814341918E-3</v>
      </c>
      <c r="BD18" s="17">
        <v>-5.3106706276788151E-2</v>
      </c>
      <c r="BE18" s="16">
        <v>2.5700251551857293E-2</v>
      </c>
      <c r="BF18" s="16">
        <v>0.49838033720687769</v>
      </c>
      <c r="BH18" s="19">
        <v>-2.1146204477796953E-2</v>
      </c>
      <c r="BI18" s="18">
        <v>0.19844673596141185</v>
      </c>
      <c r="BJ18" s="19">
        <v>-3.8910877398021015E-4</v>
      </c>
      <c r="BK18" s="18">
        <v>3.6515946023030267E-3</v>
      </c>
      <c r="BL18" s="19">
        <v>-3.8911296934307027E-4</v>
      </c>
      <c r="BM18" s="18">
        <v>3.6516339737215071E-3</v>
      </c>
      <c r="BN18" s="19">
        <v>-3.8913929979446024E-4</v>
      </c>
      <c r="BO18" s="18">
        <v>3.6518810720667545E-3</v>
      </c>
      <c r="BP18" s="19">
        <v>-3.3260198391362921E-3</v>
      </c>
      <c r="BQ18" s="18">
        <v>3.121306149822406E-2</v>
      </c>
      <c r="BR18" s="19">
        <v>-3.8914218522612484E-4</v>
      </c>
      <c r="BS18" s="18">
        <v>3.6519081504247778E-3</v>
      </c>
      <c r="BT18" s="19">
        <v>-3.0322835667519542E-3</v>
      </c>
      <c r="BU18" s="18">
        <v>2.845649094915232E-2</v>
      </c>
      <c r="BV18" s="19">
        <v>-5.3088061077177914E-3</v>
      </c>
      <c r="BW18" s="18">
        <v>4.9820536117238953E-2</v>
      </c>
      <c r="BX18" s="19">
        <v>-3.4099239780294166E-3</v>
      </c>
      <c r="BY18" s="18">
        <v>3.200046060402937E-2</v>
      </c>
      <c r="BZ18" s="19">
        <v>-1.7740851763834208E-3</v>
      </c>
      <c r="CA18" s="18">
        <v>1.6648917442393607E-2</v>
      </c>
      <c r="CB18" s="19">
        <v>-2.7385825814341918E-3</v>
      </c>
      <c r="CC18" s="18">
        <v>2.5700251551857293E-2</v>
      </c>
      <c r="CD18" s="19">
        <v>35.830000499999997</v>
      </c>
      <c r="CE18" s="18" t="b">
        <v>1</v>
      </c>
    </row>
    <row r="19" spans="1:83" x14ac:dyDescent="0.25">
      <c r="A19" s="15">
        <v>43956</v>
      </c>
      <c r="B19" s="16">
        <v>253.67</v>
      </c>
      <c r="C19" s="16">
        <v>7.1465438519870686E-3</v>
      </c>
      <c r="D19" s="17">
        <v>0.23377028697480759</v>
      </c>
      <c r="F19" s="16">
        <v>-6.1103007844837114E-3</v>
      </c>
      <c r="G19" s="16">
        <v>7.1465438519870686E-3</v>
      </c>
      <c r="H19" s="16">
        <v>-1.5902164569821024E-2</v>
      </c>
      <c r="I19" s="17">
        <v>0.23377028697480759</v>
      </c>
      <c r="J19" s="17">
        <v>37.010000400000003</v>
      </c>
      <c r="K19" s="16">
        <v>45.214509014035059</v>
      </c>
      <c r="L19" s="17">
        <v>-8.2045086140350563</v>
      </c>
      <c r="M19" s="17">
        <v>0.23377028697480759</v>
      </c>
      <c r="N19" s="16" t="b">
        <v>1</v>
      </c>
      <c r="O19" s="16" t="b">
        <v>1</v>
      </c>
      <c r="P19" s="17">
        <v>-2.1146204477796953E-2</v>
      </c>
      <c r="Q19" s="16">
        <v>-1.917970333190256</v>
      </c>
      <c r="R19" s="16">
        <v>0.17349421679223179</v>
      </c>
      <c r="S19" s="17">
        <v>3.6088494894241986E-3</v>
      </c>
      <c r="T19" s="17">
        <v>-3.8910877398021015E-4</v>
      </c>
      <c r="U19" s="16">
        <v>-2.9608836722736852E-2</v>
      </c>
      <c r="V19" s="16">
        <v>3.1924462879172541E-3</v>
      </c>
      <c r="W19" s="17">
        <v>3.6088050963376506E-3</v>
      </c>
      <c r="X19" s="17">
        <v>-3.8911296934307027E-4</v>
      </c>
      <c r="Y19" s="16">
        <v>-2.9608472499275864E-2</v>
      </c>
      <c r="Z19" s="16">
        <v>3.192480708807979E-3</v>
      </c>
      <c r="AA19" s="17">
        <v>3.6089485401624034E-3</v>
      </c>
      <c r="AB19" s="17">
        <v>-3.8913929979446024E-4</v>
      </c>
      <c r="AC19" s="16">
        <v>-2.9609649385371681E-2</v>
      </c>
      <c r="AD19" s="16">
        <v>3.1926967372232192E-3</v>
      </c>
      <c r="AE19" s="17">
        <v>4.9249058986688923E-2</v>
      </c>
      <c r="AF19" s="17">
        <v>-3.3260198391362921E-3</v>
      </c>
      <c r="AG19" s="16">
        <v>-0.40406432868940989</v>
      </c>
      <c r="AH19" s="16">
        <v>2.7288358420645201E-2</v>
      </c>
      <c r="AI19" s="17">
        <v>2.1912741931488986E-2</v>
      </c>
      <c r="AJ19" s="17">
        <v>-3.8914218522612484E-4</v>
      </c>
      <c r="AK19" s="16">
        <v>-0.17978327993402857</v>
      </c>
      <c r="AL19" s="16">
        <v>3.1927204107721667E-3</v>
      </c>
      <c r="AM19" s="17">
        <v>5.4628504603161543E-2</v>
      </c>
      <c r="AN19" s="17">
        <v>-3.0322835667519542E-3</v>
      </c>
      <c r="AO19" s="16">
        <v>-0.44820003658849261</v>
      </c>
      <c r="AP19" s="16">
        <v>2.4878396643613354E-2</v>
      </c>
      <c r="AQ19" s="17">
        <v>3.609258504372076E-3</v>
      </c>
      <c r="AR19" s="17">
        <v>-5.3088061077177914E-3</v>
      </c>
      <c r="AS19" s="16">
        <v>-2.9612192489399981E-2</v>
      </c>
      <c r="AT19" s="16">
        <v>4.3556145441012536E-2</v>
      </c>
      <c r="AU19" s="17">
        <v>2.633635457388734E-2</v>
      </c>
      <c r="AV19" s="17">
        <v>-3.4099239780294166E-3</v>
      </c>
      <c r="AW19" s="16">
        <v>-0.21607684796374024</v>
      </c>
      <c r="AX19" s="16">
        <v>2.7976750650947034E-2</v>
      </c>
      <c r="AY19" s="17">
        <v>4.6652164569905376E-2</v>
      </c>
      <c r="AZ19" s="17">
        <v>-1.7740851763834208E-3</v>
      </c>
      <c r="BA19" s="16">
        <v>-0.38275808607716971</v>
      </c>
      <c r="BB19" s="16">
        <v>1.4555497111669678E-2</v>
      </c>
      <c r="BC19" s="17">
        <v>2.0555600679378824E-2</v>
      </c>
      <c r="BD19" s="17">
        <v>-2.7385825814341918E-3</v>
      </c>
      <c r="BE19" s="16">
        <v>-0.16864860284062841</v>
      </c>
      <c r="BF19" s="16">
        <v>2.2468724379623189E-2</v>
      </c>
      <c r="BH19" s="19">
        <v>0.23377028697480759</v>
      </c>
      <c r="BI19" s="18">
        <v>-1.917970333190256</v>
      </c>
      <c r="BJ19" s="19">
        <v>3.6088494894241986E-3</v>
      </c>
      <c r="BK19" s="18">
        <v>-2.9608836722736852E-2</v>
      </c>
      <c r="BL19" s="19">
        <v>3.6088050963376506E-3</v>
      </c>
      <c r="BM19" s="18">
        <v>-2.9608472499275864E-2</v>
      </c>
      <c r="BN19" s="19">
        <v>3.6089485401624034E-3</v>
      </c>
      <c r="BO19" s="18">
        <v>-2.9609649385371681E-2</v>
      </c>
      <c r="BP19" s="19">
        <v>4.9249058986688923E-2</v>
      </c>
      <c r="BQ19" s="18">
        <v>-0.40406432868940989</v>
      </c>
      <c r="BR19" s="19">
        <v>2.1912741931488986E-2</v>
      </c>
      <c r="BS19" s="18">
        <v>-0.17978327993402857</v>
      </c>
      <c r="BT19" s="19">
        <v>5.4628504603161543E-2</v>
      </c>
      <c r="BU19" s="18">
        <v>-0.44820003658849261</v>
      </c>
      <c r="BV19" s="19">
        <v>3.609258504372076E-3</v>
      </c>
      <c r="BW19" s="18">
        <v>-2.9612192489399981E-2</v>
      </c>
      <c r="BX19" s="19">
        <v>2.633635457388734E-2</v>
      </c>
      <c r="BY19" s="18">
        <v>-0.21607684796374024</v>
      </c>
      <c r="BZ19" s="19">
        <v>4.6652164569905376E-2</v>
      </c>
      <c r="CA19" s="18">
        <v>-0.38275808607716971</v>
      </c>
      <c r="CB19" s="19">
        <v>2.0555600679378824E-2</v>
      </c>
      <c r="CC19" s="18">
        <v>-0.16864860284062841</v>
      </c>
      <c r="CD19" s="19">
        <v>37.010000400000003</v>
      </c>
      <c r="CE19" s="18" t="b">
        <v>1</v>
      </c>
    </row>
    <row r="20" spans="1:83" x14ac:dyDescent="0.25">
      <c r="A20" s="15">
        <v>43955</v>
      </c>
      <c r="B20" s="16">
        <v>251.87</v>
      </c>
      <c r="C20" s="16">
        <v>-1.5902164569821024E-2</v>
      </c>
      <c r="D20" s="17">
        <v>-0.15081174378948553</v>
      </c>
      <c r="F20" s="16">
        <v>7.1465438519870686E-3</v>
      </c>
      <c r="G20" s="16">
        <v>-1.5902164569821024E-2</v>
      </c>
      <c r="H20" s="16">
        <v>-2.8248158554180263E-2</v>
      </c>
      <c r="I20" s="17">
        <v>-0.15081174378948553</v>
      </c>
      <c r="J20" s="17">
        <v>37.796000499999998</v>
      </c>
      <c r="K20" s="16">
        <v>45.214509014035059</v>
      </c>
      <c r="L20" s="17">
        <v>-7.4185085140350608</v>
      </c>
      <c r="M20" s="17">
        <v>-0.15081174378948553</v>
      </c>
      <c r="N20" s="16" t="b">
        <v>1</v>
      </c>
      <c r="O20" s="16" t="b">
        <v>1</v>
      </c>
      <c r="P20" s="17">
        <v>0.23377028697480759</v>
      </c>
      <c r="Q20" s="16">
        <v>1.1187982053187726</v>
      </c>
      <c r="R20" s="16">
        <v>-1.7342268642510297</v>
      </c>
      <c r="S20" s="17">
        <v>-3.4534087849418436E-3</v>
      </c>
      <c r="T20" s="17">
        <v>3.6088494894241986E-3</v>
      </c>
      <c r="U20" s="16">
        <v>2.5619142473534542E-2</v>
      </c>
      <c r="V20" s="16">
        <v>-2.6772280663164498E-2</v>
      </c>
      <c r="W20" s="17">
        <v>-3.4532711014385658E-3</v>
      </c>
      <c r="X20" s="17">
        <v>3.6088050963376506E-3</v>
      </c>
      <c r="Y20" s="16">
        <v>2.5618121067293234E-2</v>
      </c>
      <c r="Z20" s="16">
        <v>-2.6771951332673977E-2</v>
      </c>
      <c r="AA20" s="17">
        <v>-1.9611588317032309E-2</v>
      </c>
      <c r="AB20" s="17">
        <v>3.6089485401624034E-3</v>
      </c>
      <c r="AC20" s="16">
        <v>0.14548873490365472</v>
      </c>
      <c r="AD20" s="16">
        <v>-2.6773015471909193E-2</v>
      </c>
      <c r="AE20" s="17">
        <v>-2.0688179906048758E-2</v>
      </c>
      <c r="AF20" s="17">
        <v>4.9249058986688923E-2</v>
      </c>
      <c r="AG20" s="16">
        <v>0.15347543877291178</v>
      </c>
      <c r="AH20" s="16">
        <v>-0.36535456340096673</v>
      </c>
      <c r="AI20" s="17">
        <v>-3.4533069211431914E-3</v>
      </c>
      <c r="AJ20" s="17">
        <v>2.1912741931488986E-2</v>
      </c>
      <c r="AK20" s="16">
        <v>2.5618386796076968E-2</v>
      </c>
      <c r="AL20" s="16">
        <v>-0.16255986258460411</v>
      </c>
      <c r="AM20" s="17">
        <v>-4.0557135635876235E-2</v>
      </c>
      <c r="AN20" s="17">
        <v>5.4628504603161543E-2</v>
      </c>
      <c r="AO20" s="16">
        <v>0.30087345601962262</v>
      </c>
      <c r="AP20" s="16">
        <v>-0.40526202650755744</v>
      </c>
      <c r="AQ20" s="17">
        <v>-2.2304570133900411E-2</v>
      </c>
      <c r="AR20" s="17">
        <v>3.609258504372076E-3</v>
      </c>
      <c r="AS20" s="16">
        <v>0.16546664344023235</v>
      </c>
      <c r="AT20" s="16">
        <v>-2.6775314944037697E-2</v>
      </c>
      <c r="AU20" s="17">
        <v>-3.4533926186746367E-3</v>
      </c>
      <c r="AV20" s="17">
        <v>2.633635457388734E-2</v>
      </c>
      <c r="AW20" s="16">
        <v>2.5619022543943628E-2</v>
      </c>
      <c r="AX20" s="16">
        <v>-0.19537647063502944</v>
      </c>
      <c r="AY20" s="17">
        <v>-3.0383161021022721E-2</v>
      </c>
      <c r="AZ20" s="17">
        <v>4.6652164569905376E-2</v>
      </c>
      <c r="BA20" s="16">
        <v>0.22539773871775526</v>
      </c>
      <c r="BB20" s="16">
        <v>-0.34608948006000784</v>
      </c>
      <c r="BC20" s="17">
        <v>-3.4537293494067284E-3</v>
      </c>
      <c r="BD20" s="17">
        <v>2.0555600679378824E-2</v>
      </c>
      <c r="BE20" s="16">
        <v>2.5621520583746588E-2</v>
      </c>
      <c r="BF20" s="16">
        <v>-0.15249189865107668</v>
      </c>
      <c r="BH20" s="19">
        <v>-0.15081174378948553</v>
      </c>
      <c r="BI20" s="18">
        <v>1.1187982053187726</v>
      </c>
      <c r="BJ20" s="19">
        <v>-3.4534087849418436E-3</v>
      </c>
      <c r="BK20" s="18">
        <v>2.5619142473534542E-2</v>
      </c>
      <c r="BL20" s="19">
        <v>-3.4532711014385658E-3</v>
      </c>
      <c r="BM20" s="18">
        <v>2.5618121067293234E-2</v>
      </c>
      <c r="BN20" s="19">
        <v>-1.9611588317032309E-2</v>
      </c>
      <c r="BO20" s="18">
        <v>0.14548873490365472</v>
      </c>
      <c r="BP20" s="19">
        <v>-2.0688179906048758E-2</v>
      </c>
      <c r="BQ20" s="18">
        <v>0.15347543877291178</v>
      </c>
      <c r="BR20" s="19">
        <v>-3.4533069211431914E-3</v>
      </c>
      <c r="BS20" s="18">
        <v>2.5618386796076968E-2</v>
      </c>
      <c r="BT20" s="19">
        <v>-4.0557135635876235E-2</v>
      </c>
      <c r="BU20" s="18">
        <v>0.30087345601962262</v>
      </c>
      <c r="BV20" s="19">
        <v>-2.2304570133900411E-2</v>
      </c>
      <c r="BW20" s="18">
        <v>0.16546664344023235</v>
      </c>
      <c r="BX20" s="19">
        <v>-3.4533926186746367E-3</v>
      </c>
      <c r="BY20" s="18">
        <v>2.5619022543943628E-2</v>
      </c>
      <c r="BZ20" s="19">
        <v>-3.0383161021022721E-2</v>
      </c>
      <c r="CA20" s="18">
        <v>0.22539773871775526</v>
      </c>
      <c r="CB20" s="19">
        <v>-3.4537293494067284E-3</v>
      </c>
      <c r="CC20" s="18">
        <v>2.5621520583746588E-2</v>
      </c>
      <c r="CD20" s="19">
        <v>37.796000499999998</v>
      </c>
      <c r="CE20" s="18" t="b">
        <v>1</v>
      </c>
    </row>
    <row r="21" spans="1:83" x14ac:dyDescent="0.25">
      <c r="A21" s="15">
        <v>43952</v>
      </c>
      <c r="B21" s="16">
        <v>255.94</v>
      </c>
      <c r="C21" s="16">
        <v>-2.8248158554180263E-2</v>
      </c>
      <c r="D21" s="17">
        <v>-0.15819044224917889</v>
      </c>
      <c r="F21" s="16">
        <v>-1.5902164569821024E-2</v>
      </c>
      <c r="G21" s="16">
        <v>-2.8248158554180263E-2</v>
      </c>
      <c r="H21" s="16">
        <v>-1.9361084220716317E-2</v>
      </c>
      <c r="I21" s="17">
        <v>-0.15819044224917889</v>
      </c>
      <c r="J21" s="17">
        <v>37.892000799999991</v>
      </c>
      <c r="K21" s="16">
        <v>45.214509014035059</v>
      </c>
      <c r="L21" s="17">
        <v>-7.3225082140350679</v>
      </c>
      <c r="M21" s="17">
        <v>-0.15819044224917889</v>
      </c>
      <c r="N21" s="16" t="b">
        <v>1</v>
      </c>
      <c r="O21" s="16" t="b">
        <v>1</v>
      </c>
      <c r="P21" s="17">
        <v>-0.15081174378948553</v>
      </c>
      <c r="Q21" s="16">
        <v>1.1583508127514524</v>
      </c>
      <c r="R21" s="16">
        <v>1.1043202326714598</v>
      </c>
      <c r="S21" s="17">
        <v>-2.4350381749567275E-3</v>
      </c>
      <c r="T21" s="17">
        <v>-3.4534087849418436E-3</v>
      </c>
      <c r="U21" s="16">
        <v>1.7830587037609598E-2</v>
      </c>
      <c r="V21" s="16">
        <v>2.5287614194157513E-2</v>
      </c>
      <c r="W21" s="17">
        <v>-2.434916385736674E-3</v>
      </c>
      <c r="X21" s="17">
        <v>-3.4532711014385658E-3</v>
      </c>
      <c r="Y21" s="16">
        <v>1.7829695235045375E-2</v>
      </c>
      <c r="Z21" s="16">
        <v>2.5286606005573826E-2</v>
      </c>
      <c r="AA21" s="17">
        <v>-2.4349354257541199E-3</v>
      </c>
      <c r="AB21" s="17">
        <v>-1.9611588317032309E-2</v>
      </c>
      <c r="AC21" s="16">
        <v>1.7829834655729519E-2</v>
      </c>
      <c r="AD21" s="16">
        <v>0.14360601654174326</v>
      </c>
      <c r="AE21" s="17">
        <v>-2.4350595179123964E-3</v>
      </c>
      <c r="AF21" s="17">
        <v>-2.0688179906048758E-2</v>
      </c>
      <c r="AG21" s="16">
        <v>1.7830743321577795E-2</v>
      </c>
      <c r="AH21" s="16">
        <v>0.15148936729547727</v>
      </c>
      <c r="AI21" s="17">
        <v>-2.4350351032987961E-3</v>
      </c>
      <c r="AJ21" s="17">
        <v>-3.4533069211431914E-3</v>
      </c>
      <c r="AK21" s="16">
        <v>1.7830564545369163E-2</v>
      </c>
      <c r="AL21" s="16">
        <v>2.5286868295655171E-2</v>
      </c>
      <c r="AM21" s="17">
        <v>-2.2773682925267318E-2</v>
      </c>
      <c r="AN21" s="17">
        <v>-4.0557135635876235E-2</v>
      </c>
      <c r="AO21" s="16">
        <v>0.16676048028410009</v>
      </c>
      <c r="AP21" s="16">
        <v>0.29697995883143807</v>
      </c>
      <c r="AQ21" s="17">
        <v>-7.90261940704437E-2</v>
      </c>
      <c r="AR21" s="17">
        <v>-2.2304570133900411E-2</v>
      </c>
      <c r="AS21" s="16">
        <v>0.57866995520475339</v>
      </c>
      <c r="AT21" s="16">
        <v>0.16332539801600701</v>
      </c>
      <c r="AU21" s="17">
        <v>-2.4350827829411996E-3</v>
      </c>
      <c r="AV21" s="17">
        <v>-3.4533926186746367E-3</v>
      </c>
      <c r="AW21" s="16">
        <v>1.7830913679942308E-2</v>
      </c>
      <c r="AX21" s="16">
        <v>2.5287495816533102E-2</v>
      </c>
      <c r="AY21" s="17">
        <v>-2.1266942193614767E-2</v>
      </c>
      <c r="AZ21" s="17">
        <v>-3.0383161021022721E-2</v>
      </c>
      <c r="BA21" s="16">
        <v>0.1557273589001531</v>
      </c>
      <c r="BB21" s="16">
        <v>0.22248094614478897</v>
      </c>
      <c r="BC21" s="17">
        <v>-2.0513555669253079E-2</v>
      </c>
      <c r="BD21" s="17">
        <v>-3.4537293494067284E-3</v>
      </c>
      <c r="BE21" s="16">
        <v>0.15021067988717129</v>
      </c>
      <c r="BF21" s="16">
        <v>2.528996153008476E-2</v>
      </c>
      <c r="BH21" s="19">
        <v>-0.15819044224917889</v>
      </c>
      <c r="BI21" s="18">
        <v>1.1583508127514524</v>
      </c>
      <c r="BJ21" s="19">
        <v>-2.4350381749567275E-3</v>
      </c>
      <c r="BK21" s="18">
        <v>1.7830587037609598E-2</v>
      </c>
      <c r="BL21" s="19">
        <v>-2.434916385736674E-3</v>
      </c>
      <c r="BM21" s="18">
        <v>1.7829695235045375E-2</v>
      </c>
      <c r="BN21" s="19">
        <v>-2.4349354257541199E-3</v>
      </c>
      <c r="BO21" s="18">
        <v>1.7829834655729519E-2</v>
      </c>
      <c r="BP21" s="19">
        <v>-2.4350595179123964E-3</v>
      </c>
      <c r="BQ21" s="18">
        <v>1.7830743321577795E-2</v>
      </c>
      <c r="BR21" s="19">
        <v>-2.4350351032987961E-3</v>
      </c>
      <c r="BS21" s="18">
        <v>1.7830564545369163E-2</v>
      </c>
      <c r="BT21" s="19">
        <v>-2.2773682925267318E-2</v>
      </c>
      <c r="BU21" s="18">
        <v>0.16676048028410009</v>
      </c>
      <c r="BV21" s="19">
        <v>-7.90261940704437E-2</v>
      </c>
      <c r="BW21" s="18">
        <v>0.57866995520475339</v>
      </c>
      <c r="BX21" s="19">
        <v>-2.4350827829411996E-3</v>
      </c>
      <c r="BY21" s="18">
        <v>1.7830913679942308E-2</v>
      </c>
      <c r="BZ21" s="19">
        <v>-2.1266942193614767E-2</v>
      </c>
      <c r="CA21" s="18">
        <v>0.1557273589001531</v>
      </c>
      <c r="CB21" s="19">
        <v>-2.0513555669253079E-2</v>
      </c>
      <c r="CC21" s="18">
        <v>0.15021067988717129</v>
      </c>
      <c r="CD21" s="19">
        <v>37.892000799999991</v>
      </c>
      <c r="CE21" s="18" t="b">
        <v>1</v>
      </c>
    </row>
    <row r="22" spans="1:83" x14ac:dyDescent="0.25">
      <c r="A22" s="15">
        <v>43951</v>
      </c>
      <c r="B22" s="16">
        <v>263.38</v>
      </c>
      <c r="C22" s="16">
        <v>-1.9361084220716317E-2</v>
      </c>
      <c r="D22" s="17">
        <v>-0.11695043928921223</v>
      </c>
      <c r="F22" s="16">
        <v>-2.8248158554180263E-2</v>
      </c>
      <c r="G22" s="16">
        <v>-1.9361084220716317E-2</v>
      </c>
      <c r="H22" s="16">
        <v>1.1905658955617392E-2</v>
      </c>
      <c r="I22" s="17">
        <v>-0.11695043928921223</v>
      </c>
      <c r="J22" s="17">
        <v>38.488000700000001</v>
      </c>
      <c r="K22" s="16">
        <v>45.214509014035059</v>
      </c>
      <c r="L22" s="17">
        <v>-6.7265083140350583</v>
      </c>
      <c r="M22" s="17">
        <v>-0.11695043928921223</v>
      </c>
      <c r="N22" s="16" t="b">
        <v>1</v>
      </c>
      <c r="O22" s="16" t="b">
        <v>1</v>
      </c>
      <c r="P22" s="17">
        <v>-0.15819044224917889</v>
      </c>
      <c r="Q22" s="16">
        <v>0.78666810220893835</v>
      </c>
      <c r="R22" s="16">
        <v>1.0640693249899846</v>
      </c>
      <c r="S22" s="17">
        <v>-2.0812126079932354E-3</v>
      </c>
      <c r="T22" s="17">
        <v>-2.4350381749567275E-3</v>
      </c>
      <c r="U22" s="16">
        <v>1.3999293910941084E-2</v>
      </c>
      <c r="V22" s="16">
        <v>1.6379304528839182E-2</v>
      </c>
      <c r="W22" s="17">
        <v>-6.257889059890118E-3</v>
      </c>
      <c r="X22" s="17">
        <v>-2.434916385736674E-3</v>
      </c>
      <c r="Y22" s="16">
        <v>4.2093742789659917E-2</v>
      </c>
      <c r="Z22" s="16">
        <v>1.6378485312637935E-2</v>
      </c>
      <c r="AA22" s="17">
        <v>-1.461115374105099E-2</v>
      </c>
      <c r="AB22" s="17">
        <v>-2.4349354257541199E-3</v>
      </c>
      <c r="AC22" s="16">
        <v>9.8282047116823923E-2</v>
      </c>
      <c r="AD22" s="16">
        <v>1.6378613385473584E-2</v>
      </c>
      <c r="AE22" s="17">
        <v>-2.081331569868099E-3</v>
      </c>
      <c r="AF22" s="17">
        <v>-2.4350595179123964E-3</v>
      </c>
      <c r="AG22" s="16">
        <v>1.4000094108981408E-2</v>
      </c>
      <c r="AH22" s="16">
        <v>1.6379448092407937E-2</v>
      </c>
      <c r="AI22" s="17">
        <v>-1.544661453000408E-2</v>
      </c>
      <c r="AJ22" s="17">
        <v>-2.4350351032987961E-3</v>
      </c>
      <c r="AK22" s="16">
        <v>0.10390178105976718</v>
      </c>
      <c r="AL22" s="16">
        <v>1.6379283867306568E-2</v>
      </c>
      <c r="AM22" s="17">
        <v>-1.4519914710862706E-2</v>
      </c>
      <c r="AN22" s="17">
        <v>-2.2773682925267318E-2</v>
      </c>
      <c r="AO22" s="16">
        <v>9.7668327021697934E-2</v>
      </c>
      <c r="AP22" s="16">
        <v>0.15318736753800885</v>
      </c>
      <c r="AQ22" s="17">
        <v>-2.2600957416418328E-2</v>
      </c>
      <c r="AR22" s="17">
        <v>-7.90261940704437E-2</v>
      </c>
      <c r="AS22" s="16">
        <v>0.15202552796669019</v>
      </c>
      <c r="AT22" s="16">
        <v>0.53157035144138753</v>
      </c>
      <c r="AU22" s="17">
        <v>-1.0334566524224502E-2</v>
      </c>
      <c r="AV22" s="17">
        <v>-2.4350827829411996E-3</v>
      </c>
      <c r="AW22" s="16">
        <v>6.9515547647144516E-2</v>
      </c>
      <c r="AX22" s="16">
        <v>1.6379604584817607E-2</v>
      </c>
      <c r="AY22" s="17">
        <v>-2.4755316678171657E-2</v>
      </c>
      <c r="AZ22" s="17">
        <v>-2.1266942193614767E-2</v>
      </c>
      <c r="BA22" s="16">
        <v>0.1665168434522924</v>
      </c>
      <c r="BB22" s="16">
        <v>0.14305226347945271</v>
      </c>
      <c r="BC22" s="17">
        <v>-4.2614824507283683E-3</v>
      </c>
      <c r="BD22" s="17">
        <v>-2.0513555669253079E-2</v>
      </c>
      <c r="BE22" s="16">
        <v>2.8664897134938864E-2</v>
      </c>
      <c r="BF22" s="16">
        <v>0.13798460275965185</v>
      </c>
      <c r="BH22" s="19">
        <v>-0.11695043928921223</v>
      </c>
      <c r="BI22" s="18">
        <v>0.78666810220893835</v>
      </c>
      <c r="BJ22" s="19">
        <v>-2.0812126079932354E-3</v>
      </c>
      <c r="BK22" s="18">
        <v>1.3999293910941084E-2</v>
      </c>
      <c r="BL22" s="19">
        <v>-6.257889059890118E-3</v>
      </c>
      <c r="BM22" s="18">
        <v>4.2093742789659917E-2</v>
      </c>
      <c r="BN22" s="19">
        <v>-1.461115374105099E-2</v>
      </c>
      <c r="BO22" s="18">
        <v>9.8282047116823923E-2</v>
      </c>
      <c r="BP22" s="19">
        <v>-2.081331569868099E-3</v>
      </c>
      <c r="BQ22" s="18">
        <v>1.4000094108981408E-2</v>
      </c>
      <c r="BR22" s="19">
        <v>-1.544661453000408E-2</v>
      </c>
      <c r="BS22" s="18">
        <v>0.10390178105976718</v>
      </c>
      <c r="BT22" s="19">
        <v>-1.4519914710862706E-2</v>
      </c>
      <c r="BU22" s="18">
        <v>9.7668327021697934E-2</v>
      </c>
      <c r="BV22" s="19">
        <v>-2.2600957416418328E-2</v>
      </c>
      <c r="BW22" s="18">
        <v>0.15202552796669019</v>
      </c>
      <c r="BX22" s="19">
        <v>-1.0334566524224502E-2</v>
      </c>
      <c r="BY22" s="18">
        <v>6.9515547647144516E-2</v>
      </c>
      <c r="BZ22" s="19">
        <v>-2.4755316678171657E-2</v>
      </c>
      <c r="CA22" s="18">
        <v>0.1665168434522924</v>
      </c>
      <c r="CB22" s="19">
        <v>-4.2614824507283683E-3</v>
      </c>
      <c r="CC22" s="18">
        <v>2.8664897134938864E-2</v>
      </c>
      <c r="CD22" s="19">
        <v>38.488000700000001</v>
      </c>
      <c r="CE22" s="18" t="b">
        <v>1</v>
      </c>
    </row>
    <row r="23" spans="1:83" x14ac:dyDescent="0.25">
      <c r="A23" s="15">
        <v>43950</v>
      </c>
      <c r="B23" s="16">
        <v>268.58</v>
      </c>
      <c r="C23" s="16">
        <v>1.1905658955617392E-2</v>
      </c>
      <c r="D23" s="17">
        <v>6.6089130705222487E-3</v>
      </c>
      <c r="F23" s="16">
        <v>-1.9361084220716317E-2</v>
      </c>
      <c r="G23" s="16">
        <v>1.1905658955617392E-2</v>
      </c>
      <c r="H23" s="16">
        <v>7.133641951885844E-3</v>
      </c>
      <c r="I23" s="17">
        <v>6.6089130705222487E-3</v>
      </c>
      <c r="J23" s="17">
        <v>39.449000699999999</v>
      </c>
      <c r="K23" s="16">
        <v>45.214509014035059</v>
      </c>
      <c r="L23" s="17">
        <v>-5.7655083140350598</v>
      </c>
      <c r="M23" s="17">
        <v>6.6089130705222487E-3</v>
      </c>
      <c r="N23" s="16" t="b">
        <v>1</v>
      </c>
      <c r="O23" s="16" t="b">
        <v>1</v>
      </c>
      <c r="P23" s="17">
        <v>-0.11695043928921223</v>
      </c>
      <c r="Q23" s="16">
        <v>-3.8103743254830999E-2</v>
      </c>
      <c r="R23" s="16">
        <v>0.67427873005200556</v>
      </c>
      <c r="S23" s="17">
        <v>8.937230388307014E-5</v>
      </c>
      <c r="T23" s="17">
        <v>-2.0812126079932354E-3</v>
      </c>
      <c r="U23" s="16">
        <v>-5.1527676108230878E-4</v>
      </c>
      <c r="V23" s="16">
        <v>1.1999248594659589E-2</v>
      </c>
      <c r="W23" s="17">
        <v>8.9372641890552197E-5</v>
      </c>
      <c r="X23" s="17">
        <v>-6.257889059890118E-3</v>
      </c>
      <c r="Y23" s="16">
        <v>-5.1527870986725675E-4</v>
      </c>
      <c r="Z23" s="16">
        <v>3.607991140310552E-2</v>
      </c>
      <c r="AA23" s="17">
        <v>8.9373622720029892E-5</v>
      </c>
      <c r="AB23" s="17">
        <v>-1.461115374105099E-2</v>
      </c>
      <c r="AC23" s="16">
        <v>-5.1528436484776503E-4</v>
      </c>
      <c r="AD23" s="16">
        <v>8.4240728371673942E-2</v>
      </c>
      <c r="AE23" s="17">
        <v>7.7778522529771551E-4</v>
      </c>
      <c r="AF23" s="17">
        <v>-2.081331569868099E-3</v>
      </c>
      <c r="AG23" s="16">
        <v>-4.4843271829876109E-3</v>
      </c>
      <c r="AH23" s="16">
        <v>1.1999934470338168E-2</v>
      </c>
      <c r="AI23" s="17">
        <v>1.4845565839900461E-3</v>
      </c>
      <c r="AJ23" s="17">
        <v>-1.544661453000408E-2</v>
      </c>
      <c r="AK23" s="16">
        <v>-8.5592233276500992E-3</v>
      </c>
      <c r="AL23" s="16">
        <v>8.9057584496433279E-2</v>
      </c>
      <c r="AM23" s="17">
        <v>8.9381489120113447E-5</v>
      </c>
      <c r="AN23" s="17">
        <v>-1.4519914710862706E-2</v>
      </c>
      <c r="AO23" s="16">
        <v>-5.1532971864284827E-4</v>
      </c>
      <c r="AP23" s="16">
        <v>8.3714688984558902E-2</v>
      </c>
      <c r="AQ23" s="17">
        <v>8.122242888256425E-4</v>
      </c>
      <c r="AR23" s="17">
        <v>-2.2600957416418328E-2</v>
      </c>
      <c r="AS23" s="16">
        <v>-4.6828858900854553E-3</v>
      </c>
      <c r="AT23" s="16">
        <v>0.13030600788951222</v>
      </c>
      <c r="AU23" s="17">
        <v>2.998102294521794E-3</v>
      </c>
      <c r="AV23" s="17">
        <v>-1.0334566524224502E-2</v>
      </c>
      <c r="AW23" s="16">
        <v>-1.7285583705392994E-2</v>
      </c>
      <c r="AX23" s="16">
        <v>5.9584029217364776E-2</v>
      </c>
      <c r="AY23" s="17">
        <v>8.9372420664605916E-5</v>
      </c>
      <c r="AZ23" s="17">
        <v>-2.4755316678171657E-2</v>
      </c>
      <c r="BA23" s="16">
        <v>-5.1527743438722418E-4</v>
      </c>
      <c r="BB23" s="16">
        <v>0.14272698412456947</v>
      </c>
      <c r="BC23" s="17">
        <v>8.9372199608673595E-5</v>
      </c>
      <c r="BD23" s="17">
        <v>-4.2614824507283683E-3</v>
      </c>
      <c r="BE23" s="16">
        <v>-5.1527615988740849E-4</v>
      </c>
      <c r="BF23" s="16">
        <v>2.4569612499788909E-2</v>
      </c>
      <c r="BH23" s="19">
        <v>6.6089130705222487E-3</v>
      </c>
      <c r="BI23" s="18">
        <v>-3.8103743254830999E-2</v>
      </c>
      <c r="BJ23" s="19">
        <v>8.937230388307014E-5</v>
      </c>
      <c r="BK23" s="18">
        <v>-5.1527676108230878E-4</v>
      </c>
      <c r="BL23" s="19">
        <v>8.9372641890552197E-5</v>
      </c>
      <c r="BM23" s="18">
        <v>-5.1527870986725675E-4</v>
      </c>
      <c r="BN23" s="19">
        <v>8.9373622720029892E-5</v>
      </c>
      <c r="BO23" s="18">
        <v>-5.1528436484776503E-4</v>
      </c>
      <c r="BP23" s="19">
        <v>7.7778522529771551E-4</v>
      </c>
      <c r="BQ23" s="18">
        <v>-4.4843271829876109E-3</v>
      </c>
      <c r="BR23" s="19">
        <v>1.4845565839900461E-3</v>
      </c>
      <c r="BS23" s="18">
        <v>-8.5592233276500992E-3</v>
      </c>
      <c r="BT23" s="19">
        <v>8.9381489120113447E-5</v>
      </c>
      <c r="BU23" s="18">
        <v>-5.1532971864284827E-4</v>
      </c>
      <c r="BV23" s="19">
        <v>8.122242888256425E-4</v>
      </c>
      <c r="BW23" s="18">
        <v>-4.6828858900854553E-3</v>
      </c>
      <c r="BX23" s="19">
        <v>2.998102294521794E-3</v>
      </c>
      <c r="BY23" s="18">
        <v>-1.7285583705392994E-2</v>
      </c>
      <c r="BZ23" s="19">
        <v>8.9372420664605916E-5</v>
      </c>
      <c r="CA23" s="18">
        <v>-5.1527743438722418E-4</v>
      </c>
      <c r="CB23" s="19">
        <v>8.9372199608673595E-5</v>
      </c>
      <c r="CC23" s="18">
        <v>-5.1527615988740849E-4</v>
      </c>
      <c r="CD23" s="19">
        <v>39.449000699999999</v>
      </c>
      <c r="CE23" s="18" t="b">
        <v>1</v>
      </c>
    </row>
    <row r="24" spans="1:83" x14ac:dyDescent="0.25">
      <c r="A24" s="15">
        <v>43949</v>
      </c>
      <c r="B24" s="16">
        <v>265.42</v>
      </c>
      <c r="C24" s="16">
        <v>7.133641951885844E-3</v>
      </c>
      <c r="D24" s="17">
        <v>-0.16266929442062975</v>
      </c>
      <c r="F24" s="16">
        <v>1.1905658955617392E-2</v>
      </c>
      <c r="G24" s="16">
        <v>7.133641951885844E-3</v>
      </c>
      <c r="H24" s="16">
        <v>4.9082440985629604E-2</v>
      </c>
      <c r="I24" s="17">
        <v>-0.16266929442062975</v>
      </c>
      <c r="J24" s="17">
        <v>39.868000500000008</v>
      </c>
      <c r="K24" s="16">
        <v>45.214509014035059</v>
      </c>
      <c r="L24" s="17">
        <v>-5.346508514035051</v>
      </c>
      <c r="M24" s="17">
        <v>-0.16266929442062975</v>
      </c>
      <c r="N24" s="16" t="b">
        <v>1</v>
      </c>
      <c r="O24" s="16" t="b">
        <v>1</v>
      </c>
      <c r="P24" s="17">
        <v>6.6089130705222487E-3</v>
      </c>
      <c r="Q24" s="16">
        <v>0.86971276759197136</v>
      </c>
      <c r="R24" s="16">
        <v>-3.5334610000064735E-2</v>
      </c>
      <c r="S24" s="17">
        <v>-2.3627441199868299E-3</v>
      </c>
      <c r="T24" s="17">
        <v>8.937230388307014E-5</v>
      </c>
      <c r="U24" s="16">
        <v>1.263243155399584E-2</v>
      </c>
      <c r="V24" s="16">
        <v>-4.7782978362976235E-4</v>
      </c>
      <c r="W24" s="17">
        <v>-2.3627544575136358E-3</v>
      </c>
      <c r="X24" s="17">
        <v>8.9372641890552197E-5</v>
      </c>
      <c r="Y24" s="16">
        <v>1.2632486823670921E-2</v>
      </c>
      <c r="Z24" s="16">
        <v>-4.7783159078964297E-4</v>
      </c>
      <c r="AA24" s="17">
        <v>-2.3628370573706733E-3</v>
      </c>
      <c r="AB24" s="17">
        <v>8.9373622720029892E-5</v>
      </c>
      <c r="AC24" s="16">
        <v>1.2632928444509832E-2</v>
      </c>
      <c r="AD24" s="16">
        <v>-4.7783683480279632E-4</v>
      </c>
      <c r="AE24" s="17">
        <v>-6.7563955073636547E-3</v>
      </c>
      <c r="AF24" s="17">
        <v>7.7778522529771551E-4</v>
      </c>
      <c r="AG24" s="16">
        <v>3.612312610430795E-2</v>
      </c>
      <c r="AH24" s="16">
        <v>-4.158435329144906E-3</v>
      </c>
      <c r="AI24" s="17">
        <v>-2.6888049640044299E-2</v>
      </c>
      <c r="AJ24" s="17">
        <v>1.4845565839900461E-3</v>
      </c>
      <c r="AK24" s="16">
        <v>0.14375718632629395</v>
      </c>
      <c r="AL24" s="16">
        <v>-7.937194415869573E-3</v>
      </c>
      <c r="AM24" s="17">
        <v>-3.1281771812395991E-2</v>
      </c>
      <c r="AN24" s="17">
        <v>8.9381489120113447E-5</v>
      </c>
      <c r="AO24" s="16">
        <v>0.16724825932907683</v>
      </c>
      <c r="AP24" s="16">
        <v>-4.778788925778178E-4</v>
      </c>
      <c r="AQ24" s="17">
        <v>-2.3628627349207838E-3</v>
      </c>
      <c r="AR24" s="17">
        <v>8.122242888256425E-4</v>
      </c>
      <c r="AS24" s="16">
        <v>1.2633065729750117E-2</v>
      </c>
      <c r="AT24" s="16">
        <v>-4.3425640755123621E-3</v>
      </c>
      <c r="AU24" s="17">
        <v>-4.6071523721334766E-2</v>
      </c>
      <c r="AV24" s="17">
        <v>2.998102294521794E-3</v>
      </c>
      <c r="AW24" s="16">
        <v>0.24632179383068414</v>
      </c>
      <c r="AX24" s="16">
        <v>-1.6029379443608792E-2</v>
      </c>
      <c r="AY24" s="17">
        <v>-2.6762421446872998E-2</v>
      </c>
      <c r="AZ24" s="17">
        <v>8.9372420664605916E-5</v>
      </c>
      <c r="BA24" s="16">
        <v>0.14308551412190074</v>
      </c>
      <c r="BB24" s="16">
        <v>-4.7783040800323764E-4</v>
      </c>
      <c r="BC24" s="17">
        <v>-1.545793392282597E-2</v>
      </c>
      <c r="BD24" s="17">
        <v>8.9372199608673595E-5</v>
      </c>
      <c r="BE24" s="16">
        <v>8.2645975327780286E-2</v>
      </c>
      <c r="BF24" s="16">
        <v>-4.7782922612581342E-4</v>
      </c>
      <c r="BH24" s="19">
        <v>-0.16266929442062975</v>
      </c>
      <c r="BI24" s="18">
        <v>0.86971276759197136</v>
      </c>
      <c r="BJ24" s="19">
        <v>-2.3627441199868299E-3</v>
      </c>
      <c r="BK24" s="18">
        <v>1.263243155399584E-2</v>
      </c>
      <c r="BL24" s="19">
        <v>-2.3627544575136358E-3</v>
      </c>
      <c r="BM24" s="18">
        <v>1.2632486823670921E-2</v>
      </c>
      <c r="BN24" s="19">
        <v>-2.3628370573706733E-3</v>
      </c>
      <c r="BO24" s="18">
        <v>1.2632928444509832E-2</v>
      </c>
      <c r="BP24" s="19">
        <v>-6.7563955073636547E-3</v>
      </c>
      <c r="BQ24" s="18">
        <v>3.612312610430795E-2</v>
      </c>
      <c r="BR24" s="19">
        <v>-2.6888049640044299E-2</v>
      </c>
      <c r="BS24" s="18">
        <v>0.14375718632629395</v>
      </c>
      <c r="BT24" s="19">
        <v>-3.1281771812395991E-2</v>
      </c>
      <c r="BU24" s="18">
        <v>0.16724825932907683</v>
      </c>
      <c r="BV24" s="19">
        <v>-2.3628627349207838E-3</v>
      </c>
      <c r="BW24" s="18">
        <v>1.2633065729750117E-2</v>
      </c>
      <c r="BX24" s="19">
        <v>-4.6071523721334766E-2</v>
      </c>
      <c r="BY24" s="18">
        <v>0.24632179383068414</v>
      </c>
      <c r="BZ24" s="19">
        <v>-2.6762421446872998E-2</v>
      </c>
      <c r="CA24" s="18">
        <v>0.14308551412190074</v>
      </c>
      <c r="CB24" s="19">
        <v>-1.545793392282597E-2</v>
      </c>
      <c r="CC24" s="18">
        <v>8.2645975327780286E-2</v>
      </c>
      <c r="CD24" s="19">
        <v>39.868000500000008</v>
      </c>
      <c r="CE24" s="18" t="b">
        <v>1</v>
      </c>
    </row>
    <row r="25" spans="1:83" x14ac:dyDescent="0.25">
      <c r="A25" s="15">
        <v>43948</v>
      </c>
      <c r="B25" s="16">
        <v>263.54000000000002</v>
      </c>
      <c r="C25" s="16">
        <v>4.9082440985629604E-2</v>
      </c>
      <c r="D25" s="17">
        <v>-0.43920171571274597</v>
      </c>
      <c r="F25" s="16">
        <v>7.133641951885844E-3</v>
      </c>
      <c r="G25" s="16">
        <v>4.9082440985629604E-2</v>
      </c>
      <c r="H25" s="16">
        <v>1.1719693918646783E-2</v>
      </c>
      <c r="I25" s="17">
        <v>-0.43920171571274597</v>
      </c>
      <c r="J25" s="17">
        <v>40.656000200000001</v>
      </c>
      <c r="K25" s="16">
        <v>45.214509014035059</v>
      </c>
      <c r="L25" s="17">
        <v>-4.5585088140350578</v>
      </c>
      <c r="M25" s="17">
        <v>-0.43920171571274597</v>
      </c>
      <c r="N25" s="16" t="b">
        <v>1</v>
      </c>
      <c r="O25" s="16" t="b">
        <v>1</v>
      </c>
      <c r="P25" s="17">
        <v>-0.16266929442062975</v>
      </c>
      <c r="Q25" s="16">
        <v>2.0021048922158724</v>
      </c>
      <c r="R25" s="16">
        <v>0.74152941238930459</v>
      </c>
      <c r="S25" s="17">
        <v>-6.3264485000512896E-3</v>
      </c>
      <c r="T25" s="17">
        <v>-2.3627441199868299E-3</v>
      </c>
      <c r="U25" s="16">
        <v>2.8839171249022674E-2</v>
      </c>
      <c r="V25" s="16">
        <v>1.0770589896269471E-2</v>
      </c>
      <c r="W25" s="17">
        <v>-6.3268426066481207E-3</v>
      </c>
      <c r="X25" s="17">
        <v>-2.3627544575136358E-3</v>
      </c>
      <c r="Y25" s="16">
        <v>2.8840967787417997E-2</v>
      </c>
      <c r="Z25" s="16">
        <v>1.077063701997653E-2</v>
      </c>
      <c r="AA25" s="17">
        <v>-6.3268942419939245E-3</v>
      </c>
      <c r="AB25" s="17">
        <v>-2.3628370573706733E-3</v>
      </c>
      <c r="AC25" s="16">
        <v>2.884120316759696E-2</v>
      </c>
      <c r="AD25" s="16">
        <v>1.0771013552152873E-2</v>
      </c>
      <c r="AE25" s="17">
        <v>-6.3269162402149609E-3</v>
      </c>
      <c r="AF25" s="17">
        <v>-6.7563955073636547E-3</v>
      </c>
      <c r="AG25" s="16">
        <v>2.8841303446681447E-2</v>
      </c>
      <c r="AH25" s="16">
        <v>3.0799088471424086E-2</v>
      </c>
      <c r="AI25" s="17">
        <v>-6.3269952521189804E-3</v>
      </c>
      <c r="AJ25" s="17">
        <v>-2.6888049640044299E-2</v>
      </c>
      <c r="AK25" s="16">
        <v>2.8841663623142336E-2</v>
      </c>
      <c r="AL25" s="16">
        <v>0.12256941127635411</v>
      </c>
      <c r="AM25" s="17">
        <v>-6.1225075935876117E-2</v>
      </c>
      <c r="AN25" s="17">
        <v>-3.1281771812395991E-2</v>
      </c>
      <c r="AO25" s="16">
        <v>0.279095048293657</v>
      </c>
      <c r="AP25" s="16">
        <v>0.14259823252544054</v>
      </c>
      <c r="AQ25" s="17">
        <v>-0.13413561915042096</v>
      </c>
      <c r="AR25" s="17">
        <v>-2.3628627349207838E-3</v>
      </c>
      <c r="AS25" s="16">
        <v>0.61145840217324365</v>
      </c>
      <c r="AT25" s="16">
        <v>1.0771130603491375E-2</v>
      </c>
      <c r="AU25" s="17">
        <v>-0.1995542343921578</v>
      </c>
      <c r="AV25" s="17">
        <v>-4.6071523721334766E-2</v>
      </c>
      <c r="AW25" s="16">
        <v>0.90966973635466919</v>
      </c>
      <c r="AX25" s="16">
        <v>0.21001744695972976</v>
      </c>
      <c r="AY25" s="17">
        <v>-6.3262697982867152E-3</v>
      </c>
      <c r="AZ25" s="17">
        <v>-2.6762421446872998E-2</v>
      </c>
      <c r="BA25" s="16">
        <v>2.8838356635453779E-2</v>
      </c>
      <c r="BB25" s="16">
        <v>0.12199673405049143</v>
      </c>
      <c r="BC25" s="17">
        <v>-6.3264195949767855E-3</v>
      </c>
      <c r="BD25" s="17">
        <v>-1.545793392282597E-2</v>
      </c>
      <c r="BE25" s="16">
        <v>2.8839039484985778E-2</v>
      </c>
      <c r="BF25" s="16">
        <v>7.0465128033973701E-2</v>
      </c>
      <c r="BH25" s="19">
        <v>-0.43920171571274597</v>
      </c>
      <c r="BI25" s="18">
        <v>2.0021048922158724</v>
      </c>
      <c r="BJ25" s="19">
        <v>-6.3264485000512896E-3</v>
      </c>
      <c r="BK25" s="18">
        <v>2.8839171249022674E-2</v>
      </c>
      <c r="BL25" s="19">
        <v>-6.3268426066481207E-3</v>
      </c>
      <c r="BM25" s="18">
        <v>2.8840967787417997E-2</v>
      </c>
      <c r="BN25" s="19">
        <v>-6.3268942419939245E-3</v>
      </c>
      <c r="BO25" s="18">
        <v>2.884120316759696E-2</v>
      </c>
      <c r="BP25" s="19">
        <v>-6.3269162402149609E-3</v>
      </c>
      <c r="BQ25" s="18">
        <v>2.8841303446681447E-2</v>
      </c>
      <c r="BR25" s="19">
        <v>-6.3269952521189804E-3</v>
      </c>
      <c r="BS25" s="18">
        <v>2.8841663623142336E-2</v>
      </c>
      <c r="BT25" s="19">
        <v>-6.1225075935876117E-2</v>
      </c>
      <c r="BU25" s="18">
        <v>0.279095048293657</v>
      </c>
      <c r="BV25" s="19">
        <v>-0.13413561915042096</v>
      </c>
      <c r="BW25" s="18">
        <v>0.61145840217324365</v>
      </c>
      <c r="BX25" s="19">
        <v>-0.1995542343921578</v>
      </c>
      <c r="BY25" s="18">
        <v>0.90966973635466919</v>
      </c>
      <c r="BZ25" s="19">
        <v>-6.3262697982867152E-3</v>
      </c>
      <c r="CA25" s="18">
        <v>2.8838356635453779E-2</v>
      </c>
      <c r="CB25" s="19">
        <v>-6.3264195949767855E-3</v>
      </c>
      <c r="CC25" s="18">
        <v>2.8839039484985778E-2</v>
      </c>
      <c r="CD25" s="19">
        <v>40.656000200000001</v>
      </c>
      <c r="CE25" s="18" t="b">
        <v>1</v>
      </c>
    </row>
    <row r="26" spans="1:83" x14ac:dyDescent="0.25">
      <c r="A26" s="15">
        <v>43945</v>
      </c>
      <c r="B26" s="16">
        <v>251.21</v>
      </c>
      <c r="C26" s="16">
        <v>1.1719693918646783E-2</v>
      </c>
      <c r="D26" s="17">
        <v>-2.0552382688038051E-2</v>
      </c>
      <c r="F26" s="16">
        <v>4.9082440985629604E-2</v>
      </c>
      <c r="G26" s="16">
        <v>1.1719693918646783E-2</v>
      </c>
      <c r="H26" s="16">
        <v>-5.4075705988383509E-3</v>
      </c>
      <c r="I26" s="17">
        <v>-2.0552382688038051E-2</v>
      </c>
      <c r="J26" s="17">
        <v>41.230000000000004</v>
      </c>
      <c r="K26" s="16">
        <v>45.214509014035059</v>
      </c>
      <c r="L26" s="17">
        <v>-3.984509014035055</v>
      </c>
      <c r="M26" s="17">
        <v>-2.0552382688038051E-2</v>
      </c>
      <c r="N26" s="16" t="b">
        <v>1</v>
      </c>
      <c r="O26" s="16" t="b">
        <v>1</v>
      </c>
      <c r="P26" s="17">
        <v>-0.43920171571274597</v>
      </c>
      <c r="Q26" s="16">
        <v>8.1891154080385622E-2</v>
      </c>
      <c r="R26" s="16">
        <v>1.750003195237098</v>
      </c>
      <c r="S26" s="17">
        <v>-3.9553487503764956E-4</v>
      </c>
      <c r="T26" s="17">
        <v>-6.3264485000512896E-3</v>
      </c>
      <c r="U26" s="16">
        <v>1.5760122749527436E-3</v>
      </c>
      <c r="V26" s="16">
        <v>2.5207791075282916E-2</v>
      </c>
      <c r="W26" s="17">
        <v>-1.4570747688227757E-3</v>
      </c>
      <c r="X26" s="17">
        <v>-6.3268426066481207E-3</v>
      </c>
      <c r="Y26" s="16">
        <v>5.8057275504973934E-3</v>
      </c>
      <c r="Z26" s="16">
        <v>2.5209361396570481E-2</v>
      </c>
      <c r="AA26" s="17">
        <v>-3.9555882986564843E-4</v>
      </c>
      <c r="AB26" s="17">
        <v>-6.3268942419939245E-3</v>
      </c>
      <c r="AC26" s="16">
        <v>1.5761077231808349E-3</v>
      </c>
      <c r="AD26" s="16">
        <v>2.5209567138071279E-2</v>
      </c>
      <c r="AE26" s="17">
        <v>-3.9556462087361418E-4</v>
      </c>
      <c r="AF26" s="17">
        <v>-6.3269162402149609E-3</v>
      </c>
      <c r="AG26" s="16">
        <v>1.5761307975042747E-3</v>
      </c>
      <c r="AH26" s="16">
        <v>2.520965479018129E-2</v>
      </c>
      <c r="AI26" s="17">
        <v>-2.5817265097796758E-3</v>
      </c>
      <c r="AJ26" s="17">
        <v>-6.3269952521189804E-3</v>
      </c>
      <c r="AK26" s="16">
        <v>1.028691254999038E-2</v>
      </c>
      <c r="AL26" s="16">
        <v>2.5209969613825073E-2</v>
      </c>
      <c r="AM26" s="17">
        <v>-2.6997364525625095E-3</v>
      </c>
      <c r="AN26" s="17">
        <v>-6.1225075935876117E-2</v>
      </c>
      <c r="AO26" s="16">
        <v>1.0757124230754341E-2</v>
      </c>
      <c r="AP26" s="16">
        <v>0.24395186695147911</v>
      </c>
      <c r="AQ26" s="17">
        <v>-2.0094052010291336E-3</v>
      </c>
      <c r="AR26" s="17">
        <v>-0.13413561915042096</v>
      </c>
      <c r="AS26" s="16">
        <v>8.0064931363495045E-3</v>
      </c>
      <c r="AT26" s="16">
        <v>0.53446458360802551</v>
      </c>
      <c r="AU26" s="17">
        <v>-2.493548067182477E-3</v>
      </c>
      <c r="AV26" s="17">
        <v>-0.1995542343921578</v>
      </c>
      <c r="AW26" s="16">
        <v>9.9355647506182681E-3</v>
      </c>
      <c r="AX26" s="16">
        <v>0.79512564572441691</v>
      </c>
      <c r="AY26" s="17">
        <v>-3.5751277338171845E-3</v>
      </c>
      <c r="AZ26" s="17">
        <v>-6.3262697982867152E-3</v>
      </c>
      <c r="BA26" s="16">
        <v>1.424512868172129E-2</v>
      </c>
      <c r="BB26" s="16">
        <v>2.5207079036491147E-2</v>
      </c>
      <c r="BC26" s="17">
        <v>-4.5491056290673619E-3</v>
      </c>
      <c r="BD26" s="17">
        <v>-6.3264195949767855E-3</v>
      </c>
      <c r="BE26" s="16">
        <v>1.8125952384816513E-2</v>
      </c>
      <c r="BF26" s="16">
        <v>2.5207675902753003E-2</v>
      </c>
      <c r="BH26" s="19">
        <v>-2.0552382688038051E-2</v>
      </c>
      <c r="BI26" s="18">
        <v>8.1891154080385622E-2</v>
      </c>
      <c r="BJ26" s="19">
        <v>-3.9553487503764956E-4</v>
      </c>
      <c r="BK26" s="18">
        <v>1.5760122749527436E-3</v>
      </c>
      <c r="BL26" s="19">
        <v>-1.4570747688227757E-3</v>
      </c>
      <c r="BM26" s="18">
        <v>5.8057275504973934E-3</v>
      </c>
      <c r="BN26" s="19">
        <v>-3.9555882986564843E-4</v>
      </c>
      <c r="BO26" s="18">
        <v>1.5761077231808349E-3</v>
      </c>
      <c r="BP26" s="19">
        <v>-3.9556462087361418E-4</v>
      </c>
      <c r="BQ26" s="18">
        <v>1.5761307975042747E-3</v>
      </c>
      <c r="BR26" s="19">
        <v>-2.5817265097796758E-3</v>
      </c>
      <c r="BS26" s="18">
        <v>1.028691254999038E-2</v>
      </c>
      <c r="BT26" s="19">
        <v>-2.6997364525625095E-3</v>
      </c>
      <c r="BU26" s="18">
        <v>1.0757124230754341E-2</v>
      </c>
      <c r="BV26" s="19">
        <v>-2.0094052010291336E-3</v>
      </c>
      <c r="BW26" s="18">
        <v>8.0064931363495045E-3</v>
      </c>
      <c r="BX26" s="19">
        <v>-2.493548067182477E-3</v>
      </c>
      <c r="BY26" s="18">
        <v>9.9355647506182681E-3</v>
      </c>
      <c r="BZ26" s="19">
        <v>-3.5751277338171845E-3</v>
      </c>
      <c r="CA26" s="18">
        <v>1.424512868172129E-2</v>
      </c>
      <c r="CB26" s="19">
        <v>-4.5491056290673619E-3</v>
      </c>
      <c r="CC26" s="18">
        <v>1.8125952384816513E-2</v>
      </c>
      <c r="CD26" s="19">
        <v>41.230000000000004</v>
      </c>
      <c r="CE26" s="18" t="b">
        <v>1</v>
      </c>
    </row>
    <row r="27" spans="1:83" x14ac:dyDescent="0.25">
      <c r="A27" s="15">
        <v>43944</v>
      </c>
      <c r="B27" s="16">
        <v>248.3</v>
      </c>
      <c r="C27" s="16">
        <v>-5.4075705988383509E-3</v>
      </c>
      <c r="D27" s="17">
        <v>-0.44359970150981098</v>
      </c>
      <c r="F27" s="16">
        <v>1.1719693918646783E-2</v>
      </c>
      <c r="G27" s="16">
        <v>-5.4075705988383509E-3</v>
      </c>
      <c r="H27" s="16">
        <v>-3.4329966867589529E-3</v>
      </c>
      <c r="I27" s="17">
        <v>-0.44359970150981098</v>
      </c>
      <c r="J27" s="17">
        <v>41.42699970000001</v>
      </c>
      <c r="K27" s="16">
        <v>45.214509014035059</v>
      </c>
      <c r="L27" s="17">
        <v>-3.7875093140350486</v>
      </c>
      <c r="M27" s="17">
        <v>-0.44359970150981098</v>
      </c>
      <c r="N27" s="16" t="b">
        <v>1</v>
      </c>
      <c r="O27" s="16" t="b">
        <v>1</v>
      </c>
      <c r="P27" s="17">
        <v>-2.0552382688038051E-2</v>
      </c>
      <c r="Q27" s="16">
        <v>1.6801380011715765</v>
      </c>
      <c r="R27" s="16">
        <v>7.7842340856556808E-2</v>
      </c>
      <c r="S27" s="17">
        <v>-8.1406529490503053E-3</v>
      </c>
      <c r="T27" s="17">
        <v>-3.9553487503764956E-4</v>
      </c>
      <c r="U27" s="16">
        <v>3.0832798866854919E-2</v>
      </c>
      <c r="V27" s="16">
        <v>1.4980920232307868E-3</v>
      </c>
      <c r="W27" s="17">
        <v>-8.1397416950628222E-3</v>
      </c>
      <c r="X27" s="17">
        <v>-1.4570747688227757E-3</v>
      </c>
      <c r="Y27" s="16">
        <v>3.0829347483889873E-2</v>
      </c>
      <c r="Z27" s="16">
        <v>5.5186842581617284E-3</v>
      </c>
      <c r="AA27" s="17">
        <v>-0.15415521598755705</v>
      </c>
      <c r="AB27" s="17">
        <v>-3.9555882986564843E-4</v>
      </c>
      <c r="AC27" s="16">
        <v>0.58386431635995695</v>
      </c>
      <c r="AD27" s="16">
        <v>1.4981827523649486E-3</v>
      </c>
      <c r="AE27" s="17">
        <v>-8.140031331253848E-3</v>
      </c>
      <c r="AF27" s="17">
        <v>-3.9556462087361418E-4</v>
      </c>
      <c r="AG27" s="16">
        <v>3.0830444483661065E-2</v>
      </c>
      <c r="AH27" s="16">
        <v>1.4982046858615565E-3</v>
      </c>
      <c r="AI27" s="17">
        <v>-8.1400112426490544E-3</v>
      </c>
      <c r="AJ27" s="17">
        <v>-2.5817265097796758E-3</v>
      </c>
      <c r="AK27" s="16">
        <v>3.0830368397883303E-2</v>
      </c>
      <c r="AL27" s="16">
        <v>9.7783132020817197E-3</v>
      </c>
      <c r="AM27" s="17">
        <v>-8.1402878364131015E-3</v>
      </c>
      <c r="AN27" s="17">
        <v>-2.6997364525625095E-3</v>
      </c>
      <c r="AO27" s="16">
        <v>3.0831415999340837E-2</v>
      </c>
      <c r="AP27" s="16">
        <v>1.0225276959520446E-2</v>
      </c>
      <c r="AQ27" s="17">
        <v>-4.9725657794808205E-2</v>
      </c>
      <c r="AR27" s="17">
        <v>-2.0094052010291336E-3</v>
      </c>
      <c r="AS27" s="16">
        <v>0.18833639204435559</v>
      </c>
      <c r="AT27" s="16">
        <v>7.6106409145683127E-3</v>
      </c>
      <c r="AU27" s="17">
        <v>-0.11971727008879195</v>
      </c>
      <c r="AV27" s="17">
        <v>-2.493548067182477E-3</v>
      </c>
      <c r="AW27" s="16">
        <v>0.45343027551214904</v>
      </c>
      <c r="AX27" s="16">
        <v>9.4443365294477246E-3</v>
      </c>
      <c r="AY27" s="17">
        <v>-7.1160182191305141E-2</v>
      </c>
      <c r="AZ27" s="17">
        <v>-3.5751277338171845E-3</v>
      </c>
      <c r="BA27" s="16">
        <v>0.26951985283799923</v>
      </c>
      <c r="BB27" s="16">
        <v>1.3540829590697603E-2</v>
      </c>
      <c r="BC27" s="17">
        <v>-8.140650392919108E-3</v>
      </c>
      <c r="BD27" s="17">
        <v>-4.5491056290673619E-3</v>
      </c>
      <c r="BE27" s="16">
        <v>3.08327891854842E-2</v>
      </c>
      <c r="BF27" s="16">
        <v>1.7229779940621904E-2</v>
      </c>
      <c r="BH27" s="19">
        <v>-0.44359970150981098</v>
      </c>
      <c r="BI27" s="18">
        <v>1.6801380011715765</v>
      </c>
      <c r="BJ27" s="19">
        <v>-8.1406529490503053E-3</v>
      </c>
      <c r="BK27" s="18">
        <v>3.0832798866854919E-2</v>
      </c>
      <c r="BL27" s="19">
        <v>-8.1397416950628222E-3</v>
      </c>
      <c r="BM27" s="18">
        <v>3.0829347483889873E-2</v>
      </c>
      <c r="BN27" s="19">
        <v>-0.15415521598755705</v>
      </c>
      <c r="BO27" s="18">
        <v>0.58386431635995695</v>
      </c>
      <c r="BP27" s="19">
        <v>-8.140031331253848E-3</v>
      </c>
      <c r="BQ27" s="18">
        <v>3.0830444483661065E-2</v>
      </c>
      <c r="BR27" s="19">
        <v>-8.1400112426490544E-3</v>
      </c>
      <c r="BS27" s="18">
        <v>3.0830368397883303E-2</v>
      </c>
      <c r="BT27" s="19">
        <v>-8.1402878364131015E-3</v>
      </c>
      <c r="BU27" s="18">
        <v>3.0831415999340837E-2</v>
      </c>
      <c r="BV27" s="19">
        <v>-4.9725657794808205E-2</v>
      </c>
      <c r="BW27" s="18">
        <v>0.18833639204435559</v>
      </c>
      <c r="BX27" s="19">
        <v>-0.11971727008879195</v>
      </c>
      <c r="BY27" s="18">
        <v>0.45343027551214904</v>
      </c>
      <c r="BZ27" s="19">
        <v>-7.1160182191305141E-2</v>
      </c>
      <c r="CA27" s="18">
        <v>0.26951985283799923</v>
      </c>
      <c r="CB27" s="19">
        <v>-8.140650392919108E-3</v>
      </c>
      <c r="CC27" s="18">
        <v>3.08327891854842E-2</v>
      </c>
      <c r="CD27" s="19">
        <v>41.42699970000001</v>
      </c>
      <c r="CE27" s="18" t="b">
        <v>1</v>
      </c>
    </row>
    <row r="28" spans="1:83" x14ac:dyDescent="0.25">
      <c r="A28" s="15">
        <v>43943</v>
      </c>
      <c r="B28" s="16">
        <v>249.65</v>
      </c>
      <c r="C28" s="16">
        <v>-3.4329966867589529E-3</v>
      </c>
      <c r="D28" s="17">
        <v>7.0537303773952384E-2</v>
      </c>
      <c r="F28" s="16">
        <v>-5.4075705988383509E-3</v>
      </c>
      <c r="G28" s="16">
        <v>-3.4329966867589529E-3</v>
      </c>
      <c r="H28" s="16">
        <v>-4.7997263813939331E-2</v>
      </c>
      <c r="I28" s="17">
        <v>7.0537303773952384E-2</v>
      </c>
      <c r="J28" s="17">
        <v>41.898999799999999</v>
      </c>
      <c r="K28" s="16">
        <v>45.214509014035059</v>
      </c>
      <c r="L28" s="17">
        <v>-3.3155092140350604</v>
      </c>
      <c r="M28" s="17">
        <v>7.0537303773952384E-2</v>
      </c>
      <c r="N28" s="16" t="b">
        <v>1</v>
      </c>
      <c r="O28" s="16" t="b">
        <v>1</v>
      </c>
      <c r="P28" s="17">
        <v>-0.44359970150981098</v>
      </c>
      <c r="Q28" s="16">
        <v>-0.23386708059572917</v>
      </c>
      <c r="R28" s="16">
        <v>1.4707588976989807</v>
      </c>
      <c r="S28" s="17">
        <v>9.3619015445122074E-4</v>
      </c>
      <c r="T28" s="17">
        <v>-8.1406529490503053E-3</v>
      </c>
      <c r="U28" s="16">
        <v>-3.1039470831719287E-3</v>
      </c>
      <c r="V28" s="16">
        <v>2.6990409860837974E-2</v>
      </c>
      <c r="W28" s="17">
        <v>6.2544682571715783E-3</v>
      </c>
      <c r="X28" s="17">
        <v>-8.1397416950628222E-3</v>
      </c>
      <c r="Y28" s="16">
        <v>-2.0736747135542175E-2</v>
      </c>
      <c r="Z28" s="16">
        <v>2.6987388589846149E-2</v>
      </c>
      <c r="AA28" s="17">
        <v>9.3617849514414364E-4</v>
      </c>
      <c r="AB28" s="17">
        <v>-0.15415521598755705</v>
      </c>
      <c r="AC28" s="16">
        <v>-3.1039084266318855E-3</v>
      </c>
      <c r="AD28" s="16">
        <v>0.51110303899831022</v>
      </c>
      <c r="AE28" s="17">
        <v>1.3162351004172328E-2</v>
      </c>
      <c r="AF28" s="17">
        <v>-8.140031331253848E-3</v>
      </c>
      <c r="AG28" s="16">
        <v>-4.3639896032696981E-2</v>
      </c>
      <c r="AH28" s="16">
        <v>2.6988348881306211E-2</v>
      </c>
      <c r="AI28" s="17">
        <v>2.1608973534223353E-2</v>
      </c>
      <c r="AJ28" s="17">
        <v>-8.1400112426490544E-3</v>
      </c>
      <c r="AK28" s="16">
        <v>-7.1644750858557288E-2</v>
      </c>
      <c r="AL28" s="16">
        <v>2.6988282277351922E-2</v>
      </c>
      <c r="AM28" s="17">
        <v>6.1397199446457428E-3</v>
      </c>
      <c r="AN28" s="17">
        <v>-8.1402878364131015E-3</v>
      </c>
      <c r="AO28" s="16">
        <v>-2.0356298048067791E-2</v>
      </c>
      <c r="AP28" s="16">
        <v>2.6989199326525163E-2</v>
      </c>
      <c r="AQ28" s="17">
        <v>9.3626009210135536E-4</v>
      </c>
      <c r="AR28" s="17">
        <v>-4.9725657794808205E-2</v>
      </c>
      <c r="AS28" s="16">
        <v>-3.1041789620953578E-3</v>
      </c>
      <c r="AT28" s="16">
        <v>0.16486587659264093</v>
      </c>
      <c r="AU28" s="17">
        <v>9.7533360602356078E-3</v>
      </c>
      <c r="AV28" s="17">
        <v>-0.11971727008879195</v>
      </c>
      <c r="AW28" s="16">
        <v>-3.233727557529157E-2</v>
      </c>
      <c r="AX28" s="16">
        <v>0.39692371205851362</v>
      </c>
      <c r="AY28" s="17">
        <v>5.8401204160221654E-3</v>
      </c>
      <c r="AZ28" s="17">
        <v>-7.1160182191305141E-2</v>
      </c>
      <c r="BA28" s="16">
        <v>-1.9362973050395759E-2</v>
      </c>
      <c r="BB28" s="16">
        <v>0.23593223972768582</v>
      </c>
      <c r="BC28" s="17">
        <v>4.9697058157848186E-3</v>
      </c>
      <c r="BD28" s="17">
        <v>-8.140650392919108E-3</v>
      </c>
      <c r="BE28" s="16">
        <v>-1.6477105423278193E-2</v>
      </c>
      <c r="BF28" s="16">
        <v>2.6990401385961437E-2</v>
      </c>
      <c r="BH28" s="19">
        <v>7.0537303773952384E-2</v>
      </c>
      <c r="BI28" s="18">
        <v>-0.23386708059572917</v>
      </c>
      <c r="BJ28" s="19">
        <v>9.3619015445122074E-4</v>
      </c>
      <c r="BK28" s="18">
        <v>-3.1039470831719287E-3</v>
      </c>
      <c r="BL28" s="19">
        <v>6.2544682571715783E-3</v>
      </c>
      <c r="BM28" s="18">
        <v>-2.0736747135542175E-2</v>
      </c>
      <c r="BN28" s="19">
        <v>9.3617849514414364E-4</v>
      </c>
      <c r="BO28" s="18">
        <v>-3.1039084266318855E-3</v>
      </c>
      <c r="BP28" s="19">
        <v>1.3162351004172328E-2</v>
      </c>
      <c r="BQ28" s="18">
        <v>-4.3639896032696981E-2</v>
      </c>
      <c r="BR28" s="19">
        <v>2.1608973534223353E-2</v>
      </c>
      <c r="BS28" s="18">
        <v>-7.1644750858557288E-2</v>
      </c>
      <c r="BT28" s="19">
        <v>6.1397199446457428E-3</v>
      </c>
      <c r="BU28" s="18">
        <v>-2.0356298048067791E-2</v>
      </c>
      <c r="BV28" s="19">
        <v>9.3626009210135536E-4</v>
      </c>
      <c r="BW28" s="18">
        <v>-3.1041789620953578E-3</v>
      </c>
      <c r="BX28" s="19">
        <v>9.7533360602356078E-3</v>
      </c>
      <c r="BY28" s="18">
        <v>-3.233727557529157E-2</v>
      </c>
      <c r="BZ28" s="19">
        <v>5.8401204160221654E-3</v>
      </c>
      <c r="CA28" s="18">
        <v>-1.9362973050395759E-2</v>
      </c>
      <c r="CB28" s="19">
        <v>4.9697058157848186E-3</v>
      </c>
      <c r="CC28" s="18">
        <v>-1.6477105423278193E-2</v>
      </c>
      <c r="CD28" s="19">
        <v>41.898999799999999</v>
      </c>
      <c r="CE28" s="18" t="b">
        <v>1</v>
      </c>
    </row>
    <row r="29" spans="1:83" x14ac:dyDescent="0.25">
      <c r="A29" s="15">
        <v>43942</v>
      </c>
      <c r="B29" s="16">
        <v>250.51</v>
      </c>
      <c r="C29" s="16">
        <v>-4.7997263813939331E-2</v>
      </c>
      <c r="D29" s="17">
        <v>6.1557356500998139E-2</v>
      </c>
      <c r="F29" s="16">
        <v>-3.4329966867589529E-3</v>
      </c>
      <c r="G29" s="16">
        <v>-4.7997263813939331E-2</v>
      </c>
      <c r="H29" s="16">
        <v>3.69988938475024E-3</v>
      </c>
      <c r="I29" s="17">
        <v>6.1557356500998139E-2</v>
      </c>
      <c r="J29" s="17">
        <v>41.881999999999998</v>
      </c>
      <c r="K29" s="16">
        <v>45.214509014035059</v>
      </c>
      <c r="L29" s="17">
        <v>-3.3325090140350611</v>
      </c>
      <c r="M29" s="17">
        <v>6.1557356500998139E-2</v>
      </c>
      <c r="N29" s="16" t="b">
        <v>1</v>
      </c>
      <c r="O29" s="16" t="b">
        <v>1</v>
      </c>
      <c r="P29" s="17">
        <v>7.0537303773952384E-2</v>
      </c>
      <c r="Q29" s="16">
        <v>-0.20514044541974608</v>
      </c>
      <c r="R29" s="16">
        <v>-0.23506620065242564</v>
      </c>
      <c r="S29" s="17">
        <v>9.3990532947466456E-4</v>
      </c>
      <c r="T29" s="17">
        <v>9.3619015445122074E-4</v>
      </c>
      <c r="U29" s="16">
        <v>-3.1322429828139135E-3</v>
      </c>
      <c r="V29" s="16">
        <v>-3.119862128559569E-3</v>
      </c>
      <c r="W29" s="17">
        <v>9.399022068945043E-4</v>
      </c>
      <c r="X29" s="17">
        <v>6.2544682571715783E-3</v>
      </c>
      <c r="Y29" s="16">
        <v>-3.1322325767873826E-3</v>
      </c>
      <c r="Z29" s="16">
        <v>-2.0843071845020444E-2</v>
      </c>
      <c r="AA29" s="17">
        <v>9.3990944887703521E-4</v>
      </c>
      <c r="AB29" s="17">
        <v>9.3617849514414364E-4</v>
      </c>
      <c r="AC29" s="16">
        <v>-3.132256710759446E-3</v>
      </c>
      <c r="AD29" s="16">
        <v>-3.1198232738136374E-3</v>
      </c>
      <c r="AE29" s="17">
        <v>1.4405125428120927E-2</v>
      </c>
      <c r="AF29" s="17">
        <v>1.3162351004172328E-2</v>
      </c>
      <c r="AG29" s="16">
        <v>-4.8005210337518658E-2</v>
      </c>
      <c r="AH29" s="16">
        <v>-4.3863653367297722E-2</v>
      </c>
      <c r="AI29" s="17">
        <v>9.4013157234317229E-4</v>
      </c>
      <c r="AJ29" s="17">
        <v>2.1608973534223353E-2</v>
      </c>
      <c r="AK29" s="16">
        <v>-3.1329969392125769E-3</v>
      </c>
      <c r="AL29" s="16">
        <v>-7.2012099086844389E-2</v>
      </c>
      <c r="AM29" s="17">
        <v>9.4000512138063682E-4</v>
      </c>
      <c r="AN29" s="17">
        <v>6.1397199446457428E-3</v>
      </c>
      <c r="AO29" s="16">
        <v>-3.1325755402400938E-3</v>
      </c>
      <c r="AP29" s="16">
        <v>-2.0460672059182783E-2</v>
      </c>
      <c r="AQ29" s="17">
        <v>9.4002607497799728E-4</v>
      </c>
      <c r="AR29" s="17">
        <v>9.3626009210135536E-4</v>
      </c>
      <c r="AS29" s="16">
        <v>-3.132645368292174E-3</v>
      </c>
      <c r="AT29" s="16">
        <v>-3.1200951964090633E-3</v>
      </c>
      <c r="AU29" s="17">
        <v>2.7321142378851016E-2</v>
      </c>
      <c r="AV29" s="17">
        <v>9.7533360602356078E-3</v>
      </c>
      <c r="AW29" s="16">
        <v>-9.1047953251256322E-2</v>
      </c>
      <c r="AX29" s="16">
        <v>-3.2503080337648371E-2</v>
      </c>
      <c r="AY29" s="17">
        <v>9.3997355234824015E-4</v>
      </c>
      <c r="AZ29" s="17">
        <v>5.8401204160221654E-3</v>
      </c>
      <c r="BA29" s="16">
        <v>-3.1324703361550678E-3</v>
      </c>
      <c r="BB29" s="16">
        <v>-1.9462253929444055E-2</v>
      </c>
      <c r="BC29" s="17">
        <v>1.3251235387729895E-2</v>
      </c>
      <c r="BD29" s="17">
        <v>4.9697058157848186E-3</v>
      </c>
      <c r="BE29" s="16">
        <v>-4.4159861376710262E-2</v>
      </c>
      <c r="BF29" s="16">
        <v>-1.6561589428205375E-2</v>
      </c>
      <c r="BH29" s="19">
        <v>6.1557356500998139E-2</v>
      </c>
      <c r="BI29" s="18">
        <v>-0.20514044541974608</v>
      </c>
      <c r="BJ29" s="19">
        <v>9.3990532947466456E-4</v>
      </c>
      <c r="BK29" s="18">
        <v>-3.1322429828139135E-3</v>
      </c>
      <c r="BL29" s="19">
        <v>9.399022068945043E-4</v>
      </c>
      <c r="BM29" s="18">
        <v>-3.1322325767873826E-3</v>
      </c>
      <c r="BN29" s="19">
        <v>9.3990944887703521E-4</v>
      </c>
      <c r="BO29" s="18">
        <v>-3.132256710759446E-3</v>
      </c>
      <c r="BP29" s="19">
        <v>1.4405125428120927E-2</v>
      </c>
      <c r="BQ29" s="18">
        <v>-4.8005210337518658E-2</v>
      </c>
      <c r="BR29" s="19">
        <v>9.4013157234317229E-4</v>
      </c>
      <c r="BS29" s="18">
        <v>-3.1329969392125769E-3</v>
      </c>
      <c r="BT29" s="19">
        <v>9.4000512138063682E-4</v>
      </c>
      <c r="BU29" s="18">
        <v>-3.1325755402400938E-3</v>
      </c>
      <c r="BV29" s="19">
        <v>9.4002607497799728E-4</v>
      </c>
      <c r="BW29" s="18">
        <v>-3.132645368292174E-3</v>
      </c>
      <c r="BX29" s="19">
        <v>2.7321142378851016E-2</v>
      </c>
      <c r="BY29" s="18">
        <v>-9.1047953251256322E-2</v>
      </c>
      <c r="BZ29" s="19">
        <v>9.3997355234824015E-4</v>
      </c>
      <c r="CA29" s="18">
        <v>-3.1324703361550678E-3</v>
      </c>
      <c r="CB29" s="19">
        <v>1.3251235387729895E-2</v>
      </c>
      <c r="CC29" s="18">
        <v>-4.4159861376710262E-2</v>
      </c>
      <c r="CD29" s="19">
        <v>41.881999999999998</v>
      </c>
      <c r="CE29" s="18" t="b">
        <v>1</v>
      </c>
    </row>
    <row r="30" spans="1:83" x14ac:dyDescent="0.25">
      <c r="A30" s="15">
        <v>43941</v>
      </c>
      <c r="B30" s="16">
        <v>263.14</v>
      </c>
      <c r="C30" s="16">
        <v>3.69988938475024E-3</v>
      </c>
      <c r="D30" s="17">
        <v>0.33201583579648286</v>
      </c>
      <c r="F30" s="16">
        <v>-4.7997263813939331E-2</v>
      </c>
      <c r="G30" s="16">
        <v>3.69988938475024E-3</v>
      </c>
      <c r="H30" s="16">
        <v>2.7996706269850662E-2</v>
      </c>
      <c r="I30" s="17">
        <v>0.33201583579648286</v>
      </c>
      <c r="J30" s="17">
        <v>42.178999699999999</v>
      </c>
      <c r="K30" s="16">
        <v>45.214509014035059</v>
      </c>
      <c r="L30" s="17">
        <v>-3.0355093140350604</v>
      </c>
      <c r="M30" s="17">
        <v>0.33201583579648286</v>
      </c>
      <c r="N30" s="16" t="b">
        <v>1</v>
      </c>
      <c r="O30" s="16" t="b">
        <v>1</v>
      </c>
      <c r="P30" s="17">
        <v>6.1557356500998139E-2</v>
      </c>
      <c r="Q30" s="16">
        <v>-1.007837161967359</v>
      </c>
      <c r="R30" s="16">
        <v>-0.18685792900615653</v>
      </c>
      <c r="S30" s="17">
        <v>3.3249417438323624E-2</v>
      </c>
      <c r="T30" s="17">
        <v>9.3990532947466456E-4</v>
      </c>
      <c r="U30" s="16">
        <v>-0.10092891632027112</v>
      </c>
      <c r="V30" s="16">
        <v>-2.8530913819315366E-3</v>
      </c>
      <c r="W30" s="17">
        <v>1.5092006869835773E-2</v>
      </c>
      <c r="X30" s="17">
        <v>9.399022068945043E-4</v>
      </c>
      <c r="Y30" s="16">
        <v>-4.5811927420867607E-2</v>
      </c>
      <c r="Z30" s="16">
        <v>-2.8530819033103761E-3</v>
      </c>
      <c r="AA30" s="17">
        <v>5.5835721330073926E-3</v>
      </c>
      <c r="AB30" s="17">
        <v>9.3990944887703521E-4</v>
      </c>
      <c r="AC30" s="16">
        <v>-1.6948985215330548E-2</v>
      </c>
      <c r="AD30" s="16">
        <v>-2.8531038864158006E-3</v>
      </c>
      <c r="AE30" s="17">
        <v>4.1155622936773023E-2</v>
      </c>
      <c r="AF30" s="17">
        <v>1.4405125428120927E-2</v>
      </c>
      <c r="AG30" s="16">
        <v>-0.12492827674948948</v>
      </c>
      <c r="AH30" s="16">
        <v>-4.3726892406904361E-2</v>
      </c>
      <c r="AI30" s="17">
        <v>3.065883282689813E-2</v>
      </c>
      <c r="AJ30" s="17">
        <v>9.4013157234317229E-4</v>
      </c>
      <c r="AK30" s="16">
        <v>-9.3065172603493132E-2</v>
      </c>
      <c r="AL30" s="16">
        <v>-2.8537781442661255E-3</v>
      </c>
      <c r="AM30" s="17">
        <v>4.8965542750142421E-2</v>
      </c>
      <c r="AN30" s="17">
        <v>9.4000512138063682E-4</v>
      </c>
      <c r="AO30" s="16">
        <v>-0.14863536108483924</v>
      </c>
      <c r="AP30" s="16">
        <v>-2.8533943011915808E-3</v>
      </c>
      <c r="AQ30" s="17">
        <v>4.1156119388505157E-2</v>
      </c>
      <c r="AR30" s="17">
        <v>9.4002607497799728E-4</v>
      </c>
      <c r="AS30" s="16">
        <v>-0.12492978373334634</v>
      </c>
      <c r="AT30" s="16">
        <v>-2.8534579060315308E-3</v>
      </c>
      <c r="AU30" s="17">
        <v>4.8962695649570925E-2</v>
      </c>
      <c r="AV30" s="17">
        <v>2.7321142378851016E-2</v>
      </c>
      <c r="AW30" s="16">
        <v>-0.14862671868453647</v>
      </c>
      <c r="AX30" s="16">
        <v>-8.2933582161080266E-2</v>
      </c>
      <c r="AY30" s="17">
        <v>5.5845793814444837E-3</v>
      </c>
      <c r="AZ30" s="17">
        <v>9.3997355234824015E-4</v>
      </c>
      <c r="BA30" s="16">
        <v>-1.6952042727342888E-2</v>
      </c>
      <c r="BB30" s="16">
        <v>-2.8532984730997055E-3</v>
      </c>
      <c r="BC30" s="17">
        <v>6.160744642198155E-2</v>
      </c>
      <c r="BD30" s="17">
        <v>1.3251235387729895E-2</v>
      </c>
      <c r="BE30" s="16">
        <v>-0.18700997742784095</v>
      </c>
      <c r="BF30" s="16">
        <v>-4.0224248441925091E-2</v>
      </c>
      <c r="BH30" s="19">
        <v>0.33201583579648286</v>
      </c>
      <c r="BI30" s="18">
        <v>-1.007837161967359</v>
      </c>
      <c r="BJ30" s="19">
        <v>3.3249417438323624E-2</v>
      </c>
      <c r="BK30" s="18">
        <v>-0.10092891632027112</v>
      </c>
      <c r="BL30" s="19">
        <v>1.5092006869835773E-2</v>
      </c>
      <c r="BM30" s="18">
        <v>-4.5811927420867607E-2</v>
      </c>
      <c r="BN30" s="19">
        <v>5.5835721330073926E-3</v>
      </c>
      <c r="BO30" s="18">
        <v>-1.6948985215330548E-2</v>
      </c>
      <c r="BP30" s="19">
        <v>4.1155622936773023E-2</v>
      </c>
      <c r="BQ30" s="18">
        <v>-0.12492827674948948</v>
      </c>
      <c r="BR30" s="19">
        <v>3.065883282689813E-2</v>
      </c>
      <c r="BS30" s="18">
        <v>-9.3065172603493132E-2</v>
      </c>
      <c r="BT30" s="19">
        <v>4.8965542750142421E-2</v>
      </c>
      <c r="BU30" s="18">
        <v>-0.14863536108483924</v>
      </c>
      <c r="BV30" s="19">
        <v>4.1156119388505157E-2</v>
      </c>
      <c r="BW30" s="18">
        <v>-0.12492978373334634</v>
      </c>
      <c r="BX30" s="19">
        <v>4.8962695649570925E-2</v>
      </c>
      <c r="BY30" s="18">
        <v>-0.14862671868453647</v>
      </c>
      <c r="BZ30" s="19">
        <v>5.5845793814444837E-3</v>
      </c>
      <c r="CA30" s="18">
        <v>-1.6952042727342888E-2</v>
      </c>
      <c r="CB30" s="19">
        <v>6.160744642198155E-2</v>
      </c>
      <c r="CC30" s="18">
        <v>-0.18700997742784095</v>
      </c>
      <c r="CD30" s="19">
        <v>42.178999699999999</v>
      </c>
      <c r="CE30" s="18" t="b">
        <v>1</v>
      </c>
    </row>
    <row r="31" spans="1:83" x14ac:dyDescent="0.25">
      <c r="A31" s="15">
        <v>43938</v>
      </c>
      <c r="B31" s="16">
        <v>262.17</v>
      </c>
      <c r="C31" s="16">
        <v>2.7996706269850662E-2</v>
      </c>
      <c r="D31" s="17">
        <v>-1.0891216807067394E-2</v>
      </c>
      <c r="F31" s="16">
        <v>3.69988938475024E-3</v>
      </c>
      <c r="G31" s="16">
        <v>2.7996706269850662E-2</v>
      </c>
      <c r="H31" s="16">
        <v>-9.9382740013198266E-3</v>
      </c>
      <c r="I31" s="17">
        <v>-1.0891216807067394E-2</v>
      </c>
      <c r="J31" s="17">
        <v>43.4549995</v>
      </c>
      <c r="K31" s="16">
        <v>45.214509014035059</v>
      </c>
      <c r="L31" s="17">
        <v>-1.7595095140350594</v>
      </c>
      <c r="M31" s="17">
        <v>-1.0891216807067394E-2</v>
      </c>
      <c r="N31" s="16" t="b">
        <v>1</v>
      </c>
      <c r="O31" s="16" t="b">
        <v>1</v>
      </c>
      <c r="P31" s="17">
        <v>0.33201583579648286</v>
      </c>
      <c r="Q31" s="16">
        <v>1.9163199591453621E-2</v>
      </c>
      <c r="R31" s="16">
        <v>-0.58418502189421362</v>
      </c>
      <c r="S31" s="17">
        <v>-2.0033672346562136E-4</v>
      </c>
      <c r="T31" s="17">
        <v>3.3249417438323624E-2</v>
      </c>
      <c r="U31" s="16">
        <v>3.5249437094837154E-4</v>
      </c>
      <c r="V31" s="16">
        <v>-5.8502666318853626E-2</v>
      </c>
      <c r="W31" s="17">
        <v>-2.0035314346432759E-4</v>
      </c>
      <c r="X31" s="17">
        <v>1.5092006869835773E-2</v>
      </c>
      <c r="Y31" s="16">
        <v>3.5252326209231556E-4</v>
      </c>
      <c r="Z31" s="16">
        <v>-2.6554529673358519E-2</v>
      </c>
      <c r="AA31" s="17">
        <v>-2.0034335113167491E-4</v>
      </c>
      <c r="AB31" s="17">
        <v>5.5835721330073926E-3</v>
      </c>
      <c r="AC31" s="16">
        <v>3.525060323898486E-4</v>
      </c>
      <c r="AD31" s="16">
        <v>-9.8243482903275382E-3</v>
      </c>
      <c r="AE31" s="17">
        <v>-2.0035101760917378E-4</v>
      </c>
      <c r="AF31" s="17">
        <v>4.1155622936773023E-2</v>
      </c>
      <c r="AG31" s="16">
        <v>3.52519521629947E-4</v>
      </c>
      <c r="AH31" s="16">
        <v>-7.2413710113291646E-2</v>
      </c>
      <c r="AI31" s="17">
        <v>-7.0773547212972065E-4</v>
      </c>
      <c r="AJ31" s="17">
        <v>3.065883282689813E-2</v>
      </c>
      <c r="AK31" s="16">
        <v>1.245267296632338E-3</v>
      </c>
      <c r="AL31" s="16">
        <v>-5.3944508048137656E-2</v>
      </c>
      <c r="AM31" s="17">
        <v>-2.0267887700229793E-3</v>
      </c>
      <c r="AN31" s="17">
        <v>4.8965542750142421E-2</v>
      </c>
      <c r="AO31" s="16">
        <v>3.5661541237948478E-3</v>
      </c>
      <c r="AP31" s="16">
        <v>-8.6155338328766012E-2</v>
      </c>
      <c r="AQ31" s="17">
        <v>-2.0038085440039833E-4</v>
      </c>
      <c r="AR31" s="17">
        <v>4.1156119388505157E-2</v>
      </c>
      <c r="AS31" s="16">
        <v>3.5257201974797485E-4</v>
      </c>
      <c r="AT31" s="16">
        <v>-7.2414583624837589E-2</v>
      </c>
      <c r="AU31" s="17">
        <v>-2.3785872900414697E-3</v>
      </c>
      <c r="AV31" s="17">
        <v>4.8962695649570925E-2</v>
      </c>
      <c r="AW31" s="16">
        <v>4.1851469667908356E-3</v>
      </c>
      <c r="AX31" s="16">
        <v>-8.6150328828223058E-2</v>
      </c>
      <c r="AY31" s="17">
        <v>-2.2423216333695172E-3</v>
      </c>
      <c r="AZ31" s="17">
        <v>5.5845793814444837E-3</v>
      </c>
      <c r="BA31" s="16">
        <v>3.9453862474402995E-3</v>
      </c>
      <c r="BB31" s="16">
        <v>-9.8261205535355965E-3</v>
      </c>
      <c r="BC31" s="17">
        <v>-2.5340185514325002E-3</v>
      </c>
      <c r="BD31" s="17">
        <v>6.160744642198155E-2</v>
      </c>
      <c r="BE31" s="16">
        <v>4.4586297499868239E-3</v>
      </c>
      <c r="BF31" s="16">
        <v>-0.10839888811488171</v>
      </c>
      <c r="BH31" s="19">
        <v>-1.0891216807067394E-2</v>
      </c>
      <c r="BI31" s="18">
        <v>1.9163199591453621E-2</v>
      </c>
      <c r="BJ31" s="19">
        <v>-2.0033672346562136E-4</v>
      </c>
      <c r="BK31" s="18">
        <v>3.5249437094837154E-4</v>
      </c>
      <c r="BL31" s="19">
        <v>-2.0035314346432759E-4</v>
      </c>
      <c r="BM31" s="18">
        <v>3.5252326209231556E-4</v>
      </c>
      <c r="BN31" s="19">
        <v>-2.0034335113167491E-4</v>
      </c>
      <c r="BO31" s="18">
        <v>3.525060323898486E-4</v>
      </c>
      <c r="BP31" s="19">
        <v>-2.0035101760917378E-4</v>
      </c>
      <c r="BQ31" s="18">
        <v>3.52519521629947E-4</v>
      </c>
      <c r="BR31" s="19">
        <v>-7.0773547212972065E-4</v>
      </c>
      <c r="BS31" s="18">
        <v>1.245267296632338E-3</v>
      </c>
      <c r="BT31" s="19">
        <v>-2.0267887700229793E-3</v>
      </c>
      <c r="BU31" s="18">
        <v>3.5661541237948478E-3</v>
      </c>
      <c r="BV31" s="19">
        <v>-2.0038085440039833E-4</v>
      </c>
      <c r="BW31" s="18">
        <v>3.5257201974797485E-4</v>
      </c>
      <c r="BX31" s="19">
        <v>-2.3785872900414697E-3</v>
      </c>
      <c r="BY31" s="18">
        <v>4.1851469667908356E-3</v>
      </c>
      <c r="BZ31" s="19">
        <v>-2.2423216333695172E-3</v>
      </c>
      <c r="CA31" s="18">
        <v>3.9453862474402995E-3</v>
      </c>
      <c r="CB31" s="19">
        <v>-2.5340185514325002E-3</v>
      </c>
      <c r="CC31" s="18">
        <v>4.4586297499868239E-3</v>
      </c>
      <c r="CD31" s="19">
        <v>43.4549995</v>
      </c>
      <c r="CE31" s="18" t="b">
        <v>1</v>
      </c>
    </row>
    <row r="32" spans="1:83" x14ac:dyDescent="0.25">
      <c r="A32" s="15">
        <v>43937</v>
      </c>
      <c r="B32" s="16">
        <v>255.03</v>
      </c>
      <c r="C32" s="16">
        <v>-9.9382740013198266E-3</v>
      </c>
      <c r="D32" s="17">
        <v>-1.8410735170949589E-2</v>
      </c>
      <c r="F32" s="16">
        <v>2.7996706269850662E-2</v>
      </c>
      <c r="G32" s="16">
        <v>-9.9382740013198266E-3</v>
      </c>
      <c r="H32" s="16">
        <v>-2.5756429652042372E-2</v>
      </c>
      <c r="I32" s="17">
        <v>-1.8410735170949589E-2</v>
      </c>
      <c r="J32" s="17">
        <v>45.149999499999993</v>
      </c>
      <c r="K32" s="16">
        <v>45.214509014035059</v>
      </c>
      <c r="L32" s="17">
        <v>-6.4509514035066218E-2</v>
      </c>
      <c r="M32" s="17">
        <v>-1.8410735170949589E-2</v>
      </c>
      <c r="N32" s="16" t="b">
        <v>1</v>
      </c>
      <c r="O32" s="16" t="b">
        <v>1</v>
      </c>
      <c r="P32" s="17">
        <v>-1.0891216807067394E-2</v>
      </c>
      <c r="Q32" s="16">
        <v>1.1876675789062598E-3</v>
      </c>
      <c r="R32" s="16">
        <v>7.0258710347446312E-4</v>
      </c>
      <c r="S32" s="17">
        <v>-1.7813606538020022E-3</v>
      </c>
      <c r="T32" s="17">
        <v>-2.0033672346562136E-4</v>
      </c>
      <c r="U32" s="16">
        <v>1.14914710097955E-4</v>
      </c>
      <c r="V32" s="16">
        <v>1.292362467414468E-5</v>
      </c>
      <c r="W32" s="17">
        <v>-2.5983841384834668E-4</v>
      </c>
      <c r="X32" s="17">
        <v>-2.0035314346432759E-4</v>
      </c>
      <c r="Y32" s="16">
        <v>1.6762049804999263E-5</v>
      </c>
      <c r="Z32" s="16">
        <v>1.2924683920281675E-5</v>
      </c>
      <c r="AA32" s="17">
        <v>-2.5984904172533335E-4</v>
      </c>
      <c r="AB32" s="17">
        <v>-2.0034335113167491E-4</v>
      </c>
      <c r="AC32" s="16">
        <v>1.6762735404178898E-5</v>
      </c>
      <c r="AD32" s="16">
        <v>1.2924052221660983E-5</v>
      </c>
      <c r="AE32" s="17">
        <v>-1.5987603277906658E-3</v>
      </c>
      <c r="AF32" s="17">
        <v>-2.0035101760917378E-4</v>
      </c>
      <c r="AG32" s="16">
        <v>1.0313525180431902E-4</v>
      </c>
      <c r="AH32" s="16">
        <v>1.2924546782398794E-5</v>
      </c>
      <c r="AI32" s="17">
        <v>-2.8142849398185982E-3</v>
      </c>
      <c r="AJ32" s="17">
        <v>-7.0773547212972065E-4</v>
      </c>
      <c r="AK32" s="16">
        <v>1.8154815382390334E-4</v>
      </c>
      <c r="AL32" s="16">
        <v>4.5655671372466433E-5</v>
      </c>
      <c r="AM32" s="17">
        <v>-2.5985842192130233E-4</v>
      </c>
      <c r="AN32" s="17">
        <v>-2.0267887700229793E-3</v>
      </c>
      <c r="AO32" s="16">
        <v>1.6763340516062411E-5</v>
      </c>
      <c r="AP32" s="16">
        <v>1.3074715860591197E-4</v>
      </c>
      <c r="AQ32" s="17">
        <v>-3.3576868270774659E-3</v>
      </c>
      <c r="AR32" s="17">
        <v>-2.0038085440039833E-4</v>
      </c>
      <c r="AS32" s="16">
        <v>2.1660274549671073E-4</v>
      </c>
      <c r="AT32" s="16">
        <v>1.2926471539301056E-5</v>
      </c>
      <c r="AU32" s="17">
        <v>-5.643426022473759E-3</v>
      </c>
      <c r="AV32" s="17">
        <v>-2.3785872900414697E-3</v>
      </c>
      <c r="AW32" s="16">
        <v>3.6405467020262885E-4</v>
      </c>
      <c r="AX32" s="16">
        <v>1.5344151017056032E-4</v>
      </c>
      <c r="AY32" s="17">
        <v>-1.9692996135975758E-3</v>
      </c>
      <c r="AZ32" s="17">
        <v>-2.2423216333695172E-3</v>
      </c>
      <c r="BA32" s="16">
        <v>1.2703856106262331E-4</v>
      </c>
      <c r="BB32" s="16">
        <v>1.4465107887898349E-4</v>
      </c>
      <c r="BC32" s="17">
        <v>-4.6637090889452179E-4</v>
      </c>
      <c r="BD32" s="17">
        <v>-2.5340185514325002E-3</v>
      </c>
      <c r="BE32" s="16">
        <v>3.0085360692877741E-5</v>
      </c>
      <c r="BF32" s="16">
        <v>1.6346830530875305E-4</v>
      </c>
      <c r="BH32" s="19">
        <v>-1.8410735170949589E-2</v>
      </c>
      <c r="BI32" s="18">
        <v>1.1876675789062598E-3</v>
      </c>
      <c r="BJ32" s="19">
        <v>-1.7813606538020022E-3</v>
      </c>
      <c r="BK32" s="18">
        <v>1.14914710097955E-4</v>
      </c>
      <c r="BL32" s="19">
        <v>-2.5983841384834668E-4</v>
      </c>
      <c r="BM32" s="18">
        <v>1.6762049804999263E-5</v>
      </c>
      <c r="BN32" s="19">
        <v>-2.5984904172533335E-4</v>
      </c>
      <c r="BO32" s="18">
        <v>1.6762735404178898E-5</v>
      </c>
      <c r="BP32" s="19">
        <v>-1.5987603277906658E-3</v>
      </c>
      <c r="BQ32" s="18">
        <v>1.0313525180431902E-4</v>
      </c>
      <c r="BR32" s="19">
        <v>-2.8142849398185982E-3</v>
      </c>
      <c r="BS32" s="18">
        <v>1.8154815382390334E-4</v>
      </c>
      <c r="BT32" s="19">
        <v>-2.5985842192130233E-4</v>
      </c>
      <c r="BU32" s="18">
        <v>1.6763340516062411E-5</v>
      </c>
      <c r="BV32" s="19">
        <v>-3.3576868270774659E-3</v>
      </c>
      <c r="BW32" s="18">
        <v>2.1660274549671073E-4</v>
      </c>
      <c r="BX32" s="19">
        <v>-5.643426022473759E-3</v>
      </c>
      <c r="BY32" s="18">
        <v>3.6405467020262885E-4</v>
      </c>
      <c r="BZ32" s="19">
        <v>-1.9692996135975758E-3</v>
      </c>
      <c r="CA32" s="18">
        <v>1.2703856106262331E-4</v>
      </c>
      <c r="CB32" s="19">
        <v>-4.6637090889452179E-4</v>
      </c>
      <c r="CC32" s="18">
        <v>3.0085360692877741E-5</v>
      </c>
      <c r="CD32" s="19">
        <v>45.149999499999993</v>
      </c>
      <c r="CE32" s="18" t="b">
        <v>1</v>
      </c>
    </row>
    <row r="33" spans="1:83" x14ac:dyDescent="0.25">
      <c r="A33" s="15">
        <v>43936</v>
      </c>
      <c r="B33" s="16">
        <v>257.58999999999997</v>
      </c>
      <c r="C33" s="16">
        <v>-2.5756429652042372E-2</v>
      </c>
      <c r="D33" s="17">
        <v>-0.32017184949169558</v>
      </c>
      <c r="F33" s="16">
        <v>-9.9382740013198266E-3</v>
      </c>
      <c r="G33" s="16">
        <v>-2.5756429652042372E-2</v>
      </c>
      <c r="H33" s="16">
        <v>1.4270369802056046E-2</v>
      </c>
      <c r="I33" s="17">
        <v>-0.32017184949169558</v>
      </c>
      <c r="J33" s="17">
        <v>46.419999600000004</v>
      </c>
      <c r="K33" s="16">
        <v>45.214509014035059</v>
      </c>
      <c r="L33" s="17">
        <v>1.2054905859649452</v>
      </c>
      <c r="M33" s="17">
        <v>-0.32017184949169558</v>
      </c>
      <c r="N33" s="16" t="b">
        <v>1</v>
      </c>
      <c r="O33" s="16" t="b">
        <v>1</v>
      </c>
      <c r="P33" s="17">
        <v>-1.8410735170949589E-2</v>
      </c>
      <c r="Q33" s="16">
        <v>-0.38596415045322435</v>
      </c>
      <c r="R33" s="16">
        <v>-2.2193967929273445E-2</v>
      </c>
      <c r="S33" s="17">
        <v>-4.8918311083505656E-3</v>
      </c>
      <c r="T33" s="17">
        <v>-1.7813606538020022E-3</v>
      </c>
      <c r="U33" s="16">
        <v>-5.8970563492470708E-3</v>
      </c>
      <c r="V33" s="16">
        <v>-2.1474134983666734E-3</v>
      </c>
      <c r="W33" s="17">
        <v>-4.8918098363505596E-3</v>
      </c>
      <c r="X33" s="17">
        <v>-2.5983841384834668E-4</v>
      </c>
      <c r="Y33" s="16">
        <v>-5.8970307060513183E-3</v>
      </c>
      <c r="Z33" s="16">
        <v>-3.1323276176624539E-4</v>
      </c>
      <c r="AA33" s="17">
        <v>-9.3827200684367715E-2</v>
      </c>
      <c r="AB33" s="17">
        <v>-2.5984904172533335E-4</v>
      </c>
      <c r="AC33" s="16">
        <v>-0.11310780713244895</v>
      </c>
      <c r="AD33" s="16">
        <v>-3.1324557357190159E-4</v>
      </c>
      <c r="AE33" s="17">
        <v>-4.8918912088724287E-3</v>
      </c>
      <c r="AF33" s="17">
        <v>-1.5987603277906658E-3</v>
      </c>
      <c r="AG33" s="16">
        <v>-5.8971287998603877E-3</v>
      </c>
      <c r="AH33" s="16">
        <v>-1.9272905243658774E-3</v>
      </c>
      <c r="AI33" s="17">
        <v>-3.5025274044739395E-2</v>
      </c>
      <c r="AJ33" s="17">
        <v>-2.8142849398185982E-3</v>
      </c>
      <c r="AK33" s="16">
        <v>-4.222263813177568E-2</v>
      </c>
      <c r="AL33" s="16">
        <v>-3.3925940011742422E-3</v>
      </c>
      <c r="AM33" s="17">
        <v>-4.8921556490696301E-3</v>
      </c>
      <c r="AN33" s="17">
        <v>-2.5985842192130233E-4</v>
      </c>
      <c r="AO33" s="16">
        <v>-5.897447580028665E-3</v>
      </c>
      <c r="AP33" s="16">
        <v>-3.1325688130983672E-4</v>
      </c>
      <c r="AQ33" s="17">
        <v>-6.8141290110918559E-2</v>
      </c>
      <c r="AR33" s="17">
        <v>-3.3576868270774659E-3</v>
      </c>
      <c r="AS33" s="16">
        <v>-8.2143683744218543E-2</v>
      </c>
      <c r="AT33" s="16">
        <v>-4.0476598606603922E-3</v>
      </c>
      <c r="AU33" s="17">
        <v>-9.3825945811898862E-2</v>
      </c>
      <c r="AV33" s="17">
        <v>-5.643426022473759E-3</v>
      </c>
      <c r="AW33" s="16">
        <v>-0.11310629439550116</v>
      </c>
      <c r="AX33" s="16">
        <v>-6.803096942681712E-3</v>
      </c>
      <c r="AY33" s="17">
        <v>-4.8921747672897725E-3</v>
      </c>
      <c r="AZ33" s="17">
        <v>-1.9692996135975758E-3</v>
      </c>
      <c r="BA33" s="16">
        <v>-5.8974706268630668E-3</v>
      </c>
      <c r="BB33" s="16">
        <v>-2.3739721451362817E-3</v>
      </c>
      <c r="BC33" s="17">
        <v>-4.892276269837903E-3</v>
      </c>
      <c r="BD33" s="17">
        <v>-4.6637090889452179E-4</v>
      </c>
      <c r="BE33" s="16">
        <v>-5.8975929872292897E-3</v>
      </c>
      <c r="BF33" s="16">
        <v>-5.622057402402611E-4</v>
      </c>
      <c r="BH33" s="19">
        <v>-0.32017184949169558</v>
      </c>
      <c r="BI33" s="18">
        <v>-0.38596415045322435</v>
      </c>
      <c r="BJ33" s="19">
        <v>-4.8918311083505656E-3</v>
      </c>
      <c r="BK33" s="18">
        <v>-5.8970563492470708E-3</v>
      </c>
      <c r="BL33" s="19">
        <v>-4.8918098363505596E-3</v>
      </c>
      <c r="BM33" s="18">
        <v>-5.8970307060513183E-3</v>
      </c>
      <c r="BN33" s="19">
        <v>-9.3827200684367715E-2</v>
      </c>
      <c r="BO33" s="18">
        <v>-0.11310780713244895</v>
      </c>
      <c r="BP33" s="19">
        <v>-4.8918912088724287E-3</v>
      </c>
      <c r="BQ33" s="18">
        <v>-5.8971287998603877E-3</v>
      </c>
      <c r="BR33" s="19">
        <v>-3.5025274044739395E-2</v>
      </c>
      <c r="BS33" s="18">
        <v>-4.222263813177568E-2</v>
      </c>
      <c r="BT33" s="19">
        <v>-4.8921556490696301E-3</v>
      </c>
      <c r="BU33" s="18">
        <v>-5.897447580028665E-3</v>
      </c>
      <c r="BV33" s="19">
        <v>-6.8141290110918559E-2</v>
      </c>
      <c r="BW33" s="18">
        <v>-8.2143683744218543E-2</v>
      </c>
      <c r="BX33" s="19">
        <v>-9.3825945811898862E-2</v>
      </c>
      <c r="BY33" s="18">
        <v>-0.11310629439550116</v>
      </c>
      <c r="BZ33" s="19">
        <v>-4.8921747672897725E-3</v>
      </c>
      <c r="CA33" s="18">
        <v>-5.8974706268630668E-3</v>
      </c>
      <c r="CB33" s="19">
        <v>-4.892276269837903E-3</v>
      </c>
      <c r="CC33" s="18">
        <v>-5.8975929872292897E-3</v>
      </c>
      <c r="CD33" s="19">
        <v>46.419999600000004</v>
      </c>
      <c r="CE33" s="18" t="b">
        <v>1</v>
      </c>
    </row>
    <row r="34" spans="1:83" x14ac:dyDescent="0.25">
      <c r="A34" s="15">
        <v>43935</v>
      </c>
      <c r="B34" s="16">
        <v>264.39999999999998</v>
      </c>
      <c r="C34" s="16">
        <v>1.4270369802056046E-2</v>
      </c>
      <c r="D34" s="17">
        <v>0.10925812500395946</v>
      </c>
      <c r="F34" s="16">
        <v>-2.5756429652042372E-2</v>
      </c>
      <c r="G34" s="16">
        <v>1.4270369802056046E-2</v>
      </c>
      <c r="H34" s="16">
        <v>-3.7121855723414511E-2</v>
      </c>
      <c r="I34" s="17">
        <v>0.10925812500395946</v>
      </c>
      <c r="J34" s="17">
        <v>48.352000000000004</v>
      </c>
      <c r="K34" s="16">
        <v>45.214509014035059</v>
      </c>
      <c r="L34" s="17">
        <v>3.1374909859649449</v>
      </c>
      <c r="M34" s="17">
        <v>0.10925812500395946</v>
      </c>
      <c r="N34" s="16" t="b">
        <v>1</v>
      </c>
      <c r="O34" s="16" t="b">
        <v>1</v>
      </c>
      <c r="P34" s="17">
        <v>-0.32017184949169558</v>
      </c>
      <c r="Q34" s="16">
        <v>0.34279638234335397</v>
      </c>
      <c r="R34" s="16">
        <v>-1.0045362917399199</v>
      </c>
      <c r="S34" s="17">
        <v>1.6972291644065604E-3</v>
      </c>
      <c r="T34" s="17">
        <v>-4.8918311083505656E-3</v>
      </c>
      <c r="U34" s="16">
        <v>5.3250412044423987E-3</v>
      </c>
      <c r="V34" s="16">
        <v>-1.5348076007312805E-2</v>
      </c>
      <c r="W34" s="17">
        <v>1.6972061336973533E-3</v>
      </c>
      <c r="X34" s="17">
        <v>-4.8918098363505596E-3</v>
      </c>
      <c r="Y34" s="16">
        <v>5.3249689457998605E-3</v>
      </c>
      <c r="Z34" s="16">
        <v>-1.5348009266604533E-2</v>
      </c>
      <c r="AA34" s="17">
        <v>1.4704015034069231E-2</v>
      </c>
      <c r="AB34" s="17">
        <v>-9.3827200684367715E-2</v>
      </c>
      <c r="AC34" s="16">
        <v>4.6133714626885244E-2</v>
      </c>
      <c r="AD34" s="16">
        <v>-0.29438199638552759</v>
      </c>
      <c r="AE34" s="17">
        <v>1.5571135654968777E-2</v>
      </c>
      <c r="AF34" s="17">
        <v>-4.8918912088724287E-3</v>
      </c>
      <c r="AG34" s="16">
        <v>4.8854297758701898E-2</v>
      </c>
      <c r="AH34" s="16">
        <v>-1.5348264572158403E-2</v>
      </c>
      <c r="AI34" s="17">
        <v>1.6972907917348272E-3</v>
      </c>
      <c r="AJ34" s="17">
        <v>-3.5025274044739395E-2</v>
      </c>
      <c r="AK34" s="16">
        <v>5.3252345596293245E-3</v>
      </c>
      <c r="AL34" s="16">
        <v>-0.1098914815963218</v>
      </c>
      <c r="AM34" s="17">
        <v>2.2879510431230682E-2</v>
      </c>
      <c r="AN34" s="17">
        <v>-4.8921556490696301E-3</v>
      </c>
      <c r="AO34" s="16">
        <v>7.1784257741277196E-2</v>
      </c>
      <c r="AP34" s="16">
        <v>-1.5349094250893449E-2</v>
      </c>
      <c r="AQ34" s="17">
        <v>1.5354289175923748E-2</v>
      </c>
      <c r="AR34" s="17">
        <v>-6.8141290110918559E-2</v>
      </c>
      <c r="AS34" s="16">
        <v>4.8173943885359879E-2</v>
      </c>
      <c r="AT34" s="16">
        <v>-0.21379268349502922</v>
      </c>
      <c r="AU34" s="17">
        <v>1.5354369866903977E-2</v>
      </c>
      <c r="AV34" s="17">
        <v>-9.3825945811898862E-2</v>
      </c>
      <c r="AW34" s="16">
        <v>4.8174197052583002E-2</v>
      </c>
      <c r="AX34" s="16">
        <v>-0.29437805923446803</v>
      </c>
      <c r="AY34" s="17">
        <v>1.8605836542548403E-2</v>
      </c>
      <c r="AZ34" s="17">
        <v>-4.8921747672897725E-3</v>
      </c>
      <c r="BA34" s="16">
        <v>5.8375644438582792E-2</v>
      </c>
      <c r="BB34" s="16">
        <v>-1.5349154234136813E-2</v>
      </c>
      <c r="BC34" s="17">
        <v>1.6972422084757979E-3</v>
      </c>
      <c r="BD34" s="17">
        <v>-4.892276269837903E-3</v>
      </c>
      <c r="BE34" s="16">
        <v>5.3250821300920518E-3</v>
      </c>
      <c r="BF34" s="16">
        <v>-1.5349472697466626E-2</v>
      </c>
      <c r="BH34" s="19">
        <v>0.10925812500395946</v>
      </c>
      <c r="BI34" s="18">
        <v>0.34279638234335397</v>
      </c>
      <c r="BJ34" s="19">
        <v>1.6972291644065604E-3</v>
      </c>
      <c r="BK34" s="18">
        <v>5.3250412044423987E-3</v>
      </c>
      <c r="BL34" s="19">
        <v>1.6972061336973533E-3</v>
      </c>
      <c r="BM34" s="18">
        <v>5.3249689457998605E-3</v>
      </c>
      <c r="BN34" s="19">
        <v>1.4704015034069231E-2</v>
      </c>
      <c r="BO34" s="18">
        <v>4.6133714626885244E-2</v>
      </c>
      <c r="BP34" s="19">
        <v>1.5571135654968777E-2</v>
      </c>
      <c r="BQ34" s="18">
        <v>4.8854297758701898E-2</v>
      </c>
      <c r="BR34" s="19">
        <v>1.6972907917348272E-3</v>
      </c>
      <c r="BS34" s="18">
        <v>5.3252345596293245E-3</v>
      </c>
      <c r="BT34" s="19">
        <v>2.2879510431230682E-2</v>
      </c>
      <c r="BU34" s="18">
        <v>7.1784257741277196E-2</v>
      </c>
      <c r="BV34" s="19">
        <v>1.5354289175923748E-2</v>
      </c>
      <c r="BW34" s="18">
        <v>4.8173943885359879E-2</v>
      </c>
      <c r="BX34" s="19">
        <v>1.5354369866903977E-2</v>
      </c>
      <c r="BY34" s="18">
        <v>4.8174197052583002E-2</v>
      </c>
      <c r="BZ34" s="19">
        <v>1.8605836542548403E-2</v>
      </c>
      <c r="CA34" s="18">
        <v>5.8375644438582792E-2</v>
      </c>
      <c r="CB34" s="19">
        <v>1.6972422084757979E-3</v>
      </c>
      <c r="CC34" s="18">
        <v>5.3250821300920518E-3</v>
      </c>
      <c r="CD34" s="19">
        <v>48.352000000000004</v>
      </c>
      <c r="CE34" s="18" t="b">
        <v>1</v>
      </c>
    </row>
    <row r="35" spans="1:83" x14ac:dyDescent="0.25">
      <c r="A35" s="15">
        <v>43934</v>
      </c>
      <c r="B35" s="16">
        <v>260.68</v>
      </c>
      <c r="C35" s="16">
        <v>-3.7121855723414511E-2</v>
      </c>
      <c r="D35" s="17">
        <v>-0.32851240194092196</v>
      </c>
      <c r="F35" s="16">
        <v>1.4270369802056046E-2</v>
      </c>
      <c r="G35" s="16">
        <v>-3.7121855723414511E-2</v>
      </c>
      <c r="H35" s="16">
        <v>2.3553875236294965E-2</v>
      </c>
      <c r="I35" s="17">
        <v>-0.32851240194092196</v>
      </c>
      <c r="J35" s="17">
        <v>50.789000299999998</v>
      </c>
      <c r="K35" s="16">
        <v>45.214509014035059</v>
      </c>
      <c r="L35" s="17">
        <v>5.5744912859649389</v>
      </c>
      <c r="M35" s="17">
        <v>-0.32851240194092196</v>
      </c>
      <c r="N35" s="16" t="b">
        <v>1</v>
      </c>
      <c r="O35" s="16" t="b">
        <v>1</v>
      </c>
      <c r="P35" s="17">
        <v>0.10925812500395946</v>
      </c>
      <c r="Q35" s="16">
        <v>-1.831289521951081</v>
      </c>
      <c r="R35" s="16">
        <v>0.60905846575543998</v>
      </c>
      <c r="S35" s="17">
        <v>-4.2681083364169078E-2</v>
      </c>
      <c r="T35" s="17">
        <v>1.6972291644065604E-3</v>
      </c>
      <c r="U35" s="16">
        <v>-0.23792532728910365</v>
      </c>
      <c r="V35" s="16">
        <v>9.4611891872699253E-3</v>
      </c>
      <c r="W35" s="17">
        <v>-6.1817702594409536E-3</v>
      </c>
      <c r="X35" s="17">
        <v>1.6972061336973533E-3</v>
      </c>
      <c r="Y35" s="16">
        <v>-3.4460224443090819E-2</v>
      </c>
      <c r="Z35" s="16">
        <v>9.4610608027821414E-3</v>
      </c>
      <c r="AA35" s="17">
        <v>-6.1824379942844046E-3</v>
      </c>
      <c r="AB35" s="17">
        <v>1.4704015034069231E-2</v>
      </c>
      <c r="AC35" s="16">
        <v>-3.4463946725156971E-2</v>
      </c>
      <c r="AD35" s="16">
        <v>8.1967403676116379E-2</v>
      </c>
      <c r="AE35" s="17">
        <v>-5.4089375490141513E-2</v>
      </c>
      <c r="AF35" s="17">
        <v>1.5571135654968777E-2</v>
      </c>
      <c r="AG35" s="16">
        <v>-0.3015207523330794</v>
      </c>
      <c r="AH35" s="16">
        <v>8.6801160021201404E-2</v>
      </c>
      <c r="AI35" s="17">
        <v>-3.3556303863284336E-2</v>
      </c>
      <c r="AJ35" s="17">
        <v>1.6972907917348272E-3</v>
      </c>
      <c r="AK35" s="16">
        <v>-0.18705932347507015</v>
      </c>
      <c r="AL35" s="16">
        <v>9.4615327282743262E-3</v>
      </c>
      <c r="AM35" s="17">
        <v>-6.1818944325704164E-3</v>
      </c>
      <c r="AN35" s="17">
        <v>2.2879510431230682E-2</v>
      </c>
      <c r="AO35" s="16">
        <v>-3.4460916645118959E-2</v>
      </c>
      <c r="AP35" s="16">
        <v>0.12754163152603937</v>
      </c>
      <c r="AQ35" s="17">
        <v>-5.3111181019270426E-2</v>
      </c>
      <c r="AR35" s="17">
        <v>1.5354289175923748E-2</v>
      </c>
      <c r="AS35" s="16">
        <v>-0.29606781577922947</v>
      </c>
      <c r="AT35" s="16">
        <v>8.5592351213372719E-2</v>
      </c>
      <c r="AU35" s="17">
        <v>-0.10047556734432933</v>
      </c>
      <c r="AV35" s="17">
        <v>1.5354369866903977E-2</v>
      </c>
      <c r="AW35" s="16">
        <v>-0.56010017461334727</v>
      </c>
      <c r="AX35" s="16">
        <v>8.5592801024538853E-2</v>
      </c>
      <c r="AY35" s="17">
        <v>-1.9870423292422858E-2</v>
      </c>
      <c r="AZ35" s="17">
        <v>1.8605836542548403E-2</v>
      </c>
      <c r="BA35" s="16">
        <v>-0.11076750149204598</v>
      </c>
      <c r="BB35" s="16">
        <v>0.1037180736745241</v>
      </c>
      <c r="BC35" s="17">
        <v>-6.1823648810083627E-3</v>
      </c>
      <c r="BD35" s="17">
        <v>1.6972422084757979E-3</v>
      </c>
      <c r="BE35" s="16">
        <v>-3.4463539155836782E-2</v>
      </c>
      <c r="BF35" s="16">
        <v>9.4612619013202236E-3</v>
      </c>
      <c r="BH35" s="19">
        <v>-0.32851240194092196</v>
      </c>
      <c r="BI35" s="18">
        <v>-1.831289521951081</v>
      </c>
      <c r="BJ35" s="19">
        <v>-4.2681083364169078E-2</v>
      </c>
      <c r="BK35" s="18">
        <v>-0.23792532728910365</v>
      </c>
      <c r="BL35" s="19">
        <v>-6.1817702594409536E-3</v>
      </c>
      <c r="BM35" s="18">
        <v>-3.4460224443090819E-2</v>
      </c>
      <c r="BN35" s="19">
        <v>-6.1824379942844046E-3</v>
      </c>
      <c r="BO35" s="18">
        <v>-3.4463946725156971E-2</v>
      </c>
      <c r="BP35" s="19">
        <v>-5.4089375490141513E-2</v>
      </c>
      <c r="BQ35" s="18">
        <v>-0.3015207523330794</v>
      </c>
      <c r="BR35" s="19">
        <v>-3.3556303863284336E-2</v>
      </c>
      <c r="BS35" s="18">
        <v>-0.18705932347507015</v>
      </c>
      <c r="BT35" s="19">
        <v>-6.1818944325704164E-3</v>
      </c>
      <c r="BU35" s="18">
        <v>-3.4460916645118959E-2</v>
      </c>
      <c r="BV35" s="19">
        <v>-5.3111181019270426E-2</v>
      </c>
      <c r="BW35" s="18">
        <v>-0.29606781577922947</v>
      </c>
      <c r="BX35" s="19">
        <v>-0.10047556734432933</v>
      </c>
      <c r="BY35" s="18">
        <v>-0.56010017461334727</v>
      </c>
      <c r="BZ35" s="19">
        <v>-1.9870423292422858E-2</v>
      </c>
      <c r="CA35" s="18">
        <v>-0.11076750149204598</v>
      </c>
      <c r="CB35" s="19">
        <v>-6.1823648810083627E-3</v>
      </c>
      <c r="CC35" s="18">
        <v>-3.4463539155836782E-2</v>
      </c>
      <c r="CD35" s="19">
        <v>50.789000299999998</v>
      </c>
      <c r="CE35" s="18" t="b">
        <v>1</v>
      </c>
    </row>
    <row r="36" spans="1:83" x14ac:dyDescent="0.25">
      <c r="A36" s="15">
        <v>43930</v>
      </c>
      <c r="B36" s="16">
        <v>270.73</v>
      </c>
      <c r="C36" s="16">
        <v>2.3553875236294965E-2</v>
      </c>
      <c r="D36" s="17">
        <v>8.9164984819944948E-2</v>
      </c>
      <c r="F36" s="16">
        <v>-3.7121855723414511E-2</v>
      </c>
      <c r="G36" s="16">
        <v>2.3553875236294965E-2</v>
      </c>
      <c r="H36" s="16">
        <v>6.6704307146313882E-2</v>
      </c>
      <c r="I36" s="17">
        <v>8.9164984819944948E-2</v>
      </c>
      <c r="J36" s="17">
        <v>52.722000499999993</v>
      </c>
      <c r="K36" s="16">
        <v>45.214509014035059</v>
      </c>
      <c r="L36" s="17">
        <v>7.507491485964934</v>
      </c>
      <c r="M36" s="17">
        <v>8.9164984819944948E-2</v>
      </c>
      <c r="N36" s="16" t="b">
        <v>1</v>
      </c>
      <c r="O36" s="16" t="b">
        <v>1</v>
      </c>
      <c r="P36" s="17">
        <v>-0.32851240194092196</v>
      </c>
      <c r="Q36" s="16">
        <v>0.66940536438192932</v>
      </c>
      <c r="R36" s="16">
        <v>-2.4663040606053617</v>
      </c>
      <c r="S36" s="17">
        <v>1.3995175667343648E-3</v>
      </c>
      <c r="T36" s="17">
        <v>-4.2681083364169078E-2</v>
      </c>
      <c r="U36" s="16">
        <v>1.0506866216716605E-2</v>
      </c>
      <c r="V36" s="16">
        <v>-0.32042786996825895</v>
      </c>
      <c r="W36" s="17">
        <v>9.7581869367338089E-3</v>
      </c>
      <c r="X36" s="17">
        <v>-6.1817702594409536E-3</v>
      </c>
      <c r="Y36" s="16">
        <v>7.3259505345983314E-2</v>
      </c>
      <c r="Z36" s="16">
        <v>-4.6409587590944198E-2</v>
      </c>
      <c r="AA36" s="17">
        <v>1.1306443595853824E-2</v>
      </c>
      <c r="AB36" s="17">
        <v>-6.1824379942844046E-3</v>
      </c>
      <c r="AC36" s="16">
        <v>8.4883029032415333E-2</v>
      </c>
      <c r="AD36" s="16">
        <v>-4.641460060459629E-2</v>
      </c>
      <c r="AE36" s="17">
        <v>1.3995958575004331E-3</v>
      </c>
      <c r="AF36" s="17">
        <v>-5.4089375490141513E-2</v>
      </c>
      <c r="AG36" s="16">
        <v>1.0507453983976293E-2</v>
      </c>
      <c r="AH36" s="16">
        <v>-0.4060755259733978</v>
      </c>
      <c r="AI36" s="17">
        <v>1.8582250289662171E-2</v>
      </c>
      <c r="AJ36" s="17">
        <v>-3.3556303863284336E-2</v>
      </c>
      <c r="AK36" s="16">
        <v>0.13950608583970817</v>
      </c>
      <c r="AL36" s="16">
        <v>-0.25192366555405937</v>
      </c>
      <c r="AM36" s="17">
        <v>1.754303456471628E-2</v>
      </c>
      <c r="AN36" s="17">
        <v>-6.1818944325704164E-3</v>
      </c>
      <c r="AO36" s="16">
        <v>0.13170418263259603</v>
      </c>
      <c r="AP36" s="16">
        <v>-4.641051981965643E-2</v>
      </c>
      <c r="AQ36" s="17">
        <v>1.1151989711088302E-2</v>
      </c>
      <c r="AR36" s="17">
        <v>-5.3111181019270426E-2</v>
      </c>
      <c r="AS36" s="16">
        <v>8.372346780756397E-2</v>
      </c>
      <c r="AT36" s="16">
        <v>-0.39873173931171513</v>
      </c>
      <c r="AU36" s="17">
        <v>1.3367409267039266E-2</v>
      </c>
      <c r="AV36" s="17">
        <v>-0.10047556734432933</v>
      </c>
      <c r="AW36" s="16">
        <v>0.10035571126170605</v>
      </c>
      <c r="AX36" s="16">
        <v>-0.75431946638504876</v>
      </c>
      <c r="AY36" s="17">
        <v>3.2570272732499578E-3</v>
      </c>
      <c r="AZ36" s="17">
        <v>-1.9870423292422858E-2</v>
      </c>
      <c r="BA36" s="16">
        <v>2.4452104523479644E-2</v>
      </c>
      <c r="BB36" s="16">
        <v>-0.14917703369038393</v>
      </c>
      <c r="BC36" s="17">
        <v>1.3995297573664355E-3</v>
      </c>
      <c r="BD36" s="17">
        <v>-6.1823648810083627E-3</v>
      </c>
      <c r="BE36" s="16">
        <v>1.0506957737783084E-2</v>
      </c>
      <c r="BF36" s="16">
        <v>-4.6414051707298898E-2</v>
      </c>
      <c r="BH36" s="19">
        <v>8.9164984819944948E-2</v>
      </c>
      <c r="BI36" s="18">
        <v>0.66940536438192932</v>
      </c>
      <c r="BJ36" s="19">
        <v>1.3995175667343648E-3</v>
      </c>
      <c r="BK36" s="18">
        <v>1.0506866216716605E-2</v>
      </c>
      <c r="BL36" s="19">
        <v>9.7581869367338089E-3</v>
      </c>
      <c r="BM36" s="18">
        <v>7.3259505345983314E-2</v>
      </c>
      <c r="BN36" s="19">
        <v>1.1306443595853824E-2</v>
      </c>
      <c r="BO36" s="18">
        <v>8.4883029032415333E-2</v>
      </c>
      <c r="BP36" s="19">
        <v>1.3995958575004331E-3</v>
      </c>
      <c r="BQ36" s="18">
        <v>1.0507453983976293E-2</v>
      </c>
      <c r="BR36" s="19">
        <v>1.8582250289662171E-2</v>
      </c>
      <c r="BS36" s="18">
        <v>0.13950608583970817</v>
      </c>
      <c r="BT36" s="19">
        <v>1.754303456471628E-2</v>
      </c>
      <c r="BU36" s="18">
        <v>0.13170418263259603</v>
      </c>
      <c r="BV36" s="19">
        <v>1.1151989711088302E-2</v>
      </c>
      <c r="BW36" s="18">
        <v>8.372346780756397E-2</v>
      </c>
      <c r="BX36" s="19">
        <v>1.3367409267039266E-2</v>
      </c>
      <c r="BY36" s="18">
        <v>0.10035571126170605</v>
      </c>
      <c r="BZ36" s="19">
        <v>3.2570272732499578E-3</v>
      </c>
      <c r="CA36" s="18">
        <v>2.4452104523479644E-2</v>
      </c>
      <c r="CB36" s="19">
        <v>1.3995297573664355E-3</v>
      </c>
      <c r="CC36" s="18">
        <v>1.0506957737783084E-2</v>
      </c>
      <c r="CD36" s="19">
        <v>52.722000499999993</v>
      </c>
      <c r="CE36" s="18" t="b">
        <v>1</v>
      </c>
    </row>
    <row r="37" spans="1:83" x14ac:dyDescent="0.25">
      <c r="A37" s="15">
        <v>43929</v>
      </c>
      <c r="B37" s="16">
        <v>264.5</v>
      </c>
      <c r="C37" s="16">
        <v>6.6704307146313882E-2</v>
      </c>
      <c r="D37" s="17">
        <v>-7.3048542439937594E-2</v>
      </c>
      <c r="F37" s="16">
        <v>2.3553875236294965E-2</v>
      </c>
      <c r="G37" s="16">
        <v>6.6704307146313882E-2</v>
      </c>
      <c r="H37" s="16">
        <v>3.1018711018711051E-2</v>
      </c>
      <c r="I37" s="17">
        <v>-7.3048542439937594E-2</v>
      </c>
      <c r="J37" s="17">
        <v>54.782000800000006</v>
      </c>
      <c r="K37" s="16">
        <v>45.214509014035059</v>
      </c>
      <c r="L37" s="17">
        <v>9.5674917859649469</v>
      </c>
      <c r="M37" s="17">
        <v>-7.3048542439937594E-2</v>
      </c>
      <c r="N37" s="16" t="b">
        <v>1</v>
      </c>
      <c r="O37" s="16" t="b">
        <v>1</v>
      </c>
      <c r="P37" s="17">
        <v>8.9164984819944948E-2</v>
      </c>
      <c r="Q37" s="16">
        <v>-0.69889132977081481</v>
      </c>
      <c r="R37" s="16">
        <v>0.85308525986051242</v>
      </c>
      <c r="S37" s="17">
        <v>-1.2297182185778876E-3</v>
      </c>
      <c r="T37" s="17">
        <v>1.3995175667343648E-3</v>
      </c>
      <c r="U37" s="16">
        <v>-1.1765318955295387E-2</v>
      </c>
      <c r="V37" s="16">
        <v>1.3389872824044685E-2</v>
      </c>
      <c r="W37" s="17">
        <v>-1.2297746236059619E-3</v>
      </c>
      <c r="X37" s="17">
        <v>9.7581869367338089E-3</v>
      </c>
      <c r="Y37" s="16">
        <v>-1.1765858609938175E-2</v>
      </c>
      <c r="Z37" s="16">
        <v>9.3361373363111164E-2</v>
      </c>
      <c r="AA37" s="17">
        <v>-2.263750268659717E-3</v>
      </c>
      <c r="AB37" s="17">
        <v>1.1306443595853824E-2</v>
      </c>
      <c r="AC37" s="16">
        <v>-2.1658412100877784E-2</v>
      </c>
      <c r="AD37" s="16">
        <v>0.10817430623180743</v>
      </c>
      <c r="AE37" s="17">
        <v>-1.229785376597761E-3</v>
      </c>
      <c r="AF37" s="17">
        <v>1.3995958575004331E-3</v>
      </c>
      <c r="AG37" s="16">
        <v>-1.1765961489098887E-2</v>
      </c>
      <c r="AH37" s="16">
        <v>1.3390621870305959E-2</v>
      </c>
      <c r="AI37" s="17">
        <v>-1.2298226270798164E-3</v>
      </c>
      <c r="AJ37" s="17">
        <v>1.8582250289662171E-2</v>
      </c>
      <c r="AK37" s="16">
        <v>-1.1766317882779976E-2</v>
      </c>
      <c r="AL37" s="16">
        <v>0.17778552701108757</v>
      </c>
      <c r="AM37" s="17">
        <v>-2.1440254072444168E-2</v>
      </c>
      <c r="AN37" s="17">
        <v>1.754303456471628E-2</v>
      </c>
      <c r="AO37" s="16">
        <v>-0.20512945472711108</v>
      </c>
      <c r="AP37" s="16">
        <v>0.16784283909882217</v>
      </c>
      <c r="AQ37" s="17">
        <v>-1.346516961481333E-2</v>
      </c>
      <c r="AR37" s="17">
        <v>1.1151989711088302E-2</v>
      </c>
      <c r="AS37" s="16">
        <v>-0.1288278996863513</v>
      </c>
      <c r="AT37" s="16">
        <v>0.10669656995800293</v>
      </c>
      <c r="AU37" s="17">
        <v>-1.9137176105298935E-2</v>
      </c>
      <c r="AV37" s="17">
        <v>1.3367409267039266E-2</v>
      </c>
      <c r="AW37" s="16">
        <v>-0.18309477519401221</v>
      </c>
      <c r="AX37" s="16">
        <v>0.12789257836202989</v>
      </c>
      <c r="AY37" s="17">
        <v>-1.0593265496713111E-2</v>
      </c>
      <c r="AZ37" s="17">
        <v>3.2570272732499578E-3</v>
      </c>
      <c r="BA37" s="16">
        <v>-0.10135098062634858</v>
      </c>
      <c r="BB37" s="16">
        <v>3.1161581683482781E-2</v>
      </c>
      <c r="BC37" s="17">
        <v>-1.2298260361468369E-3</v>
      </c>
      <c r="BD37" s="17">
        <v>1.3995297573664355E-3</v>
      </c>
      <c r="BE37" s="16">
        <v>-1.1766350499000692E-2</v>
      </c>
      <c r="BF37" s="16">
        <v>1.3389989457816887E-2</v>
      </c>
      <c r="BH37" s="19">
        <v>-7.3048542439937594E-2</v>
      </c>
      <c r="BI37" s="18">
        <v>-0.69889132977081481</v>
      </c>
      <c r="BJ37" s="19">
        <v>-1.2297182185778876E-3</v>
      </c>
      <c r="BK37" s="18">
        <v>-1.1765318955295387E-2</v>
      </c>
      <c r="BL37" s="19">
        <v>-1.2297746236059619E-3</v>
      </c>
      <c r="BM37" s="18">
        <v>-1.1765858609938175E-2</v>
      </c>
      <c r="BN37" s="19">
        <v>-2.263750268659717E-3</v>
      </c>
      <c r="BO37" s="18">
        <v>-2.1658412100877784E-2</v>
      </c>
      <c r="BP37" s="19">
        <v>-1.229785376597761E-3</v>
      </c>
      <c r="BQ37" s="18">
        <v>-1.1765961489098887E-2</v>
      </c>
      <c r="BR37" s="19">
        <v>-1.2298226270798164E-3</v>
      </c>
      <c r="BS37" s="18">
        <v>-1.1766317882779976E-2</v>
      </c>
      <c r="BT37" s="19">
        <v>-2.1440254072444168E-2</v>
      </c>
      <c r="BU37" s="18">
        <v>-0.20512945472711108</v>
      </c>
      <c r="BV37" s="19">
        <v>-1.346516961481333E-2</v>
      </c>
      <c r="BW37" s="18">
        <v>-0.1288278996863513</v>
      </c>
      <c r="BX37" s="19">
        <v>-1.9137176105298935E-2</v>
      </c>
      <c r="BY37" s="18">
        <v>-0.18309477519401221</v>
      </c>
      <c r="BZ37" s="19">
        <v>-1.0593265496713111E-2</v>
      </c>
      <c r="CA37" s="18">
        <v>-0.10135098062634858</v>
      </c>
      <c r="CB37" s="19">
        <v>-1.2298260361468369E-3</v>
      </c>
      <c r="CC37" s="18">
        <v>-1.1766350499000692E-2</v>
      </c>
      <c r="CD37" s="19">
        <v>54.782000800000006</v>
      </c>
      <c r="CE37" s="18" t="b">
        <v>1</v>
      </c>
    </row>
    <row r="38" spans="1:83" x14ac:dyDescent="0.25">
      <c r="A38" s="15">
        <v>43928</v>
      </c>
      <c r="B38" s="16">
        <v>247.96</v>
      </c>
      <c r="C38" s="16">
        <v>3.1018711018711051E-2</v>
      </c>
      <c r="D38" s="17">
        <v>-0.50390593466969824</v>
      </c>
      <c r="F38" s="16">
        <v>6.6704307146313882E-2</v>
      </c>
      <c r="G38" s="16">
        <v>3.1018711018711051E-2</v>
      </c>
      <c r="H38" s="16">
        <v>4.1215689670101356E-2</v>
      </c>
      <c r="I38" s="17">
        <v>-0.50390593466969824</v>
      </c>
      <c r="J38" s="17">
        <v>56.279000499999995</v>
      </c>
      <c r="K38" s="16">
        <v>45.214509014035059</v>
      </c>
      <c r="L38" s="17">
        <v>11.064491485964936</v>
      </c>
      <c r="M38" s="17">
        <v>-0.50390593466969824</v>
      </c>
      <c r="N38" s="16" t="b">
        <v>1</v>
      </c>
      <c r="O38" s="16" t="b">
        <v>1</v>
      </c>
      <c r="P38" s="17">
        <v>-7.3048542439937594E-2</v>
      </c>
      <c r="Q38" s="16">
        <v>-5.5754629238800799</v>
      </c>
      <c r="R38" s="16">
        <v>-0.80824497588883781</v>
      </c>
      <c r="S38" s="17">
        <v>-7.172374970462434E-3</v>
      </c>
      <c r="T38" s="17">
        <v>-1.2297182185778876E-3</v>
      </c>
      <c r="U38" s="16">
        <v>-7.9358681794829605E-2</v>
      </c>
      <c r="V38" s="16">
        <v>-1.3606206759591006E-2</v>
      </c>
      <c r="W38" s="17">
        <v>-7.1723386329397574E-3</v>
      </c>
      <c r="X38" s="17">
        <v>-1.2297746236059619E-3</v>
      </c>
      <c r="Y38" s="16">
        <v>-7.9358279738619336E-2</v>
      </c>
      <c r="Z38" s="16">
        <v>-1.3606830852543899E-2</v>
      </c>
      <c r="AA38" s="17">
        <v>-7.1723618513524681E-3</v>
      </c>
      <c r="AB38" s="17">
        <v>-2.263750268659717E-3</v>
      </c>
      <c r="AC38" s="16">
        <v>-7.9358536638549096E-2</v>
      </c>
      <c r="AD38" s="16">
        <v>-2.5047245573936276E-2</v>
      </c>
      <c r="AE38" s="17">
        <v>-2.3250662403076824E-2</v>
      </c>
      <c r="AF38" s="17">
        <v>-1.229785376597761E-3</v>
      </c>
      <c r="AG38" s="16">
        <v>-0.25725675620188854</v>
      </c>
      <c r="AH38" s="16">
        <v>-1.3606949828930109E-2</v>
      </c>
      <c r="AI38" s="17">
        <v>-0.21216640851528945</v>
      </c>
      <c r="AJ38" s="17">
        <v>-1.2298226270798164E-3</v>
      </c>
      <c r="AK38" s="16">
        <v>-2.3475134206251789</v>
      </c>
      <c r="AL38" s="16">
        <v>-1.360736198657166E-2</v>
      </c>
      <c r="AM38" s="17">
        <v>-7.1727615209948624E-3</v>
      </c>
      <c r="AN38" s="17">
        <v>-2.1440254072444168E-2</v>
      </c>
      <c r="AO38" s="16">
        <v>-7.9362958779904555E-2</v>
      </c>
      <c r="AP38" s="16">
        <v>-0.23722550864148353</v>
      </c>
      <c r="AQ38" s="17">
        <v>-7.915768142660988E-2</v>
      </c>
      <c r="AR38" s="17">
        <v>-1.346516961481333E-2</v>
      </c>
      <c r="AS38" s="16">
        <v>-0.87583949219344981</v>
      </c>
      <c r="AT38" s="16">
        <v>-0.14898525456017583</v>
      </c>
      <c r="AU38" s="17">
        <v>-7.1728361990186446E-3</v>
      </c>
      <c r="AV38" s="17">
        <v>-1.9137176105298935E-2</v>
      </c>
      <c r="AW38" s="16">
        <v>-7.9363785054262892E-2</v>
      </c>
      <c r="AX38" s="16">
        <v>-0.21174312208249169</v>
      </c>
      <c r="AY38" s="17">
        <v>-7.7159060828370499E-2</v>
      </c>
      <c r="AZ38" s="17">
        <v>-1.0593265496713111E-2</v>
      </c>
      <c r="BA38" s="16">
        <v>-0.85372577160055596</v>
      </c>
      <c r="BB38" s="16">
        <v>-0.11720909589694833</v>
      </c>
      <c r="BC38" s="17">
        <v>-7.6309448321582957E-2</v>
      </c>
      <c r="BD38" s="17">
        <v>-1.2298260361468369E-3</v>
      </c>
      <c r="BE38" s="16">
        <v>-0.84432524125283592</v>
      </c>
      <c r="BF38" s="16">
        <v>-1.3607399706164683E-2</v>
      </c>
      <c r="BH38" s="19">
        <v>-0.50390593466969824</v>
      </c>
      <c r="BI38" s="18">
        <v>-5.5754629238800799</v>
      </c>
      <c r="BJ38" s="19">
        <v>-7.172374970462434E-3</v>
      </c>
      <c r="BK38" s="18">
        <v>-7.9358681794829605E-2</v>
      </c>
      <c r="BL38" s="19">
        <v>-7.1723386329397574E-3</v>
      </c>
      <c r="BM38" s="18">
        <v>-7.9358279738619336E-2</v>
      </c>
      <c r="BN38" s="19">
        <v>-7.1723618513524681E-3</v>
      </c>
      <c r="BO38" s="18">
        <v>-7.9358536638549096E-2</v>
      </c>
      <c r="BP38" s="19">
        <v>-2.3250662403076824E-2</v>
      </c>
      <c r="BQ38" s="18">
        <v>-0.25725675620188854</v>
      </c>
      <c r="BR38" s="19">
        <v>-0.21216640851528945</v>
      </c>
      <c r="BS38" s="18">
        <v>-2.3475134206251789</v>
      </c>
      <c r="BT38" s="19">
        <v>-7.1727615209948624E-3</v>
      </c>
      <c r="BU38" s="18">
        <v>-7.9362958779904555E-2</v>
      </c>
      <c r="BV38" s="19">
        <v>-7.915768142660988E-2</v>
      </c>
      <c r="BW38" s="18">
        <v>-0.87583949219344981</v>
      </c>
      <c r="BX38" s="19">
        <v>-7.1728361990186446E-3</v>
      </c>
      <c r="BY38" s="18">
        <v>-7.9363785054262892E-2</v>
      </c>
      <c r="BZ38" s="19">
        <v>-7.7159060828370499E-2</v>
      </c>
      <c r="CA38" s="18">
        <v>-0.85372577160055596</v>
      </c>
      <c r="CB38" s="19">
        <v>-7.6309448321582957E-2</v>
      </c>
      <c r="CC38" s="18">
        <v>-0.84432524125283592</v>
      </c>
      <c r="CD38" s="19">
        <v>56.279000499999995</v>
      </c>
      <c r="CE38" s="18" t="b">
        <v>1</v>
      </c>
    </row>
    <row r="39" spans="1:83" x14ac:dyDescent="0.25">
      <c r="A39" s="15">
        <v>43927</v>
      </c>
      <c r="B39" s="16">
        <v>240.5</v>
      </c>
      <c r="C39" s="16">
        <v>4.1215689670101356E-2</v>
      </c>
      <c r="D39" s="17">
        <v>-2.5256967595355076E-2</v>
      </c>
      <c r="F39" s="16">
        <v>3.1018711018711051E-2</v>
      </c>
      <c r="G39" s="16">
        <v>4.1215689670101356E-2</v>
      </c>
      <c r="H39" s="16">
        <v>-1.2990342705751732E-2</v>
      </c>
      <c r="I39" s="17">
        <v>-2.5256967595355076E-2</v>
      </c>
      <c r="J39" s="17">
        <v>57.914000299999998</v>
      </c>
      <c r="K39" s="16">
        <v>45.214509014035059</v>
      </c>
      <c r="L39" s="17">
        <v>12.699491285964939</v>
      </c>
      <c r="M39" s="17">
        <v>-2.5256967595355076E-2</v>
      </c>
      <c r="N39" s="16" t="b">
        <v>1</v>
      </c>
      <c r="O39" s="16" t="b">
        <v>1</v>
      </c>
      <c r="P39" s="17">
        <v>-0.50390593466969824</v>
      </c>
      <c r="Q39" s="16">
        <v>-0.32075063988711061</v>
      </c>
      <c r="R39" s="16">
        <v>-6.3993490262838506</v>
      </c>
      <c r="S39" s="17">
        <v>-1.9875074046811075E-3</v>
      </c>
      <c r="T39" s="17">
        <v>-7.172374970462434E-3</v>
      </c>
      <c r="U39" s="16">
        <v>-2.5240332966538517E-2</v>
      </c>
      <c r="V39" s="16">
        <v>-9.1085513437060714E-2</v>
      </c>
      <c r="W39" s="17">
        <v>-4.5687447281879439E-4</v>
      </c>
      <c r="X39" s="17">
        <v>-7.1723386329397574E-3</v>
      </c>
      <c r="Y39" s="16">
        <v>-5.8020733863421046E-3</v>
      </c>
      <c r="Z39" s="16">
        <v>-9.1085051969008138E-2</v>
      </c>
      <c r="AA39" s="17">
        <v>-4.4339116250188826E-3</v>
      </c>
      <c r="AB39" s="17">
        <v>-7.1723618513524681E-3</v>
      </c>
      <c r="AC39" s="16">
        <v>-5.6308422044665941E-2</v>
      </c>
      <c r="AD39" s="16">
        <v>-9.1085346831038028E-2</v>
      </c>
      <c r="AE39" s="17">
        <v>-4.5690593554150019E-4</v>
      </c>
      <c r="AF39" s="17">
        <v>-2.3250662403076824E-2</v>
      </c>
      <c r="AG39" s="16">
        <v>-5.80247294691494E-3</v>
      </c>
      <c r="AH39" s="16">
        <v>-0.29527158458078673</v>
      </c>
      <c r="AI39" s="17">
        <v>-2.3702429570059817E-3</v>
      </c>
      <c r="AJ39" s="17">
        <v>-0.21216640851528945</v>
      </c>
      <c r="AK39" s="16">
        <v>-3.0100879778117234E-2</v>
      </c>
      <c r="AL39" s="16">
        <v>-2.6944054561143957</v>
      </c>
      <c r="AM39" s="17">
        <v>-2.4249151290442516E-3</v>
      </c>
      <c r="AN39" s="17">
        <v>-7.1727615209948624E-3</v>
      </c>
      <c r="AO39" s="16">
        <v>-3.0795188550502017E-2</v>
      </c>
      <c r="AP39" s="16">
        <v>-9.109042243217888E-2</v>
      </c>
      <c r="AQ39" s="17">
        <v>-4.5692722481173947E-4</v>
      </c>
      <c r="AR39" s="17">
        <v>-7.915768142660988E-2</v>
      </c>
      <c r="AS39" s="16">
        <v>-5.8027433098168284E-3</v>
      </c>
      <c r="AT39" s="16">
        <v>-1.0052622854944209</v>
      </c>
      <c r="AU39" s="17">
        <v>-2.4249379151290128E-3</v>
      </c>
      <c r="AV39" s="17">
        <v>-7.1728361990186446E-3</v>
      </c>
      <c r="AW39" s="16">
        <v>-3.0795477922186884E-2</v>
      </c>
      <c r="AX39" s="16">
        <v>-9.1091370805091151E-2</v>
      </c>
      <c r="AY39" s="17">
        <v>-4.188052424567771E-3</v>
      </c>
      <c r="AZ39" s="17">
        <v>-7.7159060828370499E-2</v>
      </c>
      <c r="BA39" s="16">
        <v>-5.3186135270962741E-2</v>
      </c>
      <c r="BB39" s="16">
        <v>-0.97988082062312976</v>
      </c>
      <c r="BC39" s="17">
        <v>-6.0566925067360123E-3</v>
      </c>
      <c r="BD39" s="17">
        <v>-7.6309448321582957E-2</v>
      </c>
      <c r="BE39" s="16">
        <v>-7.6916913711063128E-2</v>
      </c>
      <c r="BF39" s="16">
        <v>-0.96909117399673461</v>
      </c>
      <c r="BH39" s="19">
        <v>-2.5256967595355076E-2</v>
      </c>
      <c r="BI39" s="18">
        <v>-0.32075063988711061</v>
      </c>
      <c r="BJ39" s="19">
        <v>-1.9875074046811075E-3</v>
      </c>
      <c r="BK39" s="18">
        <v>-2.5240332966538517E-2</v>
      </c>
      <c r="BL39" s="19">
        <v>-4.5687447281879439E-4</v>
      </c>
      <c r="BM39" s="18">
        <v>-5.8020733863421046E-3</v>
      </c>
      <c r="BN39" s="19">
        <v>-4.4339116250188826E-3</v>
      </c>
      <c r="BO39" s="18">
        <v>-5.6308422044665941E-2</v>
      </c>
      <c r="BP39" s="19">
        <v>-4.5690593554150019E-4</v>
      </c>
      <c r="BQ39" s="18">
        <v>-5.80247294691494E-3</v>
      </c>
      <c r="BR39" s="19">
        <v>-2.3702429570059817E-3</v>
      </c>
      <c r="BS39" s="18">
        <v>-3.0100879778117234E-2</v>
      </c>
      <c r="BT39" s="19">
        <v>-2.4249151290442516E-3</v>
      </c>
      <c r="BU39" s="18">
        <v>-3.0795188550502017E-2</v>
      </c>
      <c r="BV39" s="19">
        <v>-4.5692722481173947E-4</v>
      </c>
      <c r="BW39" s="18">
        <v>-5.8027433098168284E-3</v>
      </c>
      <c r="BX39" s="19">
        <v>-2.4249379151290128E-3</v>
      </c>
      <c r="BY39" s="18">
        <v>-3.0795477922186884E-2</v>
      </c>
      <c r="BZ39" s="19">
        <v>-4.188052424567771E-3</v>
      </c>
      <c r="CA39" s="18">
        <v>-5.3186135270962741E-2</v>
      </c>
      <c r="CB39" s="19">
        <v>-6.0566925067360123E-3</v>
      </c>
      <c r="CC39" s="18">
        <v>-7.6916913711063128E-2</v>
      </c>
      <c r="CD39" s="19">
        <v>57.914000299999998</v>
      </c>
      <c r="CE39" s="18" t="b">
        <v>1</v>
      </c>
    </row>
    <row r="40" spans="1:83" x14ac:dyDescent="0.25">
      <c r="A40" s="15">
        <v>43924</v>
      </c>
      <c r="B40" s="16">
        <v>230.98</v>
      </c>
      <c r="C40" s="16">
        <v>-1.2990342705751732E-2</v>
      </c>
      <c r="D40" s="17">
        <v>-0.62750590592622757</v>
      </c>
      <c r="F40" s="16">
        <v>4.1215689670101356E-2</v>
      </c>
      <c r="G40" s="16">
        <v>-1.2990342705751732E-2</v>
      </c>
      <c r="H40" s="16">
        <v>1.0885529157667431E-2</v>
      </c>
      <c r="I40" s="17">
        <v>-0.62750590592622757</v>
      </c>
      <c r="J40" s="17">
        <v>59.8380005</v>
      </c>
      <c r="K40" s="16">
        <v>45.214509014035059</v>
      </c>
      <c r="L40" s="17">
        <v>14.623491485964941</v>
      </c>
      <c r="M40" s="17">
        <v>-0.62750590592622757</v>
      </c>
      <c r="N40" s="16" t="b">
        <v>1</v>
      </c>
      <c r="O40" s="16" t="b">
        <v>1</v>
      </c>
      <c r="P40" s="17">
        <v>-2.5256967595355076E-2</v>
      </c>
      <c r="Q40" s="16">
        <v>-9.1763272727049063</v>
      </c>
      <c r="R40" s="16">
        <v>-0.36934505059196737</v>
      </c>
      <c r="S40" s="17">
        <v>-8.8852928190003358E-3</v>
      </c>
      <c r="T40" s="17">
        <v>-1.9875074046811075E-3</v>
      </c>
      <c r="U40" s="16">
        <v>-0.12993400388895684</v>
      </c>
      <c r="V40" s="16">
        <v>-2.9064297610646453E-2</v>
      </c>
      <c r="W40" s="17">
        <v>-8.8855990083988642E-3</v>
      </c>
      <c r="X40" s="17">
        <v>-4.5687447281879439E-4</v>
      </c>
      <c r="Y40" s="16">
        <v>-0.12993848144701931</v>
      </c>
      <c r="Z40" s="16">
        <v>-6.6810999634203602E-3</v>
      </c>
      <c r="AA40" s="17">
        <v>-8.8854706097890382E-3</v>
      </c>
      <c r="AB40" s="17">
        <v>-4.4339116250188826E-3</v>
      </c>
      <c r="AC40" s="16">
        <v>-0.12993660381104172</v>
      </c>
      <c r="AD40" s="16">
        <v>-6.4839268897984609E-2</v>
      </c>
      <c r="AE40" s="17">
        <v>-0.10928384121435053</v>
      </c>
      <c r="AF40" s="17">
        <v>-4.5690593554150019E-4</v>
      </c>
      <c r="AG40" s="16">
        <v>-1.5981113215515994</v>
      </c>
      <c r="AH40" s="16">
        <v>-6.681560058277974E-3</v>
      </c>
      <c r="AI40" s="17">
        <v>-8.8853513818220962E-3</v>
      </c>
      <c r="AJ40" s="17">
        <v>-2.3702429570059817E-3</v>
      </c>
      <c r="AK40" s="16">
        <v>-0.12993486028188225</v>
      </c>
      <c r="AL40" s="16">
        <v>-3.4661227701445335E-2</v>
      </c>
      <c r="AM40" s="17">
        <v>-7.7534703539617722E-2</v>
      </c>
      <c r="AN40" s="17">
        <v>-2.4249151290442516E-3</v>
      </c>
      <c r="AO40" s="16">
        <v>-1.1338280770784155</v>
      </c>
      <c r="AP40" s="16">
        <v>-3.5460725743766186E-2</v>
      </c>
      <c r="AQ40" s="17">
        <v>-0.1742250864856805</v>
      </c>
      <c r="AR40" s="17">
        <v>-4.5692722481173947E-4</v>
      </c>
      <c r="AS40" s="16">
        <v>-2.5477790688648541</v>
      </c>
      <c r="AT40" s="16">
        <v>-6.6818713817400604E-3</v>
      </c>
      <c r="AU40" s="17">
        <v>-0.12044132644667442</v>
      </c>
      <c r="AV40" s="17">
        <v>-2.4249379151290128E-3</v>
      </c>
      <c r="AW40" s="16">
        <v>-1.7612727118512674</v>
      </c>
      <c r="AX40" s="16">
        <v>-3.5461058955882689E-2</v>
      </c>
      <c r="AY40" s="17">
        <v>-8.8871063289103769E-3</v>
      </c>
      <c r="AZ40" s="17">
        <v>-4.188052424567771E-3</v>
      </c>
      <c r="BA40" s="16">
        <v>-0.12996052373568603</v>
      </c>
      <c r="BB40" s="16">
        <v>-6.1243948973441625E-2</v>
      </c>
      <c r="BC40" s="17">
        <v>-0.10159212809198306</v>
      </c>
      <c r="BD40" s="17">
        <v>-6.0566925067360123E-3</v>
      </c>
      <c r="BE40" s="16">
        <v>-1.4856316201941739</v>
      </c>
      <c r="BF40" s="16">
        <v>-8.8569991305361737E-2</v>
      </c>
      <c r="BH40" s="19">
        <v>-0.62750590592622757</v>
      </c>
      <c r="BI40" s="18">
        <v>-9.1763272727049063</v>
      </c>
      <c r="BJ40" s="19">
        <v>-8.8852928190003358E-3</v>
      </c>
      <c r="BK40" s="18">
        <v>-0.12993400388895684</v>
      </c>
      <c r="BL40" s="19">
        <v>-8.8855990083988642E-3</v>
      </c>
      <c r="BM40" s="18">
        <v>-0.12993848144701931</v>
      </c>
      <c r="BN40" s="19">
        <v>-8.8854706097890382E-3</v>
      </c>
      <c r="BO40" s="18">
        <v>-0.12993660381104172</v>
      </c>
      <c r="BP40" s="19">
        <v>-0.10928384121435053</v>
      </c>
      <c r="BQ40" s="18">
        <v>-1.5981113215515994</v>
      </c>
      <c r="BR40" s="19">
        <v>-8.8853513818220962E-3</v>
      </c>
      <c r="BS40" s="18">
        <v>-0.12993486028188225</v>
      </c>
      <c r="BT40" s="19">
        <v>-7.7534703539617722E-2</v>
      </c>
      <c r="BU40" s="18">
        <v>-1.1338280770784155</v>
      </c>
      <c r="BV40" s="19">
        <v>-0.1742250864856805</v>
      </c>
      <c r="BW40" s="18">
        <v>-2.5477790688648541</v>
      </c>
      <c r="BX40" s="19">
        <v>-0.12044132644667442</v>
      </c>
      <c r="BY40" s="18">
        <v>-1.7612727118512674</v>
      </c>
      <c r="BZ40" s="19">
        <v>-8.8871063289103769E-3</v>
      </c>
      <c r="CA40" s="18">
        <v>-0.12996052373568603</v>
      </c>
      <c r="CB40" s="19">
        <v>-0.10159212809198306</v>
      </c>
      <c r="CC40" s="18">
        <v>-1.4856316201941739</v>
      </c>
      <c r="CD40" s="19">
        <v>59.8380005</v>
      </c>
      <c r="CE40" s="18" t="b">
        <v>1</v>
      </c>
    </row>
    <row r="41" spans="1:83" x14ac:dyDescent="0.25">
      <c r="A41" s="15">
        <v>43923</v>
      </c>
      <c r="B41" s="16">
        <v>234.02</v>
      </c>
      <c r="C41" s="16">
        <v>1.0885529157667431E-2</v>
      </c>
      <c r="D41" s="17">
        <v>-0.28957627939858605</v>
      </c>
      <c r="F41" s="16">
        <v>-1.2990342705751732E-2</v>
      </c>
      <c r="G41" s="16">
        <v>1.0885529157667431E-2</v>
      </c>
      <c r="H41" s="16">
        <v>-5.4986324856104822E-2</v>
      </c>
      <c r="I41" s="17">
        <v>-0.28957627939858605</v>
      </c>
      <c r="J41" s="17">
        <v>61.947000500000001</v>
      </c>
      <c r="K41" s="16">
        <v>45.214509014035059</v>
      </c>
      <c r="L41" s="17">
        <v>16.732491485964943</v>
      </c>
      <c r="M41" s="17">
        <v>-0.28957627939858605</v>
      </c>
      <c r="N41" s="16" t="b">
        <v>1</v>
      </c>
      <c r="O41" s="16" t="b">
        <v>1</v>
      </c>
      <c r="P41" s="17">
        <v>-0.62750590592622757</v>
      </c>
      <c r="Q41" s="16">
        <v>-4.845332629574246</v>
      </c>
      <c r="R41" s="16">
        <v>-10.499737228303321</v>
      </c>
      <c r="S41" s="17">
        <v>-5.0728967861617107E-3</v>
      </c>
      <c r="T41" s="17">
        <v>-8.8852928190003358E-3</v>
      </c>
      <c r="U41" s="16">
        <v>-8.4882202283629749E-2</v>
      </c>
      <c r="V41" s="16">
        <v>-0.14867308644422855</v>
      </c>
      <c r="W41" s="17">
        <v>-5.0727590262987015E-3</v>
      </c>
      <c r="X41" s="17">
        <v>-8.8855990083988642E-3</v>
      </c>
      <c r="Y41" s="16">
        <v>-8.4879897217894837E-2</v>
      </c>
      <c r="Z41" s="16">
        <v>-0.14867820975573254</v>
      </c>
      <c r="AA41" s="17">
        <v>-5.0734229836763003E-3</v>
      </c>
      <c r="AB41" s="17">
        <v>-8.8854706097890382E-3</v>
      </c>
      <c r="AC41" s="16">
        <v>-8.489100687906255E-2</v>
      </c>
      <c r="AD41" s="16">
        <v>-0.1486760613270868</v>
      </c>
      <c r="AE41" s="17">
        <v>-5.0732335573699357E-3</v>
      </c>
      <c r="AF41" s="17">
        <v>-0.10928384121435053</v>
      </c>
      <c r="AG41" s="16">
        <v>-8.4887837305004085E-2</v>
      </c>
      <c r="AH41" s="16">
        <v>-1.828590942672665</v>
      </c>
      <c r="AI41" s="17">
        <v>-2.5756377406256289E-2</v>
      </c>
      <c r="AJ41" s="17">
        <v>-8.8853513818220962E-3</v>
      </c>
      <c r="AK41" s="16">
        <v>-0.43096836565948315</v>
      </c>
      <c r="AL41" s="16">
        <v>-0.14867406634614505</v>
      </c>
      <c r="AM41" s="17">
        <v>-4.1269149245518721E-2</v>
      </c>
      <c r="AN41" s="17">
        <v>-7.7534703539617722E-2</v>
      </c>
      <c r="AO41" s="16">
        <v>-0.69053568838365853</v>
      </c>
      <c r="AP41" s="16">
        <v>-1.2973487668434693</v>
      </c>
      <c r="AQ41" s="17">
        <v>-5.072805751931835E-3</v>
      </c>
      <c r="AR41" s="17">
        <v>-0.1742250864856805</v>
      </c>
      <c r="AS41" s="16">
        <v>-8.4880679054153418E-2</v>
      </c>
      <c r="AT41" s="16">
        <v>-2.9152197762631546</v>
      </c>
      <c r="AU41" s="17">
        <v>-6.2890214855230164E-2</v>
      </c>
      <c r="AV41" s="17">
        <v>-0.12044132644667442</v>
      </c>
      <c r="AW41" s="16">
        <v>-1.0523099846156447</v>
      </c>
      <c r="AX41" s="16">
        <v>-2.0152834693273038</v>
      </c>
      <c r="AY41" s="17">
        <v>-0.12922235853609865</v>
      </c>
      <c r="AZ41" s="17">
        <v>-8.8871063289103769E-3</v>
      </c>
      <c r="BA41" s="16">
        <v>-2.1622120140015797</v>
      </c>
      <c r="BB41" s="16">
        <v>-0.14870343098335803</v>
      </c>
      <c r="BC41" s="17">
        <v>-5.0730612500434714E-3</v>
      </c>
      <c r="BD41" s="17">
        <v>-0.10159212809198306</v>
      </c>
      <c r="BE41" s="16">
        <v>-8.4884954174131055E-2</v>
      </c>
      <c r="BF41" s="16">
        <v>-1.6998894183401665</v>
      </c>
      <c r="BH41" s="19">
        <v>-0.28957627939858605</v>
      </c>
      <c r="BI41" s="18">
        <v>-4.845332629574246</v>
      </c>
      <c r="BJ41" s="19">
        <v>-5.0728967861617107E-3</v>
      </c>
      <c r="BK41" s="18">
        <v>-8.4882202283629749E-2</v>
      </c>
      <c r="BL41" s="19">
        <v>-5.0727590262987015E-3</v>
      </c>
      <c r="BM41" s="18">
        <v>-8.4879897217894837E-2</v>
      </c>
      <c r="BN41" s="19">
        <v>-5.0734229836763003E-3</v>
      </c>
      <c r="BO41" s="18">
        <v>-8.489100687906255E-2</v>
      </c>
      <c r="BP41" s="19">
        <v>-5.0732335573699357E-3</v>
      </c>
      <c r="BQ41" s="18">
        <v>-8.4887837305004085E-2</v>
      </c>
      <c r="BR41" s="19">
        <v>-2.5756377406256289E-2</v>
      </c>
      <c r="BS41" s="18">
        <v>-0.43096836565948315</v>
      </c>
      <c r="BT41" s="19">
        <v>-4.1269149245518721E-2</v>
      </c>
      <c r="BU41" s="18">
        <v>-0.69053568838365853</v>
      </c>
      <c r="BV41" s="19">
        <v>-5.072805751931835E-3</v>
      </c>
      <c r="BW41" s="18">
        <v>-8.4880679054153418E-2</v>
      </c>
      <c r="BX41" s="19">
        <v>-6.2890214855230164E-2</v>
      </c>
      <c r="BY41" s="18">
        <v>-1.0523099846156447</v>
      </c>
      <c r="BZ41" s="19">
        <v>-0.12922235853609865</v>
      </c>
      <c r="CA41" s="18">
        <v>-2.1622120140015797</v>
      </c>
      <c r="CB41" s="19">
        <v>-5.0730612500434714E-3</v>
      </c>
      <c r="CC41" s="18">
        <v>-8.4884954174131055E-2</v>
      </c>
      <c r="CD41" s="19">
        <v>61.947000500000001</v>
      </c>
      <c r="CE41" s="18" t="b">
        <v>1</v>
      </c>
    </row>
    <row r="42" spans="1:83" x14ac:dyDescent="0.25">
      <c r="A42" s="15">
        <v>43922</v>
      </c>
      <c r="B42" s="16">
        <v>231.5</v>
      </c>
      <c r="C42" s="16">
        <v>-5.4986324856104822E-2</v>
      </c>
      <c r="D42" s="17">
        <v>7.8005850501358512E-2</v>
      </c>
      <c r="F42" s="16">
        <v>1.0885529157667431E-2</v>
      </c>
      <c r="G42" s="16">
        <v>-5.4986324856104822E-2</v>
      </c>
      <c r="H42" s="16">
        <v>1.5882889607696828E-2</v>
      </c>
      <c r="I42" s="17">
        <v>7.8005850501358512E-2</v>
      </c>
      <c r="J42" s="17">
        <v>63.886000100000004</v>
      </c>
      <c r="K42" s="16">
        <v>45.214509014035059</v>
      </c>
      <c r="L42" s="17">
        <v>18.671491085964945</v>
      </c>
      <c r="M42" s="17">
        <v>7.8005850501358512E-2</v>
      </c>
      <c r="N42" s="16" t="b">
        <v>1</v>
      </c>
      <c r="O42" s="16" t="b">
        <v>1</v>
      </c>
      <c r="P42" s="17">
        <v>-0.28957627939858605</v>
      </c>
      <c r="Q42" s="16">
        <v>1.4564855422892296</v>
      </c>
      <c r="R42" s="16">
        <v>-5.4068209194975934</v>
      </c>
      <c r="S42" s="17">
        <v>1.5602424550421763E-3</v>
      </c>
      <c r="T42" s="17">
        <v>-5.0728967861617107E-3</v>
      </c>
      <c r="U42" s="16">
        <v>2.9132053091264057E-2</v>
      </c>
      <c r="V42" s="16">
        <v>-9.4718547122838601E-2</v>
      </c>
      <c r="W42" s="17">
        <v>7.8005471767174112E-3</v>
      </c>
      <c r="X42" s="17">
        <v>-5.0727590262987015E-3</v>
      </c>
      <c r="Y42" s="16">
        <v>0.14564784707572817</v>
      </c>
      <c r="Z42" s="16">
        <v>-9.4715974940784417E-2</v>
      </c>
      <c r="AA42" s="17">
        <v>1.5602237417408E-3</v>
      </c>
      <c r="AB42" s="17">
        <v>-5.0734229836763003E-3</v>
      </c>
      <c r="AC42" s="16">
        <v>2.9131703686024218E-2</v>
      </c>
      <c r="AD42" s="16">
        <v>-9.4728372015041709E-2</v>
      </c>
      <c r="AE42" s="17">
        <v>1.5601840371188122E-3</v>
      </c>
      <c r="AF42" s="17">
        <v>-5.0732335573699357E-3</v>
      </c>
      <c r="AG42" s="16">
        <v>2.9130962341528704E-2</v>
      </c>
      <c r="AH42" s="16">
        <v>-9.4724835143450981E-2</v>
      </c>
      <c r="AI42" s="17">
        <v>7.8007196681707273E-3</v>
      </c>
      <c r="AJ42" s="17">
        <v>-2.5756377406256289E-2</v>
      </c>
      <c r="AK42" s="16">
        <v>0.14565106774836115</v>
      </c>
      <c r="AL42" s="16">
        <v>-0.48090997114766321</v>
      </c>
      <c r="AM42" s="17">
        <v>1.5602937225845893E-3</v>
      </c>
      <c r="AN42" s="17">
        <v>-4.1269149245518721E-2</v>
      </c>
      <c r="AO42" s="16">
        <v>2.913301033272522E-2</v>
      </c>
      <c r="AP42" s="16">
        <v>-0.77055655226305975</v>
      </c>
      <c r="AQ42" s="17">
        <v>1.5602072386281156E-3</v>
      </c>
      <c r="AR42" s="17">
        <v>-5.072805751931835E-3</v>
      </c>
      <c r="AS42" s="16">
        <v>2.9131395548302842E-2</v>
      </c>
      <c r="AT42" s="16">
        <v>-9.4716847378026964E-2</v>
      </c>
      <c r="AU42" s="17">
        <v>1.5601000342658093E-2</v>
      </c>
      <c r="AV42" s="17">
        <v>-6.2890214855230164E-2</v>
      </c>
      <c r="AW42" s="16">
        <v>0.29129393883007665</v>
      </c>
      <c r="AX42" s="16">
        <v>-1.1742540860638502</v>
      </c>
      <c r="AY42" s="17">
        <v>2.5741525247241121E-2</v>
      </c>
      <c r="AZ42" s="17">
        <v>-0.12922235853609865</v>
      </c>
      <c r="BA42" s="16">
        <v>0.48063265919300419</v>
      </c>
      <c r="BB42" s="16">
        <v>-2.4127741155141318</v>
      </c>
      <c r="BC42" s="17">
        <v>1.3260906871456596E-2</v>
      </c>
      <c r="BD42" s="17">
        <v>-5.0730612500434714E-3</v>
      </c>
      <c r="BE42" s="16">
        <v>0.24760090444221311</v>
      </c>
      <c r="BF42" s="16">
        <v>-9.4721617908740854E-2</v>
      </c>
      <c r="BH42" s="19">
        <v>7.8005850501358512E-2</v>
      </c>
      <c r="BI42" s="18">
        <v>1.4564855422892296</v>
      </c>
      <c r="BJ42" s="19">
        <v>1.5602424550421763E-3</v>
      </c>
      <c r="BK42" s="18">
        <v>2.9132053091264057E-2</v>
      </c>
      <c r="BL42" s="19">
        <v>7.8005471767174112E-3</v>
      </c>
      <c r="BM42" s="18">
        <v>0.14564784707572817</v>
      </c>
      <c r="BN42" s="19">
        <v>1.5602237417408E-3</v>
      </c>
      <c r="BO42" s="18">
        <v>2.9131703686024218E-2</v>
      </c>
      <c r="BP42" s="19">
        <v>1.5601840371188122E-3</v>
      </c>
      <c r="BQ42" s="18">
        <v>2.9130962341528704E-2</v>
      </c>
      <c r="BR42" s="19">
        <v>7.8007196681707273E-3</v>
      </c>
      <c r="BS42" s="18">
        <v>0.14565106774836115</v>
      </c>
      <c r="BT42" s="19">
        <v>1.5602937225845893E-3</v>
      </c>
      <c r="BU42" s="18">
        <v>2.913301033272522E-2</v>
      </c>
      <c r="BV42" s="19">
        <v>1.5602072386281156E-3</v>
      </c>
      <c r="BW42" s="18">
        <v>2.9131395548302842E-2</v>
      </c>
      <c r="BX42" s="19">
        <v>1.5601000342658093E-2</v>
      </c>
      <c r="BY42" s="18">
        <v>0.29129393883007665</v>
      </c>
      <c r="BZ42" s="19">
        <v>2.5741525247241121E-2</v>
      </c>
      <c r="CA42" s="18">
        <v>0.48063265919300419</v>
      </c>
      <c r="CB42" s="19">
        <v>1.3260906871456596E-2</v>
      </c>
      <c r="CC42" s="18">
        <v>0.24760090444221311</v>
      </c>
      <c r="CD42" s="19">
        <v>63.886000100000004</v>
      </c>
      <c r="CE42" s="18" t="b">
        <v>1</v>
      </c>
    </row>
    <row r="43" spans="1:83" x14ac:dyDescent="0.25">
      <c r="A43" s="15">
        <v>43921</v>
      </c>
      <c r="B43" s="16">
        <v>244.97</v>
      </c>
      <c r="C43" s="16">
        <v>1.5882889607696828E-2</v>
      </c>
      <c r="D43" s="17">
        <v>-5.0065291579812765E-2</v>
      </c>
      <c r="F43" s="16">
        <v>-5.4986324856104822E-2</v>
      </c>
      <c r="G43" s="16">
        <v>1.5882889607696828E-2</v>
      </c>
      <c r="H43" s="16">
        <v>-1.1356647943913781E-2</v>
      </c>
      <c r="I43" s="17">
        <v>-5.0065291579812765E-2</v>
      </c>
      <c r="J43" s="17">
        <v>66.123000399999995</v>
      </c>
      <c r="K43" s="16">
        <v>45.214509014035059</v>
      </c>
      <c r="L43" s="17">
        <v>20.908491385964936</v>
      </c>
      <c r="M43" s="17">
        <v>-5.0065291579812765E-2</v>
      </c>
      <c r="N43" s="16" t="b">
        <v>1</v>
      </c>
      <c r="O43" s="16" t="b">
        <v>1</v>
      </c>
      <c r="P43" s="17">
        <v>7.8005850501358512E-2</v>
      </c>
      <c r="Q43" s="16">
        <v>-1.046789717732338</v>
      </c>
      <c r="R43" s="16">
        <v>1.630984653262523</v>
      </c>
      <c r="S43" s="17">
        <v>-7.2399917498845148E-4</v>
      </c>
      <c r="T43" s="17">
        <v>1.5602424550421763E-3</v>
      </c>
      <c r="U43" s="16">
        <v>-1.5137730513691758E-2</v>
      </c>
      <c r="V43" s="16">
        <v>3.2622315931266126E-2</v>
      </c>
      <c r="W43" s="17">
        <v>-7.2398129983529131E-4</v>
      </c>
      <c r="X43" s="17">
        <v>7.8005471767174112E-3</v>
      </c>
      <c r="Y43" s="16">
        <v>-1.5137356771205887E-2</v>
      </c>
      <c r="Z43" s="16">
        <v>0.16309767345020909</v>
      </c>
      <c r="AA43" s="17">
        <v>-7.2395325777838907E-4</v>
      </c>
      <c r="AB43" s="17">
        <v>1.5602237417408E-3</v>
      </c>
      <c r="AC43" s="16">
        <v>-1.5136770454100701E-2</v>
      </c>
      <c r="AD43" s="16">
        <v>3.2621924664365497E-2</v>
      </c>
      <c r="AE43" s="17">
        <v>-7.2403282774974895E-4</v>
      </c>
      <c r="AF43" s="17">
        <v>1.5601840371188122E-3</v>
      </c>
      <c r="AG43" s="16">
        <v>-1.5138434142161461E-2</v>
      </c>
      <c r="AH43" s="16">
        <v>3.2621094500618682E-2</v>
      </c>
      <c r="AI43" s="17">
        <v>-6.1998123844352699E-3</v>
      </c>
      <c r="AJ43" s="17">
        <v>7.8007196681707273E-3</v>
      </c>
      <c r="AK43" s="16">
        <v>-0.12962872383456359</v>
      </c>
      <c r="AL43" s="16">
        <v>0.16310127998627491</v>
      </c>
      <c r="AM43" s="17">
        <v>-1.6716745046733018E-2</v>
      </c>
      <c r="AN43" s="17">
        <v>1.5602937225845893E-3</v>
      </c>
      <c r="AO43" s="16">
        <v>-0.34952191981098935</v>
      </c>
      <c r="AP43" s="16">
        <v>3.2623387858235049E-2</v>
      </c>
      <c r="AQ43" s="17">
        <v>-7.2400700865069977E-4</v>
      </c>
      <c r="AR43" s="17">
        <v>1.5602072386281156E-3</v>
      </c>
      <c r="AS43" s="16">
        <v>-1.5137894303751396E-2</v>
      </c>
      <c r="AT43" s="16">
        <v>3.2621579609176096E-2</v>
      </c>
      <c r="AU43" s="17">
        <v>-1.6716709220067533E-2</v>
      </c>
      <c r="AV43" s="17">
        <v>1.5601000342658093E-2</v>
      </c>
      <c r="AW43" s="16">
        <v>-0.34952117072946265</v>
      </c>
      <c r="AX43" s="16">
        <v>0.32619338127690278</v>
      </c>
      <c r="AY43" s="17">
        <v>-7.2403150596203885E-4</v>
      </c>
      <c r="AZ43" s="17">
        <v>2.5741525247241121E-2</v>
      </c>
      <c r="BA43" s="16">
        <v>-1.5138406505574509E-2</v>
      </c>
      <c r="BB43" s="16">
        <v>0.53821645889353986</v>
      </c>
      <c r="BC43" s="17">
        <v>-6.0880198536122808E-3</v>
      </c>
      <c r="BD43" s="17">
        <v>1.3260906871456596E-2</v>
      </c>
      <c r="BE43" s="16">
        <v>-0.12729131066683588</v>
      </c>
      <c r="BF43" s="16">
        <v>0.27726555709193346</v>
      </c>
      <c r="BH43" s="19">
        <v>-5.0065291579812765E-2</v>
      </c>
      <c r="BI43" s="18">
        <v>-1.046789717732338</v>
      </c>
      <c r="BJ43" s="19">
        <v>-7.2399917498845148E-4</v>
      </c>
      <c r="BK43" s="18">
        <v>-1.5137730513691758E-2</v>
      </c>
      <c r="BL43" s="19">
        <v>-7.2398129983529131E-4</v>
      </c>
      <c r="BM43" s="18">
        <v>-1.5137356771205887E-2</v>
      </c>
      <c r="BN43" s="19">
        <v>-7.2395325777838907E-4</v>
      </c>
      <c r="BO43" s="18">
        <v>-1.5136770454100701E-2</v>
      </c>
      <c r="BP43" s="19">
        <v>-7.2403282774974895E-4</v>
      </c>
      <c r="BQ43" s="18">
        <v>-1.5138434142161461E-2</v>
      </c>
      <c r="BR43" s="19">
        <v>-6.1998123844352699E-3</v>
      </c>
      <c r="BS43" s="18">
        <v>-0.12962872383456359</v>
      </c>
      <c r="BT43" s="19">
        <v>-1.6716745046733018E-2</v>
      </c>
      <c r="BU43" s="18">
        <v>-0.34952191981098935</v>
      </c>
      <c r="BV43" s="19">
        <v>-7.2400700865069977E-4</v>
      </c>
      <c r="BW43" s="18">
        <v>-1.5137894303751396E-2</v>
      </c>
      <c r="BX43" s="19">
        <v>-1.6716709220067533E-2</v>
      </c>
      <c r="BY43" s="18">
        <v>-0.34952117072946265</v>
      </c>
      <c r="BZ43" s="19">
        <v>-7.2403150596203885E-4</v>
      </c>
      <c r="CA43" s="18">
        <v>-1.5138406505574509E-2</v>
      </c>
      <c r="CB43" s="19">
        <v>-6.0880198536122808E-3</v>
      </c>
      <c r="CC43" s="18">
        <v>-0.12729131066683588</v>
      </c>
      <c r="CD43" s="19">
        <v>66.123000399999995</v>
      </c>
      <c r="CE43" s="18" t="b">
        <v>1</v>
      </c>
    </row>
    <row r="44" spans="1:83" x14ac:dyDescent="0.25">
      <c r="A44" s="15">
        <v>43920</v>
      </c>
      <c r="B44" s="16">
        <v>241.14</v>
      </c>
      <c r="C44" s="16">
        <v>-1.1356647943913781E-2</v>
      </c>
      <c r="D44" s="17">
        <v>6.451272894628346E-2</v>
      </c>
      <c r="F44" s="16">
        <v>1.5882889607696828E-2</v>
      </c>
      <c r="G44" s="16">
        <v>-1.1356647943913781E-2</v>
      </c>
      <c r="H44" s="16">
        <v>1.9306605323693676E-3</v>
      </c>
      <c r="I44" s="17">
        <v>6.451272894628346E-2</v>
      </c>
      <c r="J44" s="17">
        <v>68.684000400000002</v>
      </c>
      <c r="K44" s="16">
        <v>45.214509014035059</v>
      </c>
      <c r="L44" s="17">
        <v>23.469491385964943</v>
      </c>
      <c r="M44" s="17">
        <v>6.451272894628346E-2</v>
      </c>
      <c r="N44" s="16" t="b">
        <v>1</v>
      </c>
      <c r="O44" s="16" t="b">
        <v>1</v>
      </c>
      <c r="P44" s="17">
        <v>-5.0065291579812765E-2</v>
      </c>
      <c r="Q44" s="16">
        <v>1.5140809362898908</v>
      </c>
      <c r="R44" s="16">
        <v>-1.1750069294682388</v>
      </c>
      <c r="S44" s="17">
        <v>1.2186557736812251E-3</v>
      </c>
      <c r="T44" s="17">
        <v>-7.2399917498845148E-4</v>
      </c>
      <c r="U44" s="16">
        <v>2.8601231182867955E-2</v>
      </c>
      <c r="V44" s="16">
        <v>-1.6991892400837188E-2</v>
      </c>
      <c r="W44" s="17">
        <v>1.5554733397967077E-2</v>
      </c>
      <c r="X44" s="17">
        <v>-7.2398129983529131E-4</v>
      </c>
      <c r="Y44" s="16">
        <v>0.36506168149456952</v>
      </c>
      <c r="Z44" s="16">
        <v>-1.6991472880084072E-2</v>
      </c>
      <c r="AA44" s="17">
        <v>1.2187239745035489E-3</v>
      </c>
      <c r="AB44" s="17">
        <v>-7.2395325777838907E-4</v>
      </c>
      <c r="AC44" s="16">
        <v>2.8602831821480001E-2</v>
      </c>
      <c r="AD44" s="16">
        <v>-1.6990814747271162E-2</v>
      </c>
      <c r="AE44" s="17">
        <v>1.2187704907452288E-3</v>
      </c>
      <c r="AF44" s="17">
        <v>-7.2403282774974895E-4</v>
      </c>
      <c r="AG44" s="16">
        <v>2.8603923534013413E-2</v>
      </c>
      <c r="AH44" s="16">
        <v>-1.6992682214028571E-2</v>
      </c>
      <c r="AI44" s="17">
        <v>1.4120947253207927E-2</v>
      </c>
      <c r="AJ44" s="17">
        <v>-6.1998123844352699E-3</v>
      </c>
      <c r="AK44" s="16">
        <v>0.33141144992082877</v>
      </c>
      <c r="AL44" s="16">
        <v>-0.14550644335110235</v>
      </c>
      <c r="AM44" s="17">
        <v>1.1969880910909085E-2</v>
      </c>
      <c r="AN44" s="17">
        <v>-1.6716745046733018E-2</v>
      </c>
      <c r="AO44" s="16">
        <v>0.28092701692960698</v>
      </c>
      <c r="AP44" s="16">
        <v>-0.39233350387567273</v>
      </c>
      <c r="AQ44" s="17">
        <v>1.2189264441783614E-3</v>
      </c>
      <c r="AR44" s="17">
        <v>-7.2400700865069977E-4</v>
      </c>
      <c r="AS44" s="16">
        <v>2.8607583681768928E-2</v>
      </c>
      <c r="AT44" s="16">
        <v>-1.6992076252905844E-2</v>
      </c>
      <c r="AU44" s="17">
        <v>1.555485781773594E-2</v>
      </c>
      <c r="AV44" s="17">
        <v>-1.6716709220067533E-2</v>
      </c>
      <c r="AW44" s="16">
        <v>0.36506460156326309</v>
      </c>
      <c r="AX44" s="16">
        <v>-0.39233266304205572</v>
      </c>
      <c r="AY44" s="17">
        <v>1.2185984954640871E-3</v>
      </c>
      <c r="AZ44" s="17">
        <v>-7.2403150596203885E-4</v>
      </c>
      <c r="BA44" s="16">
        <v>2.8599886892244231E-2</v>
      </c>
      <c r="BB44" s="16">
        <v>-1.6992651192343295E-2</v>
      </c>
      <c r="BC44" s="17">
        <v>1.218634387890933E-3</v>
      </c>
      <c r="BD44" s="17">
        <v>-6.0880198536122808E-3</v>
      </c>
      <c r="BE44" s="16">
        <v>2.8600729269246915E-2</v>
      </c>
      <c r="BF44" s="16">
        <v>-0.14288272951193698</v>
      </c>
      <c r="BH44" s="19">
        <v>6.451272894628346E-2</v>
      </c>
      <c r="BI44" s="18">
        <v>1.5140809362898908</v>
      </c>
      <c r="BJ44" s="19">
        <v>1.2186557736812251E-3</v>
      </c>
      <c r="BK44" s="18">
        <v>2.8601231182867955E-2</v>
      </c>
      <c r="BL44" s="19">
        <v>1.5554733397967077E-2</v>
      </c>
      <c r="BM44" s="18">
        <v>0.36506168149456952</v>
      </c>
      <c r="BN44" s="19">
        <v>1.2187239745035489E-3</v>
      </c>
      <c r="BO44" s="18">
        <v>2.8602831821480001E-2</v>
      </c>
      <c r="BP44" s="19">
        <v>1.2187704907452288E-3</v>
      </c>
      <c r="BQ44" s="18">
        <v>2.8603923534013413E-2</v>
      </c>
      <c r="BR44" s="19">
        <v>1.4120947253207927E-2</v>
      </c>
      <c r="BS44" s="18">
        <v>0.33141144992082877</v>
      </c>
      <c r="BT44" s="19">
        <v>1.1969880910909085E-2</v>
      </c>
      <c r="BU44" s="18">
        <v>0.28092701692960698</v>
      </c>
      <c r="BV44" s="19">
        <v>1.2189264441783614E-3</v>
      </c>
      <c r="BW44" s="18">
        <v>2.8607583681768928E-2</v>
      </c>
      <c r="BX44" s="19">
        <v>1.555485781773594E-2</v>
      </c>
      <c r="BY44" s="18">
        <v>0.36506460156326309</v>
      </c>
      <c r="BZ44" s="19">
        <v>1.2185984954640871E-3</v>
      </c>
      <c r="CA44" s="18">
        <v>2.8599886892244231E-2</v>
      </c>
      <c r="CB44" s="19">
        <v>1.218634387890933E-3</v>
      </c>
      <c r="CC44" s="18">
        <v>2.8600729269246915E-2</v>
      </c>
      <c r="CD44" s="19">
        <v>68.684000400000002</v>
      </c>
      <c r="CE44" s="18" t="b">
        <v>1</v>
      </c>
    </row>
    <row r="45" spans="1:83" x14ac:dyDescent="0.25">
      <c r="A45" s="15">
        <v>43917</v>
      </c>
      <c r="B45" s="16">
        <v>243.91</v>
      </c>
      <c r="C45" s="16">
        <v>1.9306605323693676E-3</v>
      </c>
      <c r="D45" s="17">
        <v>-0.43549962999531999</v>
      </c>
      <c r="F45" s="16">
        <v>-1.1356647943913781E-2</v>
      </c>
      <c r="G45" s="16">
        <v>1.9306605323693676E-3</v>
      </c>
      <c r="H45" s="16">
        <v>1.6238781047797898E-2</v>
      </c>
      <c r="I45" s="17">
        <v>-0.43549962999531999</v>
      </c>
      <c r="J45" s="17">
        <v>67.91300050000001</v>
      </c>
      <c r="K45" s="16">
        <v>45.214509014035059</v>
      </c>
      <c r="L45" s="17">
        <v>22.698491485964951</v>
      </c>
      <c r="M45" s="17">
        <v>-0.43549962999531999</v>
      </c>
      <c r="N45" s="16" t="b">
        <v>1</v>
      </c>
      <c r="O45" s="16" t="b">
        <v>1</v>
      </c>
      <c r="P45" s="17">
        <v>6.451272894628346E-2</v>
      </c>
      <c r="Q45" s="16">
        <v>-9.8851846435896569</v>
      </c>
      <c r="R45" s="16">
        <v>1.4643416287235798</v>
      </c>
      <c r="S45" s="17">
        <v>-1.1348225235603708E-2</v>
      </c>
      <c r="T45" s="17">
        <v>1.2186557736812251E-3</v>
      </c>
      <c r="U45" s="16">
        <v>-0.25758759389116337</v>
      </c>
      <c r="V45" s="16">
        <v>2.7661647703225319E-2</v>
      </c>
      <c r="W45" s="17">
        <v>-6.056739979982898E-3</v>
      </c>
      <c r="X45" s="17">
        <v>1.5554733397967077E-2</v>
      </c>
      <c r="Y45" s="16">
        <v>-0.13747886086834535</v>
      </c>
      <c r="Z45" s="16">
        <v>0.35306898360021038</v>
      </c>
      <c r="AA45" s="17">
        <v>-6.0568796149322972E-3</v>
      </c>
      <c r="AB45" s="17">
        <v>1.2187239745035489E-3</v>
      </c>
      <c r="AC45" s="16">
        <v>-0.13748203037105541</v>
      </c>
      <c r="AD45" s="16">
        <v>2.7663195759010172E-2</v>
      </c>
      <c r="AE45" s="17">
        <v>-2.6469691173722942E-2</v>
      </c>
      <c r="AF45" s="17">
        <v>1.2187704907452288E-3</v>
      </c>
      <c r="AG45" s="16">
        <v>-0.60082205974287184</v>
      </c>
      <c r="AH45" s="16">
        <v>2.7664251607525902E-2</v>
      </c>
      <c r="AI45" s="17">
        <v>-3.0801032571442195E-2</v>
      </c>
      <c r="AJ45" s="17">
        <v>1.4120947253207927E-2</v>
      </c>
      <c r="AK45" s="16">
        <v>-0.69913697558180976</v>
      </c>
      <c r="AL45" s="16">
        <v>0.32052420100070028</v>
      </c>
      <c r="AM45" s="17">
        <v>-4.4780295580904822E-2</v>
      </c>
      <c r="AN45" s="17">
        <v>1.1969880910909085E-2</v>
      </c>
      <c r="AO45" s="16">
        <v>-1.0164451579821621</v>
      </c>
      <c r="AP45" s="16">
        <v>0.27169823994428427</v>
      </c>
      <c r="AQ45" s="17">
        <v>-0.14958995009030499</v>
      </c>
      <c r="AR45" s="17">
        <v>1.2189264441783614E-3</v>
      </c>
      <c r="AS45" s="16">
        <v>-3.3954662085107095</v>
      </c>
      <c r="AT45" s="16">
        <v>2.7667791515200067E-2</v>
      </c>
      <c r="AU45" s="17">
        <v>-0.10756176353482122</v>
      </c>
      <c r="AV45" s="17">
        <v>1.555485781773594E-2</v>
      </c>
      <c r="AW45" s="16">
        <v>-2.4414897738105146</v>
      </c>
      <c r="AX45" s="16">
        <v>0.35307180774127456</v>
      </c>
      <c r="AY45" s="17">
        <v>-3.7731349931210585E-2</v>
      </c>
      <c r="AZ45" s="17">
        <v>1.2185984954640871E-3</v>
      </c>
      <c r="BA45" s="16">
        <v>-0.85644472516754766</v>
      </c>
      <c r="BB45" s="16">
        <v>2.7660347574101279E-2</v>
      </c>
      <c r="BC45" s="17">
        <v>-1.5103702282393836E-2</v>
      </c>
      <c r="BD45" s="17">
        <v>1.218634387890933E-3</v>
      </c>
      <c r="BE45" s="16">
        <v>-0.34283125766346589</v>
      </c>
      <c r="BF45" s="16">
        <v>2.7661162278046453E-2</v>
      </c>
      <c r="BH45" s="19">
        <v>-0.43549962999531999</v>
      </c>
      <c r="BI45" s="18">
        <v>-9.8851846435896569</v>
      </c>
      <c r="BJ45" s="19">
        <v>-1.1348225235603708E-2</v>
      </c>
      <c r="BK45" s="18">
        <v>-0.25758759389116337</v>
      </c>
      <c r="BL45" s="19">
        <v>-6.056739979982898E-3</v>
      </c>
      <c r="BM45" s="18">
        <v>-0.13747886086834535</v>
      </c>
      <c r="BN45" s="19">
        <v>-6.0568796149322972E-3</v>
      </c>
      <c r="BO45" s="18">
        <v>-0.13748203037105541</v>
      </c>
      <c r="BP45" s="19">
        <v>-2.6469691173722942E-2</v>
      </c>
      <c r="BQ45" s="18">
        <v>-0.60082205974287184</v>
      </c>
      <c r="BR45" s="19">
        <v>-3.0801032571442195E-2</v>
      </c>
      <c r="BS45" s="18">
        <v>-0.69913697558180976</v>
      </c>
      <c r="BT45" s="19">
        <v>-4.4780295580904822E-2</v>
      </c>
      <c r="BU45" s="18">
        <v>-1.0164451579821621</v>
      </c>
      <c r="BV45" s="19">
        <v>-0.14958995009030499</v>
      </c>
      <c r="BW45" s="18">
        <v>-3.3954662085107095</v>
      </c>
      <c r="BX45" s="19">
        <v>-0.10756176353482122</v>
      </c>
      <c r="BY45" s="18">
        <v>-2.4414897738105146</v>
      </c>
      <c r="BZ45" s="19">
        <v>-3.7731349931210585E-2</v>
      </c>
      <c r="CA45" s="18">
        <v>-0.85644472516754766</v>
      </c>
      <c r="CB45" s="19">
        <v>-1.5103702282393836E-2</v>
      </c>
      <c r="CC45" s="18">
        <v>-0.34283125766346589</v>
      </c>
      <c r="CD45" s="19">
        <v>67.91300050000001</v>
      </c>
      <c r="CE45" s="18" t="b">
        <v>1</v>
      </c>
    </row>
    <row r="46" spans="1:83" x14ac:dyDescent="0.25">
      <c r="A46" s="15">
        <v>43916</v>
      </c>
      <c r="B46" s="16">
        <v>243.44</v>
      </c>
      <c r="C46" s="16">
        <v>1.6238781047797898E-2</v>
      </c>
      <c r="D46" s="17">
        <v>-0.35762683051871136</v>
      </c>
      <c r="F46" s="16">
        <v>1.9306605323693676E-3</v>
      </c>
      <c r="G46" s="16">
        <v>1.6238781047797898E-2</v>
      </c>
      <c r="H46" s="16">
        <v>9.9004450153690929E-2</v>
      </c>
      <c r="I46" s="17">
        <v>-0.35762683051871136</v>
      </c>
      <c r="J46" s="17">
        <v>69.360000600000006</v>
      </c>
      <c r="K46" s="16">
        <v>45.214509014035059</v>
      </c>
      <c r="L46" s="17">
        <v>24.145491585964947</v>
      </c>
      <c r="M46" s="17">
        <v>-0.35762683051871136</v>
      </c>
      <c r="N46" s="16" t="b">
        <v>1</v>
      </c>
      <c r="O46" s="16" t="b">
        <v>1</v>
      </c>
      <c r="P46" s="17">
        <v>-0.43549962999531999</v>
      </c>
      <c r="Q46" s="16">
        <v>-8.6350756272048574</v>
      </c>
      <c r="R46" s="16">
        <v>-10.515352651742846</v>
      </c>
      <c r="S46" s="17">
        <v>-5.0848837216479351E-3</v>
      </c>
      <c r="T46" s="17">
        <v>-1.1348225235603708E-2</v>
      </c>
      <c r="U46" s="16">
        <v>-0.12277701711666035</v>
      </c>
      <c r="V46" s="16">
        <v>-0.27400847694190444</v>
      </c>
      <c r="W46" s="17">
        <v>-5.085061833605015E-3</v>
      </c>
      <c r="X46" s="17">
        <v>-6.056739979982898E-3</v>
      </c>
      <c r="Y46" s="16">
        <v>-0.12278131771742137</v>
      </c>
      <c r="Z46" s="16">
        <v>-0.14624296422505456</v>
      </c>
      <c r="AA46" s="17">
        <v>-8.0581010020851537E-2</v>
      </c>
      <c r="AB46" s="17">
        <v>-6.0568796149322972E-3</v>
      </c>
      <c r="AC46" s="16">
        <v>-1.9456680994470279</v>
      </c>
      <c r="AD46" s="16">
        <v>-0.1462463357795504</v>
      </c>
      <c r="AE46" s="17">
        <v>-4.2337027771192637E-2</v>
      </c>
      <c r="AF46" s="17">
        <v>-2.6469691173722942E-2</v>
      </c>
      <c r="AG46" s="16">
        <v>-1.0222483478240962</v>
      </c>
      <c r="AH46" s="16">
        <v>-0.63912370551821795</v>
      </c>
      <c r="AI46" s="17">
        <v>-5.0851997492975514E-3</v>
      </c>
      <c r="AJ46" s="17">
        <v>-3.0801032571442195E-2</v>
      </c>
      <c r="AK46" s="16">
        <v>-0.12278464775961509</v>
      </c>
      <c r="AL46" s="16">
        <v>-0.74370607279278977</v>
      </c>
      <c r="AM46" s="17">
        <v>-4.2337292064454357E-2</v>
      </c>
      <c r="AN46" s="17">
        <v>-4.4780295580904822E-2</v>
      </c>
      <c r="AO46" s="16">
        <v>-1.0222547293148232</v>
      </c>
      <c r="AP46" s="16">
        <v>-1.0812422501657608</v>
      </c>
      <c r="AQ46" s="17">
        <v>-5.0855593038487256E-3</v>
      </c>
      <c r="AR46" s="17">
        <v>-0.14958995009030499</v>
      </c>
      <c r="AS46" s="16">
        <v>-0.12279332938100516</v>
      </c>
      <c r="AT46" s="16">
        <v>-3.6119228812503756</v>
      </c>
      <c r="AU46" s="17">
        <v>-8.6363244862785862E-2</v>
      </c>
      <c r="AV46" s="17">
        <v>-0.10756176353482122</v>
      </c>
      <c r="AW46" s="16">
        <v>-2.0852830021710265</v>
      </c>
      <c r="AX46" s="16">
        <v>-2.5971316564015772</v>
      </c>
      <c r="AY46" s="17">
        <v>-4.0847629201295664E-2</v>
      </c>
      <c r="AZ46" s="17">
        <v>-3.7731349931210585E-2</v>
      </c>
      <c r="BA46" s="16">
        <v>-0.98628608718650057</v>
      </c>
      <c r="BB46" s="16">
        <v>-0.91104199229114424</v>
      </c>
      <c r="BC46" s="17">
        <v>-4.4819921989731761E-2</v>
      </c>
      <c r="BD46" s="17">
        <v>-1.5103702282393836E-2</v>
      </c>
      <c r="BE46" s="16">
        <v>-1.0821990492866735</v>
      </c>
      <c r="BF46" s="16">
        <v>-0.36468631637645993</v>
      </c>
      <c r="BH46" s="19">
        <v>-0.35762683051871136</v>
      </c>
      <c r="BI46" s="18">
        <v>-8.6350756272048574</v>
      </c>
      <c r="BJ46" s="19">
        <v>-5.0848837216479351E-3</v>
      </c>
      <c r="BK46" s="18">
        <v>-0.12277701711666035</v>
      </c>
      <c r="BL46" s="19">
        <v>-5.085061833605015E-3</v>
      </c>
      <c r="BM46" s="18">
        <v>-0.12278131771742137</v>
      </c>
      <c r="BN46" s="19">
        <v>-8.0581010020851537E-2</v>
      </c>
      <c r="BO46" s="18">
        <v>-1.9456680994470279</v>
      </c>
      <c r="BP46" s="19">
        <v>-4.2337027771192637E-2</v>
      </c>
      <c r="BQ46" s="18">
        <v>-1.0222483478240962</v>
      </c>
      <c r="BR46" s="19">
        <v>-5.0851997492975514E-3</v>
      </c>
      <c r="BS46" s="18">
        <v>-0.12278464775961509</v>
      </c>
      <c r="BT46" s="19">
        <v>-4.2337292064454357E-2</v>
      </c>
      <c r="BU46" s="18">
        <v>-1.0222547293148232</v>
      </c>
      <c r="BV46" s="19">
        <v>-5.0855593038487256E-3</v>
      </c>
      <c r="BW46" s="18">
        <v>-0.12279332938100516</v>
      </c>
      <c r="BX46" s="19">
        <v>-8.6363244862785862E-2</v>
      </c>
      <c r="BY46" s="18">
        <v>-2.0852830021710265</v>
      </c>
      <c r="BZ46" s="19">
        <v>-4.0847629201295664E-2</v>
      </c>
      <c r="CA46" s="18">
        <v>-0.98628608718650057</v>
      </c>
      <c r="CB46" s="19">
        <v>-4.4819921989731761E-2</v>
      </c>
      <c r="CC46" s="18">
        <v>-1.0821990492866735</v>
      </c>
      <c r="CD46" s="19">
        <v>69.360000600000006</v>
      </c>
      <c r="CE46" s="18" t="b">
        <v>1</v>
      </c>
    </row>
    <row r="47" spans="1:83" x14ac:dyDescent="0.25">
      <c r="A47" s="15">
        <v>43915</v>
      </c>
      <c r="B47" s="16">
        <v>239.55</v>
      </c>
      <c r="C47" s="16">
        <v>9.9004450153690929E-2</v>
      </c>
      <c r="D47" s="17">
        <v>6.999037426430732E-2</v>
      </c>
      <c r="F47" s="16">
        <v>1.6238781047797898E-2</v>
      </c>
      <c r="G47" s="16">
        <v>9.9004450153690929E-2</v>
      </c>
      <c r="H47" s="16">
        <v>9.9747729566094914E-2</v>
      </c>
      <c r="I47" s="17">
        <v>6.999037426430732E-2</v>
      </c>
      <c r="J47" s="17">
        <v>68.355000700000005</v>
      </c>
      <c r="K47" s="16">
        <v>45.214509014035059</v>
      </c>
      <c r="L47" s="17">
        <v>23.140491685964946</v>
      </c>
      <c r="M47" s="17">
        <v>6.999037426430732E-2</v>
      </c>
      <c r="N47" s="16" t="b">
        <v>1</v>
      </c>
      <c r="O47" s="16" t="b">
        <v>1</v>
      </c>
      <c r="P47" s="17">
        <v>-0.35762683051871136</v>
      </c>
      <c r="Q47" s="16">
        <v>1.6196116737607784</v>
      </c>
      <c r="R47" s="16">
        <v>-8.2756606982962353</v>
      </c>
      <c r="S47" s="17">
        <v>1.2419562592091457E-3</v>
      </c>
      <c r="T47" s="17">
        <v>-5.0848837216479351E-3</v>
      </c>
      <c r="U47" s="16">
        <v>2.8739478490561361E-2</v>
      </c>
      <c r="V47" s="16">
        <v>-0.11766670948489254</v>
      </c>
      <c r="W47" s="17">
        <v>1.2419150912283468E-3</v>
      </c>
      <c r="X47" s="17">
        <v>-5.085061833605015E-3</v>
      </c>
      <c r="Y47" s="16">
        <v>2.8738525843243958E-2</v>
      </c>
      <c r="Z47" s="16">
        <v>-0.11767083108315451</v>
      </c>
      <c r="AA47" s="17">
        <v>1.2419913174925709E-3</v>
      </c>
      <c r="AB47" s="17">
        <v>-8.0581010020851537E-2</v>
      </c>
      <c r="AC47" s="16">
        <v>2.8740289756477487E-2</v>
      </c>
      <c r="AD47" s="16">
        <v>-1.864684192434173</v>
      </c>
      <c r="AE47" s="17">
        <v>8.5324104378155189E-3</v>
      </c>
      <c r="AF47" s="17">
        <v>-4.2337027771192637E-2</v>
      </c>
      <c r="AG47" s="16">
        <v>0.19744417279751053</v>
      </c>
      <c r="AH47" s="16">
        <v>-0.97969963914775027</v>
      </c>
      <c r="AI47" s="17">
        <v>4.515478735063359E-3</v>
      </c>
      <c r="AJ47" s="17">
        <v>-5.0851997492975514E-3</v>
      </c>
      <c r="AK47" s="16">
        <v>0.10449039812688517</v>
      </c>
      <c r="AL47" s="16">
        <v>-0.11767402252009102</v>
      </c>
      <c r="AM47" s="17">
        <v>1.0839097112257997E-2</v>
      </c>
      <c r="AN47" s="17">
        <v>-4.2337292064454357E-2</v>
      </c>
      <c r="AO47" s="16">
        <v>0.25082203660957281</v>
      </c>
      <c r="AP47" s="16">
        <v>-0.97970575502377577</v>
      </c>
      <c r="AQ47" s="17">
        <v>3.7028936507562753E-3</v>
      </c>
      <c r="AR47" s="17">
        <v>-5.0855593038487256E-3</v>
      </c>
      <c r="AS47" s="16">
        <v>8.568677973933797E-2</v>
      </c>
      <c r="AT47" s="16">
        <v>-0.11768234278919311</v>
      </c>
      <c r="AU47" s="17">
        <v>2.3359486540013113E-2</v>
      </c>
      <c r="AV47" s="17">
        <v>-8.6363244862785862E-2</v>
      </c>
      <c r="AW47" s="16">
        <v>0.54055000406758347</v>
      </c>
      <c r="AX47" s="16">
        <v>-1.998487949720251</v>
      </c>
      <c r="AY47" s="17">
        <v>8.240900896687036E-3</v>
      </c>
      <c r="AZ47" s="17">
        <v>-4.0847629201295664E-2</v>
      </c>
      <c r="BA47" s="16">
        <v>0.19069849868464742</v>
      </c>
      <c r="BB47" s="16">
        <v>-0.94523422392396128</v>
      </c>
      <c r="BC47" s="17">
        <v>7.074244223783892E-3</v>
      </c>
      <c r="BD47" s="17">
        <v>-4.4819921989731761E-2</v>
      </c>
      <c r="BE47" s="16">
        <v>0.1637014896449567</v>
      </c>
      <c r="BF47" s="16">
        <v>-1.0371550321689853</v>
      </c>
      <c r="BH47" s="19">
        <v>6.999037426430732E-2</v>
      </c>
      <c r="BI47" s="18">
        <v>1.6196116737607784</v>
      </c>
      <c r="BJ47" s="19">
        <v>1.2419562592091457E-3</v>
      </c>
      <c r="BK47" s="18">
        <v>2.8739478490561361E-2</v>
      </c>
      <c r="BL47" s="19">
        <v>1.2419150912283468E-3</v>
      </c>
      <c r="BM47" s="18">
        <v>2.8738525843243958E-2</v>
      </c>
      <c r="BN47" s="19">
        <v>1.2419913174925709E-3</v>
      </c>
      <c r="BO47" s="18">
        <v>2.8740289756477487E-2</v>
      </c>
      <c r="BP47" s="19">
        <v>8.5324104378155189E-3</v>
      </c>
      <c r="BQ47" s="18">
        <v>0.19744417279751053</v>
      </c>
      <c r="BR47" s="19">
        <v>4.515478735063359E-3</v>
      </c>
      <c r="BS47" s="18">
        <v>0.10449039812688517</v>
      </c>
      <c r="BT47" s="19">
        <v>1.0839097112257997E-2</v>
      </c>
      <c r="BU47" s="18">
        <v>0.25082203660957281</v>
      </c>
      <c r="BV47" s="19">
        <v>3.7028936507562753E-3</v>
      </c>
      <c r="BW47" s="18">
        <v>8.568677973933797E-2</v>
      </c>
      <c r="BX47" s="19">
        <v>2.3359486540013113E-2</v>
      </c>
      <c r="BY47" s="18">
        <v>0.54055000406758347</v>
      </c>
      <c r="BZ47" s="19">
        <v>8.240900896687036E-3</v>
      </c>
      <c r="CA47" s="18">
        <v>0.19069849868464742</v>
      </c>
      <c r="CB47" s="19">
        <v>7.074244223783892E-3</v>
      </c>
      <c r="CC47" s="18">
        <v>0.1637014896449567</v>
      </c>
      <c r="CD47" s="19">
        <v>68.355000700000005</v>
      </c>
      <c r="CE47" s="18" t="b">
        <v>1</v>
      </c>
    </row>
    <row r="48" spans="1:83" x14ac:dyDescent="0.25">
      <c r="A48" s="15">
        <v>43914</v>
      </c>
      <c r="B48" s="16">
        <v>217.97</v>
      </c>
      <c r="C48" s="16">
        <v>9.9747729566094914E-2</v>
      </c>
      <c r="D48" s="17">
        <v>-0.11966689694672823</v>
      </c>
      <c r="F48" s="16">
        <v>9.9004450153690929E-2</v>
      </c>
      <c r="G48" s="16">
        <v>9.9747729566094914E-2</v>
      </c>
      <c r="H48" s="16">
        <v>-0.14521067839737792</v>
      </c>
      <c r="I48" s="17">
        <v>-0.11966689694672823</v>
      </c>
      <c r="J48" s="17">
        <v>66.918000799999987</v>
      </c>
      <c r="K48" s="16">
        <v>45.214509014035059</v>
      </c>
      <c r="L48" s="17">
        <v>21.703491785964928</v>
      </c>
      <c r="M48" s="17">
        <v>-0.11966689694672823</v>
      </c>
      <c r="N48" s="16" t="b">
        <v>1</v>
      </c>
      <c r="O48" s="16" t="b">
        <v>1</v>
      </c>
      <c r="P48" s="17">
        <v>6.999037426430732E-2</v>
      </c>
      <c r="Q48" s="16">
        <v>-2.5971895149352275</v>
      </c>
      <c r="R48" s="16">
        <v>1.519035512942005</v>
      </c>
      <c r="S48" s="17">
        <v>-6.9170544564514224E-3</v>
      </c>
      <c r="T48" s="17">
        <v>1.2419562592091457E-3</v>
      </c>
      <c r="U48" s="16">
        <v>-0.15012423457866556</v>
      </c>
      <c r="V48" s="16">
        <v>2.6954787470273422E-2</v>
      </c>
      <c r="W48" s="17">
        <v>-1.5335211430256503E-3</v>
      </c>
      <c r="X48" s="17">
        <v>1.2419150912283468E-3</v>
      </c>
      <c r="Y48" s="16">
        <v>-3.3282763531260751E-2</v>
      </c>
      <c r="Z48" s="16">
        <v>2.6953893981340311E-2</v>
      </c>
      <c r="AA48" s="17">
        <v>-1.1790363237885312E-2</v>
      </c>
      <c r="AB48" s="17">
        <v>1.2419913174925709E-3</v>
      </c>
      <c r="AC48" s="16">
        <v>-0.2558920516869867</v>
      </c>
      <c r="AD48" s="16">
        <v>2.6955548357439772E-2</v>
      </c>
      <c r="AE48" s="17">
        <v>-8.9073539322370183E-3</v>
      </c>
      <c r="AF48" s="17">
        <v>8.5324104378155189E-3</v>
      </c>
      <c r="AG48" s="16">
        <v>-0.19332068290298854</v>
      </c>
      <c r="AH48" s="16">
        <v>0.18518309985161052</v>
      </c>
      <c r="AI48" s="17">
        <v>-1.533581361075168E-3</v>
      </c>
      <c r="AJ48" s="17">
        <v>4.515478735063359E-3</v>
      </c>
      <c r="AK48" s="16">
        <v>-3.3284070473203822E-2</v>
      </c>
      <c r="AL48" s="16">
        <v>9.800165563614692E-2</v>
      </c>
      <c r="AM48" s="17">
        <v>-9.7174079614195941E-3</v>
      </c>
      <c r="AN48" s="17">
        <v>1.0839097112257997E-2</v>
      </c>
      <c r="AO48" s="16">
        <v>-0.21090168387154035</v>
      </c>
      <c r="AP48" s="16">
        <v>0.2352462551431676</v>
      </c>
      <c r="AQ48" s="17">
        <v>-1.5335828098133389E-3</v>
      </c>
      <c r="AR48" s="17">
        <v>3.7028936507562753E-3</v>
      </c>
      <c r="AS48" s="16">
        <v>-3.3284101915880819E-2</v>
      </c>
      <c r="AT48" s="16">
        <v>8.0365721933490508E-2</v>
      </c>
      <c r="AU48" s="17">
        <v>-6.4409877015427427E-2</v>
      </c>
      <c r="AV48" s="17">
        <v>2.3359486540013113E-2</v>
      </c>
      <c r="AW48" s="16">
        <v>-1.3979192367393405</v>
      </c>
      <c r="AX48" s="16">
        <v>0.50698242424553286</v>
      </c>
      <c r="AY48" s="17">
        <v>-1.5335674488113102E-3</v>
      </c>
      <c r="AZ48" s="17">
        <v>8.240900896687036E-3</v>
      </c>
      <c r="BA48" s="16">
        <v>-3.3283768528499458E-2</v>
      </c>
      <c r="BB48" s="16">
        <v>0.1788563249201981</v>
      </c>
      <c r="BC48" s="17">
        <v>-1.1790587580581871E-2</v>
      </c>
      <c r="BD48" s="17">
        <v>7.074244223783892E-3</v>
      </c>
      <c r="BE48" s="16">
        <v>-0.25589692070685871</v>
      </c>
      <c r="BF48" s="16">
        <v>0.15353580140280354</v>
      </c>
      <c r="BH48" s="19">
        <v>-0.11966689694672823</v>
      </c>
      <c r="BI48" s="18">
        <v>-2.5971895149352275</v>
      </c>
      <c r="BJ48" s="19">
        <v>-6.9170544564514224E-3</v>
      </c>
      <c r="BK48" s="18">
        <v>-0.15012423457866556</v>
      </c>
      <c r="BL48" s="19">
        <v>-1.5335211430256503E-3</v>
      </c>
      <c r="BM48" s="18">
        <v>-3.3282763531260751E-2</v>
      </c>
      <c r="BN48" s="19">
        <v>-1.1790363237885312E-2</v>
      </c>
      <c r="BO48" s="18">
        <v>-0.2558920516869867</v>
      </c>
      <c r="BP48" s="19">
        <v>-8.9073539322370183E-3</v>
      </c>
      <c r="BQ48" s="18">
        <v>-0.19332068290298854</v>
      </c>
      <c r="BR48" s="19">
        <v>-1.533581361075168E-3</v>
      </c>
      <c r="BS48" s="18">
        <v>-3.3284070473203822E-2</v>
      </c>
      <c r="BT48" s="19">
        <v>-9.7174079614195941E-3</v>
      </c>
      <c r="BU48" s="18">
        <v>-0.21090168387154035</v>
      </c>
      <c r="BV48" s="19">
        <v>-1.5335828098133389E-3</v>
      </c>
      <c r="BW48" s="18">
        <v>-3.3284101915880819E-2</v>
      </c>
      <c r="BX48" s="19">
        <v>-6.4409877015427427E-2</v>
      </c>
      <c r="BY48" s="18">
        <v>-1.3979192367393405</v>
      </c>
      <c r="BZ48" s="19">
        <v>-1.5335674488113102E-3</v>
      </c>
      <c r="CA48" s="18">
        <v>-3.3283768528499458E-2</v>
      </c>
      <c r="CB48" s="19">
        <v>-1.1790587580581871E-2</v>
      </c>
      <c r="CC48" s="18">
        <v>-0.25589692070685871</v>
      </c>
      <c r="CD48" s="19">
        <v>66.918000799999987</v>
      </c>
      <c r="CE48" s="18" t="b">
        <v>1</v>
      </c>
    </row>
    <row r="49" spans="9:82" x14ac:dyDescent="0.25">
      <c r="I49" s="17"/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BJ49" s="19"/>
      <c r="BL49" s="19"/>
      <c r="BN49" s="19"/>
      <c r="BP49" s="19"/>
      <c r="BR49" s="19"/>
      <c r="BT49" s="19"/>
      <c r="BV49" s="19"/>
      <c r="BX49" s="19"/>
      <c r="BZ49" s="19"/>
      <c r="CB49" s="19"/>
      <c r="CD49" s="19"/>
    </row>
    <row r="50" spans="9:82" x14ac:dyDescent="0.25">
      <c r="I50" s="17"/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BJ50" s="19"/>
      <c r="BL50" s="19"/>
      <c r="BN50" s="19"/>
      <c r="BP50" s="19"/>
      <c r="BR50" s="19"/>
      <c r="BT50" s="19"/>
      <c r="BV50" s="19"/>
      <c r="BX50" s="19"/>
      <c r="BZ50" s="19"/>
      <c r="CB50" s="19"/>
      <c r="CD50" s="19"/>
    </row>
    <row r="51" spans="9:82" x14ac:dyDescent="0.25">
      <c r="I51" s="17"/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BJ51" s="19"/>
      <c r="BL51" s="19"/>
      <c r="BN51" s="19"/>
      <c r="BP51" s="19"/>
      <c r="BR51" s="19"/>
      <c r="BT51" s="19"/>
      <c r="BV51" s="19"/>
      <c r="BX51" s="19"/>
      <c r="BZ51" s="19"/>
      <c r="CB51" s="19"/>
      <c r="CD51" s="19"/>
    </row>
    <row r="52" spans="9:82" x14ac:dyDescent="0.25">
      <c r="I52" s="17"/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BJ52" s="19"/>
      <c r="BL52" s="19"/>
      <c r="BN52" s="19"/>
      <c r="BP52" s="19"/>
      <c r="BR52" s="19"/>
      <c r="BT52" s="19"/>
      <c r="BV52" s="19"/>
      <c r="BX52" s="19"/>
      <c r="BZ52" s="19"/>
      <c r="CB52" s="19"/>
      <c r="CD52" s="19"/>
    </row>
    <row r="53" spans="9:82" x14ac:dyDescent="0.25">
      <c r="I53" s="17"/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BJ53" s="19"/>
      <c r="BL53" s="19"/>
      <c r="BN53" s="19"/>
      <c r="BP53" s="19"/>
      <c r="BR53" s="19"/>
      <c r="BT53" s="19"/>
      <c r="BV53" s="19"/>
      <c r="BX53" s="19"/>
      <c r="BZ53" s="19"/>
      <c r="CB53" s="19"/>
      <c r="CD53" s="19"/>
    </row>
    <row r="54" spans="9:82" x14ac:dyDescent="0.25">
      <c r="I54" s="17"/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BJ54" s="19"/>
      <c r="BL54" s="19"/>
      <c r="BN54" s="19"/>
      <c r="BP54" s="19"/>
      <c r="BR54" s="19"/>
      <c r="BT54" s="19"/>
      <c r="BV54" s="19"/>
      <c r="BX54" s="19"/>
      <c r="BZ54" s="19"/>
      <c r="CB54" s="19"/>
      <c r="CD54" s="19"/>
    </row>
    <row r="55" spans="9:82" x14ac:dyDescent="0.25">
      <c r="I55" s="17"/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BJ55" s="19"/>
      <c r="BL55" s="19"/>
      <c r="BN55" s="19"/>
      <c r="BP55" s="19"/>
      <c r="BR55" s="19"/>
      <c r="BT55" s="19"/>
      <c r="BV55" s="19"/>
      <c r="BX55" s="19"/>
      <c r="BZ55" s="19"/>
      <c r="CB55" s="19"/>
      <c r="CD55" s="19"/>
    </row>
    <row r="56" spans="9:82" x14ac:dyDescent="0.25">
      <c r="I56" s="17"/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BJ56" s="19"/>
      <c r="BL56" s="19"/>
      <c r="BN56" s="19"/>
      <c r="BP56" s="19"/>
      <c r="BR56" s="19"/>
      <c r="BT56" s="19"/>
      <c r="BV56" s="19"/>
      <c r="BX56" s="19"/>
      <c r="BZ56" s="19"/>
      <c r="CB56" s="19"/>
      <c r="CD56" s="19"/>
    </row>
    <row r="57" spans="9:82" x14ac:dyDescent="0.25">
      <c r="I57" s="17"/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BJ57" s="19"/>
      <c r="BL57" s="19"/>
      <c r="BN57" s="19"/>
      <c r="BP57" s="19"/>
      <c r="BR57" s="19"/>
      <c r="BT57" s="19"/>
      <c r="BV57" s="19"/>
      <c r="BX57" s="19"/>
      <c r="BZ57" s="19"/>
      <c r="CB57" s="19"/>
      <c r="CD57" s="19"/>
    </row>
    <row r="58" spans="9:82" x14ac:dyDescent="0.25">
      <c r="I58" s="17"/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BJ58" s="19"/>
      <c r="BL58" s="19"/>
      <c r="BN58" s="19"/>
      <c r="BP58" s="19"/>
      <c r="BR58" s="19"/>
      <c r="BT58" s="19"/>
      <c r="BV58" s="19"/>
      <c r="BX58" s="19"/>
      <c r="BZ58" s="19"/>
      <c r="CB58" s="19"/>
      <c r="CD58" s="19"/>
    </row>
    <row r="59" spans="9:82" x14ac:dyDescent="0.25">
      <c r="L59" s="17"/>
      <c r="P59" s="17"/>
      <c r="R59" s="16">
        <v>0</v>
      </c>
      <c r="U59" s="16"/>
      <c r="V59" s="16">
        <v>0</v>
      </c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9:82" x14ac:dyDescent="0.25">
      <c r="L60" s="17"/>
      <c r="P60" s="17"/>
      <c r="R60" s="16">
        <v>0</v>
      </c>
      <c r="U60" s="16"/>
      <c r="V60" s="16">
        <v>0</v>
      </c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9:82" x14ac:dyDescent="0.25">
      <c r="L61" s="17"/>
      <c r="P61" s="17"/>
      <c r="R61" s="16">
        <v>0</v>
      </c>
      <c r="U61" s="16"/>
      <c r="V61" s="16">
        <v>0</v>
      </c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9:82" x14ac:dyDescent="0.25">
      <c r="L62" s="17"/>
      <c r="P62" s="17"/>
      <c r="R62" s="16">
        <v>0</v>
      </c>
      <c r="U62" s="16"/>
      <c r="V62" s="16">
        <v>0</v>
      </c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9:82" x14ac:dyDescent="0.25">
      <c r="L63" s="17"/>
      <c r="P63" s="17"/>
      <c r="R63" s="16">
        <v>0</v>
      </c>
      <c r="U63" s="16"/>
      <c r="V63" s="16">
        <v>0</v>
      </c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9:82" x14ac:dyDescent="0.25">
      <c r="L64" s="17"/>
      <c r="P64" s="17"/>
      <c r="R64" s="16">
        <v>0</v>
      </c>
      <c r="U64" s="16"/>
      <c r="V64" s="16">
        <v>0</v>
      </c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R65" s="16">
        <v>0</v>
      </c>
      <c r="U65" s="16"/>
      <c r="V65" s="16">
        <v>0</v>
      </c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R66" s="16">
        <v>0</v>
      </c>
      <c r="U66" s="16"/>
      <c r="V66" s="16">
        <v>0</v>
      </c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R67" s="16">
        <v>0</v>
      </c>
      <c r="U67" s="16"/>
      <c r="V67" s="16">
        <v>0</v>
      </c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R68" s="16">
        <v>0</v>
      </c>
      <c r="U68" s="16"/>
      <c r="V68" s="16">
        <v>0</v>
      </c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R69" s="16">
        <v>0</v>
      </c>
      <c r="U69" s="16"/>
      <c r="V69" s="16">
        <v>0</v>
      </c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R70" s="16">
        <v>0</v>
      </c>
      <c r="U70" s="16"/>
      <c r="V70" s="16">
        <v>0</v>
      </c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R71" s="16">
        <v>0</v>
      </c>
      <c r="U71" s="16"/>
      <c r="V71" s="16">
        <v>0</v>
      </c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R72" s="16">
        <v>0</v>
      </c>
      <c r="U72" s="16"/>
      <c r="V72" s="16">
        <v>0</v>
      </c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R73" s="16">
        <v>0</v>
      </c>
      <c r="U73" s="16"/>
      <c r="V73" s="16">
        <v>0</v>
      </c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R74" s="16">
        <v>0</v>
      </c>
      <c r="U74" s="16"/>
      <c r="V74" s="16">
        <v>0</v>
      </c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R75" s="16">
        <v>0</v>
      </c>
      <c r="U75" s="16"/>
      <c r="V75" s="16">
        <v>0</v>
      </c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R76" s="16">
        <v>0</v>
      </c>
      <c r="U76" s="16"/>
      <c r="V76" s="16">
        <v>0</v>
      </c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R77" s="16">
        <v>0</v>
      </c>
      <c r="U77" s="16"/>
      <c r="V77" s="16">
        <v>0</v>
      </c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R78" s="16">
        <v>0</v>
      </c>
      <c r="U78" s="16"/>
      <c r="V78" s="16">
        <v>0</v>
      </c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R79" s="16">
        <v>0</v>
      </c>
      <c r="U79" s="16"/>
      <c r="V79" s="16">
        <v>0</v>
      </c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R80" s="16">
        <v>0</v>
      </c>
      <c r="U80" s="16"/>
      <c r="V80" s="16">
        <v>0</v>
      </c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R81" s="16">
        <v>0</v>
      </c>
      <c r="U81" s="16"/>
      <c r="V81" s="16">
        <v>0</v>
      </c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R82" s="16">
        <v>0</v>
      </c>
      <c r="U82" s="16"/>
      <c r="V82" s="16">
        <v>0</v>
      </c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R83" s="16">
        <v>0</v>
      </c>
      <c r="U83" s="16"/>
      <c r="V83" s="16">
        <v>0</v>
      </c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R84" s="16">
        <v>0</v>
      </c>
      <c r="U84" s="16"/>
      <c r="V84" s="16">
        <v>0</v>
      </c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R85" s="16">
        <v>0</v>
      </c>
      <c r="U85" s="16"/>
      <c r="V85" s="16">
        <v>0</v>
      </c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R86" s="16">
        <v>0</v>
      </c>
      <c r="U86" s="16"/>
      <c r="V86" s="16">
        <v>0</v>
      </c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R87" s="16">
        <v>0</v>
      </c>
      <c r="U87" s="16"/>
      <c r="V87" s="16">
        <v>0</v>
      </c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R88" s="16">
        <v>0</v>
      </c>
      <c r="U88" s="16"/>
      <c r="V88" s="16">
        <v>0</v>
      </c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R89" s="16">
        <v>0</v>
      </c>
      <c r="U89" s="16"/>
      <c r="V89" s="16">
        <v>0</v>
      </c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R90" s="16">
        <v>0</v>
      </c>
      <c r="U90" s="16"/>
      <c r="V90" s="16">
        <v>0</v>
      </c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R91" s="16">
        <v>0</v>
      </c>
      <c r="U91" s="16"/>
      <c r="V91" s="16">
        <v>0</v>
      </c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R92" s="16">
        <v>0</v>
      </c>
      <c r="U92" s="16"/>
      <c r="V92" s="16">
        <v>0</v>
      </c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R93" s="16">
        <v>0</v>
      </c>
      <c r="U93" s="16"/>
      <c r="V93" s="16">
        <v>0</v>
      </c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R94" s="16">
        <v>0</v>
      </c>
      <c r="U94" s="16"/>
      <c r="V94" s="16">
        <v>0</v>
      </c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R95" s="16">
        <v>0</v>
      </c>
      <c r="U95" s="16"/>
      <c r="V95" s="16">
        <v>0</v>
      </c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R96" s="16">
        <v>0</v>
      </c>
      <c r="U96" s="16"/>
      <c r="V96" s="16">
        <v>0</v>
      </c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R97" s="16">
        <v>0</v>
      </c>
      <c r="U97" s="16"/>
      <c r="V97" s="16">
        <v>0</v>
      </c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R98" s="16">
        <v>0</v>
      </c>
      <c r="U98" s="16"/>
      <c r="V98" s="16">
        <v>0</v>
      </c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R99" s="16">
        <v>0</v>
      </c>
      <c r="U99" s="16"/>
      <c r="V99" s="16">
        <v>0</v>
      </c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R100" s="16">
        <v>0</v>
      </c>
      <c r="U100" s="16"/>
      <c r="V100" s="16">
        <v>0</v>
      </c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R101" s="16">
        <v>0</v>
      </c>
      <c r="U101" s="16"/>
      <c r="V101" s="16">
        <v>0</v>
      </c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R102" s="16">
        <v>0</v>
      </c>
      <c r="U102" s="16"/>
      <c r="V102" s="16">
        <v>0</v>
      </c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R103" s="16">
        <v>0</v>
      </c>
      <c r="U103" s="16"/>
      <c r="V103" s="16">
        <v>0</v>
      </c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R104" s="16">
        <v>0</v>
      </c>
      <c r="U104" s="16"/>
      <c r="V104" s="16">
        <v>0</v>
      </c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R105" s="16">
        <v>0</v>
      </c>
      <c r="U105" s="16"/>
      <c r="V105" s="16">
        <v>0</v>
      </c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R106" s="16">
        <v>0</v>
      </c>
      <c r="U106" s="16"/>
      <c r="V106" s="16">
        <v>0</v>
      </c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R107" s="16">
        <v>0</v>
      </c>
      <c r="U107" s="16"/>
      <c r="V107" s="16">
        <v>0</v>
      </c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R108" s="16">
        <v>0</v>
      </c>
      <c r="U108" s="16"/>
      <c r="V108" s="16">
        <v>0</v>
      </c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R109" s="16">
        <v>0</v>
      </c>
      <c r="U109" s="16"/>
      <c r="V109" s="16">
        <v>0</v>
      </c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R110" s="16">
        <v>0</v>
      </c>
      <c r="U110" s="16"/>
      <c r="V110" s="16">
        <v>0</v>
      </c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R111" s="16">
        <v>0</v>
      </c>
      <c r="U111" s="16"/>
      <c r="V111" s="16">
        <v>0</v>
      </c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R112" s="16">
        <v>0</v>
      </c>
      <c r="U112" s="16"/>
      <c r="V112" s="16">
        <v>0</v>
      </c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R113" s="16">
        <v>0</v>
      </c>
      <c r="U113" s="16"/>
      <c r="V113" s="16">
        <v>0</v>
      </c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R114" s="16">
        <v>0</v>
      </c>
      <c r="U114" s="16"/>
      <c r="V114" s="16">
        <v>0</v>
      </c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R115" s="16">
        <v>0</v>
      </c>
      <c r="U115" s="16"/>
      <c r="V115" s="16">
        <v>0</v>
      </c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R116" s="16">
        <v>0</v>
      </c>
      <c r="U116" s="16"/>
      <c r="V116" s="16">
        <v>0</v>
      </c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R117" s="16">
        <v>0</v>
      </c>
      <c r="U117" s="16"/>
      <c r="V117" s="16">
        <v>0</v>
      </c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R118" s="16">
        <v>0</v>
      </c>
      <c r="U118" s="16"/>
      <c r="V118" s="16">
        <v>0</v>
      </c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R119" s="16">
        <v>0</v>
      </c>
      <c r="U119" s="16"/>
      <c r="V119" s="16">
        <v>0</v>
      </c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R120" s="16">
        <v>0</v>
      </c>
      <c r="U120" s="16"/>
      <c r="V120" s="16">
        <v>0</v>
      </c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R121" s="16">
        <v>0</v>
      </c>
      <c r="U121" s="16"/>
      <c r="V121" s="16">
        <v>0</v>
      </c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R122" s="16">
        <v>0</v>
      </c>
      <c r="U122" s="16"/>
      <c r="V122" s="16">
        <v>0</v>
      </c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R123" s="16">
        <v>0</v>
      </c>
      <c r="U123" s="16"/>
      <c r="V123" s="16">
        <v>0</v>
      </c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R124" s="16">
        <v>0</v>
      </c>
      <c r="U124" s="16"/>
      <c r="V124" s="16">
        <v>0</v>
      </c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R125" s="16">
        <v>0</v>
      </c>
      <c r="U125" s="16"/>
      <c r="V125" s="16">
        <v>0</v>
      </c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R126" s="16">
        <v>0</v>
      </c>
      <c r="U126" s="16"/>
      <c r="V126" s="16">
        <v>0</v>
      </c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R127" s="16">
        <v>0</v>
      </c>
      <c r="U127" s="16"/>
      <c r="V127" s="16">
        <v>0</v>
      </c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R128" s="16">
        <v>0</v>
      </c>
      <c r="U128" s="16"/>
      <c r="V128" s="16">
        <v>0</v>
      </c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R129" s="16">
        <v>0</v>
      </c>
      <c r="U129" s="16"/>
      <c r="V129" s="16">
        <v>0</v>
      </c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R130" s="16">
        <v>0</v>
      </c>
      <c r="U130" s="16"/>
      <c r="V130" s="16">
        <v>0</v>
      </c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R131" s="16">
        <v>0</v>
      </c>
      <c r="U131" s="16"/>
      <c r="V131" s="16">
        <v>0</v>
      </c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R132" s="16">
        <v>0</v>
      </c>
      <c r="U132" s="16"/>
      <c r="V132" s="16">
        <v>0</v>
      </c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R133" s="16">
        <v>0</v>
      </c>
      <c r="U133" s="16"/>
      <c r="V133" s="16">
        <v>0</v>
      </c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R134" s="16">
        <v>0</v>
      </c>
      <c r="U134" s="16"/>
      <c r="V134" s="16">
        <v>0</v>
      </c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R135" s="16">
        <v>0</v>
      </c>
      <c r="U135" s="16"/>
      <c r="V135" s="16">
        <v>0</v>
      </c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R136" s="16">
        <v>0</v>
      </c>
      <c r="U136" s="16"/>
      <c r="V136" s="16">
        <v>0</v>
      </c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R137" s="16">
        <v>0</v>
      </c>
      <c r="U137" s="16"/>
      <c r="V137" s="16">
        <v>0</v>
      </c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R138" s="16">
        <v>0</v>
      </c>
      <c r="U138" s="16"/>
      <c r="V138" s="16">
        <v>0</v>
      </c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R139" s="16">
        <v>0</v>
      </c>
      <c r="U139" s="16"/>
      <c r="V139" s="16">
        <v>0</v>
      </c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R140" s="16">
        <v>0</v>
      </c>
      <c r="U140" s="16"/>
      <c r="V140" s="16">
        <v>0</v>
      </c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R141" s="16">
        <v>0</v>
      </c>
      <c r="U141" s="16"/>
      <c r="V141" s="16">
        <v>0</v>
      </c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R142" s="16">
        <v>0</v>
      </c>
      <c r="U142" s="16"/>
      <c r="V142" s="16">
        <v>0</v>
      </c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R143" s="16">
        <v>0</v>
      </c>
      <c r="U143" s="16"/>
      <c r="V143" s="16">
        <v>0</v>
      </c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R144" s="16">
        <v>0</v>
      </c>
      <c r="U144" s="16"/>
      <c r="V144" s="16">
        <v>0</v>
      </c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R145" s="16">
        <v>0</v>
      </c>
      <c r="U145" s="16"/>
      <c r="V145" s="16">
        <v>0</v>
      </c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R146" s="16">
        <v>0</v>
      </c>
      <c r="U146" s="16"/>
      <c r="V146" s="16">
        <v>0</v>
      </c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R147" s="16">
        <v>0</v>
      </c>
      <c r="U147" s="16"/>
      <c r="V147" s="16">
        <v>0</v>
      </c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R148" s="16">
        <v>0</v>
      </c>
      <c r="U148" s="16"/>
      <c r="V148" s="16">
        <v>0</v>
      </c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R149" s="16">
        <v>0</v>
      </c>
      <c r="U149" s="16"/>
      <c r="V149" s="16">
        <v>0</v>
      </c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R150" s="16">
        <v>0</v>
      </c>
      <c r="U150" s="16"/>
      <c r="V150" s="16">
        <v>0</v>
      </c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R151" s="16">
        <v>0</v>
      </c>
      <c r="U151" s="16"/>
      <c r="V151" s="16">
        <v>0</v>
      </c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R152" s="16">
        <v>0</v>
      </c>
      <c r="U152" s="16"/>
      <c r="V152" s="16">
        <v>0</v>
      </c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R153" s="16">
        <v>0</v>
      </c>
      <c r="U153" s="16"/>
      <c r="V153" s="16">
        <v>0</v>
      </c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R154" s="16">
        <v>0</v>
      </c>
      <c r="U154" s="16"/>
      <c r="V154" s="16">
        <v>0</v>
      </c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R155" s="16">
        <v>0</v>
      </c>
      <c r="U155" s="16"/>
      <c r="V155" s="16">
        <v>0</v>
      </c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R156" s="16">
        <v>0</v>
      </c>
      <c r="U156" s="16"/>
      <c r="V156" s="16">
        <v>0</v>
      </c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R157" s="16">
        <v>0</v>
      </c>
      <c r="U157" s="16"/>
      <c r="V157" s="16">
        <v>0</v>
      </c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R158" s="16">
        <v>0</v>
      </c>
      <c r="U158" s="16"/>
      <c r="V158" s="16">
        <v>0</v>
      </c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R159" s="16">
        <v>0</v>
      </c>
      <c r="U159" s="16"/>
      <c r="V159" s="16">
        <v>0</v>
      </c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R160" s="16">
        <v>0</v>
      </c>
      <c r="U160" s="16"/>
      <c r="V160" s="16">
        <v>0</v>
      </c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R161" s="16">
        <v>0</v>
      </c>
      <c r="U161" s="16"/>
      <c r="V161" s="16">
        <v>0</v>
      </c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R162" s="16">
        <v>0</v>
      </c>
      <c r="U162" s="16"/>
      <c r="V162" s="16">
        <v>0</v>
      </c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R163" s="16">
        <v>0</v>
      </c>
      <c r="U163" s="16"/>
      <c r="V163" s="16">
        <v>0</v>
      </c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R164" s="16">
        <v>0</v>
      </c>
      <c r="U164" s="16"/>
      <c r="V164" s="16">
        <v>0</v>
      </c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R165" s="16">
        <v>0</v>
      </c>
      <c r="U165" s="16"/>
      <c r="V165" s="16">
        <v>0</v>
      </c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R166" s="16">
        <v>0</v>
      </c>
      <c r="U166" s="16"/>
      <c r="V166" s="16">
        <v>0</v>
      </c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R167" s="16">
        <v>0</v>
      </c>
      <c r="U167" s="16"/>
      <c r="V167" s="16">
        <v>0</v>
      </c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R168" s="16">
        <v>0</v>
      </c>
      <c r="U168" s="16"/>
      <c r="V168" s="16">
        <v>0</v>
      </c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R169" s="16">
        <v>0</v>
      </c>
      <c r="U169" s="16"/>
      <c r="V169" s="16">
        <v>0</v>
      </c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R170" s="16">
        <v>0</v>
      </c>
      <c r="U170" s="16"/>
      <c r="V170" s="16">
        <v>0</v>
      </c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R171" s="16">
        <v>0</v>
      </c>
      <c r="U171" s="16"/>
      <c r="V171" s="16">
        <v>0</v>
      </c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R172" s="16">
        <v>0</v>
      </c>
      <c r="U172" s="16"/>
      <c r="V172" s="16">
        <v>0</v>
      </c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R173" s="16">
        <v>0</v>
      </c>
      <c r="U173" s="16"/>
      <c r="V173" s="16">
        <v>0</v>
      </c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R174" s="16">
        <v>0</v>
      </c>
      <c r="U174" s="16"/>
      <c r="V174" s="16">
        <v>0</v>
      </c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R175" s="16">
        <v>0</v>
      </c>
      <c r="U175" s="16"/>
      <c r="V175" s="16">
        <v>0</v>
      </c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R176" s="16">
        <v>0</v>
      </c>
      <c r="U176" s="16"/>
      <c r="V176" s="16">
        <v>0</v>
      </c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R177" s="16">
        <v>0</v>
      </c>
      <c r="U177" s="16"/>
      <c r="V177" s="16">
        <v>0</v>
      </c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R178" s="16">
        <v>0</v>
      </c>
      <c r="U178" s="16"/>
      <c r="V178" s="16">
        <v>0</v>
      </c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R179" s="16">
        <v>0</v>
      </c>
      <c r="U179" s="16"/>
      <c r="V179" s="16">
        <v>0</v>
      </c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R180" s="16">
        <v>0</v>
      </c>
      <c r="U180" s="16"/>
      <c r="V180" s="16">
        <v>0</v>
      </c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R181" s="16">
        <v>0</v>
      </c>
      <c r="U181" s="16"/>
      <c r="V181" s="16">
        <v>0</v>
      </c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R182" s="16">
        <v>0</v>
      </c>
      <c r="U182" s="16"/>
      <c r="V182" s="16">
        <v>0</v>
      </c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R183" s="16">
        <v>0</v>
      </c>
      <c r="U183" s="16"/>
      <c r="V183" s="16">
        <v>0</v>
      </c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R184" s="16">
        <v>0</v>
      </c>
      <c r="U184" s="16"/>
      <c r="V184" s="16">
        <v>0</v>
      </c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R185" s="16">
        <v>0</v>
      </c>
      <c r="U185" s="16"/>
      <c r="V185" s="16">
        <v>0</v>
      </c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R186" s="16">
        <v>0</v>
      </c>
      <c r="U186" s="16"/>
      <c r="V186" s="16">
        <v>0</v>
      </c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R187" s="16">
        <v>0</v>
      </c>
      <c r="U187" s="16"/>
      <c r="V187" s="16">
        <v>0</v>
      </c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R188" s="16">
        <v>0</v>
      </c>
      <c r="U188" s="16"/>
      <c r="V188" s="16">
        <v>0</v>
      </c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R189" s="16">
        <v>0</v>
      </c>
      <c r="U189" s="16"/>
      <c r="V189" s="16">
        <v>0</v>
      </c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R190" s="16">
        <v>0</v>
      </c>
      <c r="U190" s="16"/>
      <c r="V190" s="16">
        <v>0</v>
      </c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R191" s="16">
        <v>0</v>
      </c>
      <c r="U191" s="16"/>
      <c r="V191" s="16">
        <v>0</v>
      </c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R192" s="16">
        <v>0</v>
      </c>
      <c r="U192" s="16"/>
      <c r="V192" s="16">
        <v>0</v>
      </c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R193" s="16">
        <v>0</v>
      </c>
      <c r="U193" s="16"/>
      <c r="V193" s="16">
        <v>0</v>
      </c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R194" s="16">
        <v>0</v>
      </c>
      <c r="U194" s="16"/>
      <c r="V194" s="16">
        <v>0</v>
      </c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R195" s="16">
        <v>0</v>
      </c>
      <c r="U195" s="16"/>
      <c r="V195" s="16">
        <v>0</v>
      </c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R196" s="16">
        <v>0</v>
      </c>
      <c r="U196" s="16"/>
      <c r="V196" s="16">
        <v>0</v>
      </c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R197" s="16">
        <v>0</v>
      </c>
      <c r="U197" s="16"/>
      <c r="V197" s="16">
        <v>0</v>
      </c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R198" s="16">
        <v>0</v>
      </c>
      <c r="U198" s="16"/>
      <c r="V198" s="16">
        <v>0</v>
      </c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R199" s="16">
        <v>0</v>
      </c>
      <c r="U199" s="16"/>
      <c r="V199" s="16">
        <v>0</v>
      </c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R200" s="16">
        <v>0</v>
      </c>
      <c r="U200" s="16"/>
      <c r="V200" s="16">
        <v>0</v>
      </c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R201" s="16">
        <v>0</v>
      </c>
      <c r="U201" s="16"/>
      <c r="V201" s="16">
        <v>0</v>
      </c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R202" s="16">
        <v>0</v>
      </c>
      <c r="U202" s="16"/>
      <c r="V202" s="16">
        <v>0</v>
      </c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R203" s="16">
        <v>0</v>
      </c>
      <c r="U203" s="16"/>
      <c r="V203" s="16">
        <v>0</v>
      </c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R204" s="16">
        <v>0</v>
      </c>
      <c r="U204" s="16"/>
      <c r="V204" s="16">
        <v>0</v>
      </c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R205" s="16">
        <v>0</v>
      </c>
      <c r="U205" s="16"/>
      <c r="V205" s="16">
        <v>0</v>
      </c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R206" s="16">
        <v>0</v>
      </c>
      <c r="U206" s="16"/>
      <c r="V206" s="16">
        <v>0</v>
      </c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R207" s="16">
        <v>0</v>
      </c>
      <c r="U207" s="16"/>
      <c r="V207" s="16">
        <v>0</v>
      </c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R208" s="16">
        <v>0</v>
      </c>
      <c r="U208" s="16"/>
      <c r="V208" s="16">
        <v>0</v>
      </c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R209" s="16">
        <v>0</v>
      </c>
      <c r="U209" s="16"/>
      <c r="V209" s="16">
        <v>0</v>
      </c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R210" s="16">
        <v>0</v>
      </c>
      <c r="U210" s="16"/>
      <c r="V210" s="16">
        <v>0</v>
      </c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R211" s="16">
        <v>0</v>
      </c>
      <c r="U211" s="16"/>
      <c r="V211" s="16">
        <v>0</v>
      </c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R212" s="16">
        <v>0</v>
      </c>
      <c r="U212" s="16"/>
      <c r="V212" s="16">
        <v>0</v>
      </c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R213" s="16">
        <v>0</v>
      </c>
      <c r="U213" s="16"/>
      <c r="V213" s="16">
        <v>0</v>
      </c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R214" s="16">
        <v>0</v>
      </c>
      <c r="U214" s="16"/>
      <c r="V214" s="16">
        <v>0</v>
      </c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R215" s="16">
        <v>0</v>
      </c>
      <c r="U215" s="16"/>
      <c r="V215" s="16">
        <v>0</v>
      </c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R216" s="16">
        <v>0</v>
      </c>
      <c r="U216" s="16"/>
      <c r="V216" s="16">
        <v>0</v>
      </c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R217" s="16">
        <v>0</v>
      </c>
      <c r="U217" s="16"/>
      <c r="V217" s="16">
        <v>0</v>
      </c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R218" s="16">
        <v>0</v>
      </c>
      <c r="U218" s="16"/>
      <c r="V218" s="16">
        <v>0</v>
      </c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R219" s="16">
        <v>0</v>
      </c>
      <c r="U219" s="16"/>
      <c r="V219" s="16">
        <v>0</v>
      </c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R220" s="16">
        <v>0</v>
      </c>
      <c r="U220" s="16"/>
      <c r="V220" s="16">
        <v>0</v>
      </c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R221" s="16">
        <v>0</v>
      </c>
      <c r="U221" s="16"/>
      <c r="V221" s="16">
        <v>0</v>
      </c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R222" s="16">
        <v>0</v>
      </c>
      <c r="U222" s="16"/>
      <c r="V222" s="16">
        <v>0</v>
      </c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R223" s="16">
        <v>0</v>
      </c>
      <c r="U223" s="16"/>
      <c r="V223" s="16">
        <v>0</v>
      </c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R224" s="16">
        <v>0</v>
      </c>
      <c r="U224" s="16"/>
      <c r="V224" s="16">
        <v>0</v>
      </c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R225" s="16">
        <v>0</v>
      </c>
      <c r="U225" s="16"/>
      <c r="V225" s="16">
        <v>0</v>
      </c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R226" s="16">
        <v>0</v>
      </c>
      <c r="U226" s="16"/>
      <c r="V226" s="16">
        <v>0</v>
      </c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R227" s="16">
        <v>0</v>
      </c>
      <c r="U227" s="16"/>
      <c r="V227" s="16">
        <v>0</v>
      </c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R228" s="16">
        <v>0</v>
      </c>
      <c r="U228" s="16"/>
      <c r="V228" s="16">
        <v>0</v>
      </c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R229" s="16">
        <v>0</v>
      </c>
      <c r="U229" s="16"/>
      <c r="V229" s="16">
        <v>0</v>
      </c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R230" s="16">
        <v>0</v>
      </c>
      <c r="U230" s="16"/>
      <c r="V230" s="16">
        <v>0</v>
      </c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R231" s="16">
        <v>0</v>
      </c>
      <c r="U231" s="16"/>
      <c r="V231" s="16">
        <v>0</v>
      </c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R232" s="16">
        <v>0</v>
      </c>
      <c r="U232" s="16"/>
      <c r="V232" s="16">
        <v>0</v>
      </c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R233" s="16">
        <v>0</v>
      </c>
      <c r="U233" s="16"/>
      <c r="V233" s="16">
        <v>0</v>
      </c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R234" s="16">
        <v>0</v>
      </c>
      <c r="U234" s="16"/>
      <c r="V234" s="16">
        <v>0</v>
      </c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R235" s="16">
        <v>0</v>
      </c>
      <c r="U235" s="16"/>
      <c r="V235" s="16">
        <v>0</v>
      </c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R236" s="16">
        <v>0</v>
      </c>
      <c r="U236" s="16"/>
      <c r="V236" s="16">
        <v>0</v>
      </c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R237" s="16">
        <v>0</v>
      </c>
      <c r="U237" s="16"/>
      <c r="V237" s="16">
        <v>0</v>
      </c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R238" s="16">
        <v>0</v>
      </c>
      <c r="U238" s="16"/>
      <c r="V238" s="16">
        <v>0</v>
      </c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R239" s="16">
        <v>0</v>
      </c>
      <c r="U239" s="16"/>
      <c r="V239" s="16">
        <v>0</v>
      </c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R240" s="16">
        <v>0</v>
      </c>
      <c r="U240" s="16"/>
      <c r="V240" s="16">
        <v>0</v>
      </c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R241" s="16">
        <v>0</v>
      </c>
      <c r="U241" s="16"/>
      <c r="V241" s="16">
        <v>0</v>
      </c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R242" s="16">
        <v>0</v>
      </c>
      <c r="U242" s="16"/>
      <c r="V242" s="16">
        <v>0</v>
      </c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R243" s="16">
        <v>0</v>
      </c>
      <c r="U243" s="16"/>
      <c r="V243" s="16">
        <v>0</v>
      </c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R244" s="16">
        <v>0</v>
      </c>
      <c r="U244" s="16"/>
      <c r="V244" s="16">
        <v>0</v>
      </c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R245" s="16">
        <v>0</v>
      </c>
      <c r="U245" s="16"/>
      <c r="V245" s="16">
        <v>0</v>
      </c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R246" s="16">
        <v>0</v>
      </c>
      <c r="U246" s="16"/>
      <c r="V246" s="16">
        <v>0</v>
      </c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R247" s="16">
        <v>0</v>
      </c>
      <c r="U247" s="16"/>
      <c r="V247" s="16">
        <v>0</v>
      </c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R248" s="16">
        <v>0</v>
      </c>
      <c r="U248" s="16"/>
      <c r="V248" s="16">
        <v>0</v>
      </c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R249" s="16">
        <v>0</v>
      </c>
      <c r="U249" s="16"/>
      <c r="V249" s="16">
        <v>0</v>
      </c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R250" s="16">
        <v>0</v>
      </c>
      <c r="U250" s="16"/>
      <c r="V250" s="16">
        <v>0</v>
      </c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R251" s="16">
        <v>0</v>
      </c>
      <c r="U251" s="16"/>
      <c r="V251" s="16">
        <v>0</v>
      </c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R252" s="16">
        <v>0</v>
      </c>
      <c r="U252" s="16"/>
      <c r="V252" s="16">
        <v>0</v>
      </c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R253" s="16">
        <v>0</v>
      </c>
      <c r="U253" s="16"/>
      <c r="V253" s="16">
        <v>0</v>
      </c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R254" s="16">
        <v>0</v>
      </c>
      <c r="U254" s="16"/>
      <c r="V254" s="16">
        <v>0</v>
      </c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R255" s="16">
        <v>0</v>
      </c>
      <c r="U255" s="16"/>
      <c r="V255" s="16">
        <v>0</v>
      </c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R256" s="16">
        <v>0</v>
      </c>
      <c r="U256" s="16"/>
      <c r="V256" s="16">
        <v>0</v>
      </c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R257" s="16">
        <v>0</v>
      </c>
      <c r="U257" s="16"/>
      <c r="V257" s="16">
        <v>0</v>
      </c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R258" s="16">
        <v>0</v>
      </c>
      <c r="U258" s="16"/>
      <c r="V258" s="16">
        <v>0</v>
      </c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R259" s="16">
        <v>0</v>
      </c>
      <c r="U259" s="16"/>
      <c r="V259" s="16">
        <v>0</v>
      </c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R260" s="16">
        <v>0</v>
      </c>
      <c r="U260" s="16"/>
      <c r="V260" s="16">
        <v>0</v>
      </c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R261" s="16">
        <v>0</v>
      </c>
      <c r="U261" s="16"/>
      <c r="V261" s="16">
        <v>0</v>
      </c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R262" s="16">
        <v>0</v>
      </c>
      <c r="U262" s="16"/>
      <c r="V262" s="16">
        <v>0</v>
      </c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R263" s="16">
        <v>0</v>
      </c>
      <c r="U263" s="16"/>
      <c r="V263" s="16">
        <v>0</v>
      </c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R264" s="16">
        <v>0</v>
      </c>
      <c r="U264" s="16"/>
      <c r="V264" s="16">
        <v>0</v>
      </c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R265" s="16">
        <v>0</v>
      </c>
      <c r="U265" s="16"/>
      <c r="V265" s="16">
        <v>0</v>
      </c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R266" s="16">
        <v>0</v>
      </c>
      <c r="U266" s="16"/>
      <c r="V266" s="16">
        <v>0</v>
      </c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R267" s="16">
        <v>0</v>
      </c>
      <c r="U267" s="16"/>
      <c r="V267" s="16">
        <v>0</v>
      </c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R268" s="16">
        <v>0</v>
      </c>
      <c r="U268" s="16"/>
      <c r="V268" s="16">
        <v>0</v>
      </c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R269" s="16">
        <v>0</v>
      </c>
      <c r="U269" s="16"/>
      <c r="V269" s="16">
        <v>0</v>
      </c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R270" s="16">
        <v>0</v>
      </c>
      <c r="U270" s="16"/>
      <c r="V270" s="16">
        <v>0</v>
      </c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R271" s="16">
        <v>0</v>
      </c>
      <c r="U271" s="16"/>
      <c r="V271" s="16">
        <v>0</v>
      </c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R272" s="16">
        <v>0</v>
      </c>
      <c r="U272" s="16"/>
      <c r="V272" s="16">
        <v>0</v>
      </c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R273" s="16">
        <v>0</v>
      </c>
      <c r="U273" s="16"/>
      <c r="V273" s="16">
        <v>0</v>
      </c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R274" s="16">
        <v>0</v>
      </c>
      <c r="U274" s="16"/>
      <c r="V274" s="16">
        <v>0</v>
      </c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R275" s="16">
        <v>0</v>
      </c>
      <c r="U275" s="16"/>
      <c r="V275" s="16">
        <v>0</v>
      </c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R276" s="16">
        <v>0</v>
      </c>
      <c r="U276" s="16"/>
      <c r="V276" s="16">
        <v>0</v>
      </c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R277" s="16">
        <v>0</v>
      </c>
      <c r="U277" s="16"/>
      <c r="V277" s="16">
        <v>0</v>
      </c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R278" s="16">
        <v>0</v>
      </c>
      <c r="U278" s="16"/>
      <c r="V278" s="16">
        <v>0</v>
      </c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R279" s="16">
        <v>0</v>
      </c>
      <c r="U279" s="16"/>
      <c r="V279" s="16">
        <v>0</v>
      </c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R280" s="16">
        <v>0</v>
      </c>
      <c r="U280" s="16"/>
      <c r="V280" s="16">
        <v>0</v>
      </c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R281" s="16">
        <v>0</v>
      </c>
      <c r="U281" s="16"/>
      <c r="V281" s="16">
        <v>0</v>
      </c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R282" s="16">
        <v>0</v>
      </c>
      <c r="U282" s="16"/>
      <c r="V282" s="16">
        <v>0</v>
      </c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R283" s="16">
        <v>0</v>
      </c>
      <c r="U283" s="16"/>
      <c r="V283" s="16">
        <v>0</v>
      </c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R284" s="16">
        <v>0</v>
      </c>
      <c r="U284" s="16"/>
      <c r="V284" s="16">
        <v>0</v>
      </c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R285" s="16">
        <v>0</v>
      </c>
      <c r="U285" s="16"/>
      <c r="V285" s="16">
        <v>0</v>
      </c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R286" s="16">
        <v>0</v>
      </c>
      <c r="U286" s="16"/>
      <c r="V286" s="16">
        <v>0</v>
      </c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R287" s="16">
        <v>0</v>
      </c>
      <c r="U287" s="16"/>
      <c r="V287" s="16">
        <v>0</v>
      </c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R288" s="16">
        <v>0</v>
      </c>
      <c r="U288" s="16"/>
      <c r="V288" s="16">
        <v>0</v>
      </c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R289" s="16">
        <v>0</v>
      </c>
      <c r="U289" s="16"/>
      <c r="V289" s="16">
        <v>0</v>
      </c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R290" s="16">
        <v>0</v>
      </c>
      <c r="U290" s="16"/>
      <c r="V290" s="16">
        <v>0</v>
      </c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R291" s="16">
        <v>0</v>
      </c>
      <c r="U291" s="16"/>
      <c r="V291" s="16">
        <v>0</v>
      </c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R292" s="16">
        <v>0</v>
      </c>
      <c r="U292" s="16"/>
      <c r="V292" s="16">
        <v>0</v>
      </c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R293" s="16">
        <v>0</v>
      </c>
      <c r="U293" s="16"/>
      <c r="V293" s="16">
        <v>0</v>
      </c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R294" s="16">
        <v>0</v>
      </c>
      <c r="U294" s="16"/>
      <c r="V294" s="16">
        <v>0</v>
      </c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R295" s="16">
        <v>0</v>
      </c>
      <c r="U295" s="16"/>
      <c r="V295" s="16">
        <v>0</v>
      </c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R296" s="16">
        <v>0</v>
      </c>
      <c r="U296" s="16"/>
      <c r="V296" s="16">
        <v>0</v>
      </c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R297" s="16">
        <v>0</v>
      </c>
      <c r="U297" s="16"/>
      <c r="V297" s="16">
        <v>0</v>
      </c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R298" s="16">
        <v>0</v>
      </c>
      <c r="U298" s="16"/>
      <c r="V298" s="16">
        <v>0</v>
      </c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R299" s="16">
        <v>0</v>
      </c>
      <c r="U299" s="16"/>
      <c r="V299" s="16">
        <v>0</v>
      </c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R300" s="16">
        <v>0</v>
      </c>
      <c r="U300" s="16"/>
      <c r="V300" s="16">
        <v>0</v>
      </c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R301" s="16">
        <v>0</v>
      </c>
      <c r="U301" s="16"/>
      <c r="V301" s="16">
        <v>0</v>
      </c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R302" s="16">
        <v>0</v>
      </c>
      <c r="U302" s="16"/>
      <c r="V302" s="16">
        <v>0</v>
      </c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R303" s="16">
        <v>0</v>
      </c>
      <c r="U303" s="16"/>
      <c r="V303" s="16">
        <v>0</v>
      </c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R304" s="16">
        <v>0</v>
      </c>
      <c r="U304" s="16"/>
      <c r="V304" s="16">
        <v>0</v>
      </c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R305" s="16">
        <v>0</v>
      </c>
      <c r="U305" s="16"/>
      <c r="V305" s="16">
        <v>0</v>
      </c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R306" s="16">
        <v>0</v>
      </c>
      <c r="U306" s="16"/>
      <c r="V306" s="16">
        <v>0</v>
      </c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R307" s="16">
        <v>0</v>
      </c>
      <c r="U307" s="16"/>
      <c r="V307" s="16">
        <v>0</v>
      </c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R308" s="16">
        <v>0</v>
      </c>
      <c r="U308" s="16"/>
      <c r="V308" s="16">
        <v>0</v>
      </c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R309" s="16">
        <v>0</v>
      </c>
      <c r="U309" s="16"/>
      <c r="V309" s="16">
        <v>0</v>
      </c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R310" s="16">
        <v>0</v>
      </c>
      <c r="U310" s="16"/>
      <c r="V310" s="16">
        <v>0</v>
      </c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R311" s="16">
        <v>0</v>
      </c>
      <c r="U311" s="16"/>
      <c r="V311" s="16">
        <v>0</v>
      </c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R312" s="16">
        <v>0</v>
      </c>
      <c r="U312" s="16"/>
      <c r="V312" s="16">
        <v>0</v>
      </c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R313" s="16">
        <v>0</v>
      </c>
      <c r="U313" s="16"/>
      <c r="V313" s="16">
        <v>0</v>
      </c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R314" s="16">
        <v>0</v>
      </c>
      <c r="U314" s="16"/>
      <c r="V314" s="16">
        <v>0</v>
      </c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R315" s="16">
        <v>0</v>
      </c>
      <c r="U315" s="16"/>
      <c r="V315" s="16">
        <v>0</v>
      </c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R316" s="16">
        <v>0</v>
      </c>
      <c r="U316" s="16"/>
      <c r="V316" s="16">
        <v>0</v>
      </c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R317" s="16">
        <v>0</v>
      </c>
      <c r="U317" s="16"/>
      <c r="V317" s="16">
        <v>0</v>
      </c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R318" s="16">
        <v>0</v>
      </c>
      <c r="U318" s="16"/>
      <c r="V318" s="16">
        <v>0</v>
      </c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R319" s="16">
        <v>0</v>
      </c>
      <c r="U319" s="16"/>
      <c r="V319" s="16">
        <v>0</v>
      </c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R320" s="16">
        <v>0</v>
      </c>
      <c r="U320" s="16"/>
      <c r="V320" s="16">
        <v>0</v>
      </c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R321" s="16">
        <v>0</v>
      </c>
      <c r="U321" s="16"/>
      <c r="V321" s="16">
        <v>0</v>
      </c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R322" s="16">
        <v>0</v>
      </c>
      <c r="U322" s="16"/>
      <c r="V322" s="16">
        <v>0</v>
      </c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R323" s="16">
        <v>0</v>
      </c>
      <c r="U323" s="16"/>
      <c r="V323" s="16">
        <v>0</v>
      </c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R324" s="16">
        <v>0</v>
      </c>
      <c r="U324" s="16"/>
      <c r="V324" s="16">
        <v>0</v>
      </c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R325" s="16">
        <v>0</v>
      </c>
      <c r="U325" s="16"/>
      <c r="V325" s="16">
        <v>0</v>
      </c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R326" s="16">
        <v>0</v>
      </c>
      <c r="U326" s="16"/>
      <c r="V326" s="16">
        <v>0</v>
      </c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R327" s="16">
        <v>0</v>
      </c>
      <c r="U327" s="16"/>
      <c r="V327" s="16">
        <v>0</v>
      </c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R328" s="16">
        <v>0</v>
      </c>
      <c r="U328" s="16"/>
      <c r="V328" s="16">
        <v>0</v>
      </c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R329" s="16">
        <v>0</v>
      </c>
      <c r="U329" s="16"/>
      <c r="V329" s="16">
        <v>0</v>
      </c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R330" s="16">
        <v>0</v>
      </c>
      <c r="U330" s="16"/>
      <c r="V330" s="16">
        <v>0</v>
      </c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R331" s="16">
        <v>0</v>
      </c>
      <c r="U331" s="16"/>
      <c r="V331" s="16">
        <v>0</v>
      </c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R332" s="16">
        <v>0</v>
      </c>
      <c r="U332" s="16"/>
      <c r="V332" s="16">
        <v>0</v>
      </c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R333" s="16">
        <v>0</v>
      </c>
      <c r="U333" s="16"/>
      <c r="V333" s="16">
        <v>0</v>
      </c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R334" s="16">
        <v>0</v>
      </c>
      <c r="U334" s="16"/>
      <c r="V334" s="16">
        <v>0</v>
      </c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R335" s="16">
        <v>0</v>
      </c>
      <c r="U335" s="16"/>
      <c r="V335" s="16">
        <v>0</v>
      </c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R336" s="16">
        <v>0</v>
      </c>
      <c r="U336" s="16"/>
      <c r="V336" s="16">
        <v>0</v>
      </c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R337" s="16">
        <v>0</v>
      </c>
      <c r="U337" s="16"/>
      <c r="V337" s="16">
        <v>0</v>
      </c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R338" s="16">
        <v>0</v>
      </c>
      <c r="U338" s="16"/>
      <c r="V338" s="16">
        <v>0</v>
      </c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R339" s="16">
        <v>0</v>
      </c>
      <c r="U339" s="16"/>
      <c r="V339" s="16">
        <v>0</v>
      </c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R340" s="16">
        <v>0</v>
      </c>
      <c r="U340" s="16"/>
      <c r="V340" s="16">
        <v>0</v>
      </c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R341" s="16">
        <v>0</v>
      </c>
      <c r="U341" s="16"/>
      <c r="V341" s="16">
        <v>0</v>
      </c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R342" s="16">
        <v>0</v>
      </c>
      <c r="U342" s="16"/>
      <c r="V342" s="16">
        <v>0</v>
      </c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R343" s="16">
        <v>0</v>
      </c>
      <c r="U343" s="16"/>
      <c r="V343" s="16">
        <v>0</v>
      </c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R344" s="16">
        <v>0</v>
      </c>
      <c r="U344" s="16"/>
      <c r="V344" s="16">
        <v>0</v>
      </c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R345" s="16">
        <v>0</v>
      </c>
      <c r="U345" s="16"/>
      <c r="V345" s="16">
        <v>0</v>
      </c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R346" s="16">
        <v>0</v>
      </c>
      <c r="U346" s="16"/>
      <c r="V346" s="16">
        <v>0</v>
      </c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R347" s="16">
        <v>0</v>
      </c>
      <c r="U347" s="16"/>
      <c r="V347" s="16">
        <v>0</v>
      </c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R348" s="16">
        <v>0</v>
      </c>
      <c r="U348" s="16"/>
      <c r="V348" s="16">
        <v>0</v>
      </c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R349" s="16">
        <v>0</v>
      </c>
      <c r="U349" s="16"/>
      <c r="V349" s="16">
        <v>0</v>
      </c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R350" s="16">
        <v>0</v>
      </c>
      <c r="U350" s="16"/>
      <c r="V350" s="16">
        <v>0</v>
      </c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R351" s="16">
        <v>0</v>
      </c>
      <c r="U351" s="16"/>
      <c r="V351" s="16">
        <v>0</v>
      </c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R352" s="16">
        <v>0</v>
      </c>
      <c r="U352" s="16"/>
      <c r="V352" s="16">
        <v>0</v>
      </c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R353" s="16">
        <v>0</v>
      </c>
      <c r="U353" s="16"/>
      <c r="V353" s="16">
        <v>0</v>
      </c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R354" s="16">
        <v>0</v>
      </c>
      <c r="U354" s="16"/>
      <c r="V354" s="16">
        <v>0</v>
      </c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R355" s="16">
        <v>0</v>
      </c>
      <c r="U355" s="16"/>
      <c r="V355" s="16">
        <v>0</v>
      </c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R356" s="16">
        <v>0</v>
      </c>
      <c r="U356" s="16"/>
      <c r="V356" s="16">
        <v>0</v>
      </c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R357" s="16">
        <v>0</v>
      </c>
      <c r="U357" s="16"/>
      <c r="V357" s="16">
        <v>0</v>
      </c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R358" s="16">
        <v>0</v>
      </c>
      <c r="U358" s="16"/>
      <c r="V358" s="16">
        <v>0</v>
      </c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R359" s="16">
        <v>0</v>
      </c>
      <c r="U359" s="16"/>
      <c r="V359" s="16">
        <v>0</v>
      </c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R360" s="16">
        <v>0</v>
      </c>
      <c r="U360" s="16"/>
      <c r="V360" s="16">
        <v>0</v>
      </c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R361" s="16">
        <v>0</v>
      </c>
      <c r="U361" s="16"/>
      <c r="V361" s="16">
        <v>0</v>
      </c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R362" s="16">
        <v>0</v>
      </c>
      <c r="U362" s="16"/>
      <c r="V362" s="16">
        <v>0</v>
      </c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R363" s="16">
        <v>0</v>
      </c>
      <c r="U363" s="16"/>
      <c r="V363" s="16">
        <v>0</v>
      </c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R364" s="16">
        <v>0</v>
      </c>
      <c r="U364" s="16"/>
      <c r="V364" s="16">
        <v>0</v>
      </c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R365" s="16">
        <v>0</v>
      </c>
      <c r="U365" s="16"/>
      <c r="V365" s="16">
        <v>0</v>
      </c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R366" s="16">
        <v>0</v>
      </c>
      <c r="U366" s="16"/>
      <c r="V366" s="16">
        <v>0</v>
      </c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R367" s="16">
        <v>0</v>
      </c>
      <c r="U367" s="16"/>
      <c r="V367" s="16">
        <v>0</v>
      </c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R368" s="16">
        <v>0</v>
      </c>
      <c r="U368" s="16"/>
      <c r="V368" s="16">
        <v>0</v>
      </c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R369" s="16">
        <v>0</v>
      </c>
      <c r="U369" s="16"/>
      <c r="V369" s="16">
        <v>0</v>
      </c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R370" s="16">
        <v>0</v>
      </c>
      <c r="U370" s="16"/>
      <c r="V370" s="16">
        <v>0</v>
      </c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R371" s="16">
        <v>0</v>
      </c>
      <c r="U371" s="16"/>
      <c r="V371" s="16">
        <v>0</v>
      </c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R372" s="16">
        <v>0</v>
      </c>
      <c r="U372" s="16"/>
      <c r="V372" s="16">
        <v>0</v>
      </c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R373" s="16">
        <v>0</v>
      </c>
      <c r="U373" s="16"/>
      <c r="V373" s="16">
        <v>0</v>
      </c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R374" s="16">
        <v>0</v>
      </c>
      <c r="U374" s="16"/>
      <c r="V374" s="16">
        <v>0</v>
      </c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R375" s="16">
        <v>0</v>
      </c>
      <c r="U375" s="16"/>
      <c r="V375" s="16">
        <v>0</v>
      </c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R376" s="16">
        <v>0</v>
      </c>
      <c r="U376" s="16"/>
      <c r="V376" s="16">
        <v>0</v>
      </c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R377" s="16">
        <v>0</v>
      </c>
      <c r="U377" s="16"/>
      <c r="V377" s="16">
        <v>0</v>
      </c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R378" s="16">
        <v>0</v>
      </c>
      <c r="U378" s="16"/>
      <c r="V378" s="16">
        <v>0</v>
      </c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R379" s="16">
        <v>0</v>
      </c>
      <c r="U379" s="16"/>
      <c r="V379" s="16">
        <v>0</v>
      </c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R380" s="16">
        <v>0</v>
      </c>
      <c r="U380" s="16"/>
      <c r="V380" s="16">
        <v>0</v>
      </c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R381" s="16">
        <v>0</v>
      </c>
      <c r="U381" s="16"/>
      <c r="V381" s="16">
        <v>0</v>
      </c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R382" s="16">
        <v>0</v>
      </c>
      <c r="U382" s="16"/>
      <c r="V382" s="16">
        <v>0</v>
      </c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R383" s="16">
        <v>0</v>
      </c>
      <c r="U383" s="16"/>
      <c r="V383" s="16">
        <v>0</v>
      </c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R384" s="16">
        <v>0</v>
      </c>
      <c r="U384" s="16"/>
      <c r="V384" s="16">
        <v>0</v>
      </c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R385" s="16">
        <v>0</v>
      </c>
      <c r="U385" s="16"/>
      <c r="V385" s="16">
        <v>0</v>
      </c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R386" s="16">
        <v>0</v>
      </c>
      <c r="U386" s="16"/>
      <c r="V386" s="16">
        <v>0</v>
      </c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R387" s="16">
        <v>0</v>
      </c>
      <c r="U387" s="16"/>
      <c r="V387" s="16">
        <v>0</v>
      </c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R388" s="16">
        <v>0</v>
      </c>
      <c r="U388" s="16"/>
      <c r="V388" s="16">
        <v>0</v>
      </c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R389" s="16">
        <v>0</v>
      </c>
      <c r="U389" s="16"/>
      <c r="V389" s="16">
        <v>0</v>
      </c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R390" s="16">
        <v>0</v>
      </c>
      <c r="U390" s="16"/>
      <c r="V390" s="16">
        <v>0</v>
      </c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R391" s="16">
        <v>0</v>
      </c>
      <c r="U391" s="16"/>
      <c r="V391" s="16">
        <v>0</v>
      </c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R392" s="16">
        <v>0</v>
      </c>
      <c r="U392" s="16"/>
      <c r="V392" s="16">
        <v>0</v>
      </c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R393" s="16">
        <v>0</v>
      </c>
      <c r="U393" s="16"/>
      <c r="V393" s="16">
        <v>0</v>
      </c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R394" s="16">
        <v>0</v>
      </c>
      <c r="U394" s="16"/>
      <c r="V394" s="16">
        <v>0</v>
      </c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R395" s="16">
        <v>0</v>
      </c>
      <c r="U395" s="16"/>
      <c r="V395" s="16">
        <v>0</v>
      </c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R396" s="16">
        <v>0</v>
      </c>
      <c r="U396" s="16"/>
      <c r="V396" s="16">
        <v>0</v>
      </c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R397" s="16">
        <v>0</v>
      </c>
      <c r="U397" s="16"/>
      <c r="V397" s="16">
        <v>0</v>
      </c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R398" s="16">
        <v>0</v>
      </c>
      <c r="U398" s="16"/>
      <c r="V398" s="16">
        <v>0</v>
      </c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R399" s="16">
        <v>0</v>
      </c>
      <c r="U399" s="16"/>
      <c r="V399" s="16">
        <v>0</v>
      </c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R400" s="16">
        <v>0</v>
      </c>
      <c r="U400" s="16"/>
      <c r="V400" s="16">
        <v>0</v>
      </c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R401" s="16">
        <v>0</v>
      </c>
      <c r="U401" s="16"/>
      <c r="V401" s="16">
        <v>0</v>
      </c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R402" s="16">
        <v>0</v>
      </c>
      <c r="U402" s="16"/>
      <c r="V402" s="16">
        <v>0</v>
      </c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R403" s="16">
        <v>0</v>
      </c>
      <c r="U403" s="16"/>
      <c r="V403" s="16">
        <v>0</v>
      </c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R404" s="16">
        <v>0</v>
      </c>
      <c r="U404" s="16"/>
      <c r="V404" s="16">
        <v>0</v>
      </c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R405" s="16">
        <v>0</v>
      </c>
      <c r="U405" s="16"/>
      <c r="V405" s="16">
        <v>0</v>
      </c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R406" s="16">
        <v>0</v>
      </c>
      <c r="U406" s="16"/>
      <c r="V406" s="16">
        <v>0</v>
      </c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R407" s="16">
        <v>0</v>
      </c>
      <c r="U407" s="16"/>
      <c r="V407" s="16">
        <v>0</v>
      </c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R408" s="16">
        <v>0</v>
      </c>
      <c r="U408" s="16"/>
      <c r="V408" s="16">
        <v>0</v>
      </c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R409" s="16">
        <v>0</v>
      </c>
      <c r="U409" s="16"/>
      <c r="V409" s="16">
        <v>0</v>
      </c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R410" s="16">
        <v>0</v>
      </c>
      <c r="U410" s="16"/>
      <c r="V410" s="16">
        <v>0</v>
      </c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R411" s="16">
        <v>0</v>
      </c>
      <c r="U411" s="16"/>
      <c r="V411" s="16">
        <v>0</v>
      </c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R412" s="16">
        <v>0</v>
      </c>
      <c r="U412" s="16"/>
      <c r="V412" s="16">
        <v>0</v>
      </c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R413" s="16">
        <v>0</v>
      </c>
      <c r="U413" s="16"/>
      <c r="V413" s="16">
        <v>0</v>
      </c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R414" s="16">
        <v>0</v>
      </c>
      <c r="U414" s="16"/>
      <c r="V414" s="16">
        <v>0</v>
      </c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R415" s="16">
        <v>0</v>
      </c>
      <c r="U415" s="16"/>
      <c r="V415" s="16">
        <v>0</v>
      </c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R416" s="16">
        <v>0</v>
      </c>
      <c r="U416" s="16"/>
      <c r="V416" s="16">
        <v>0</v>
      </c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R417" s="16">
        <v>0</v>
      </c>
      <c r="U417" s="16"/>
      <c r="V417" s="16">
        <v>0</v>
      </c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R418" s="16">
        <v>0</v>
      </c>
      <c r="U418" s="16"/>
      <c r="V418" s="16">
        <v>0</v>
      </c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R419" s="16">
        <v>0</v>
      </c>
      <c r="U419" s="16"/>
      <c r="V419" s="16">
        <v>0</v>
      </c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R420" s="16">
        <v>0</v>
      </c>
      <c r="U420" s="16"/>
      <c r="V420" s="16">
        <v>0</v>
      </c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R421" s="16">
        <v>0</v>
      </c>
      <c r="U421" s="16"/>
      <c r="V421" s="16">
        <v>0</v>
      </c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R422" s="16">
        <v>0</v>
      </c>
      <c r="U422" s="16"/>
      <c r="V422" s="16">
        <v>0</v>
      </c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R423" s="16">
        <v>0</v>
      </c>
      <c r="U423" s="16"/>
      <c r="V423" s="16">
        <v>0</v>
      </c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R424" s="16">
        <v>0</v>
      </c>
      <c r="U424" s="16"/>
      <c r="V424" s="16">
        <v>0</v>
      </c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R425" s="16">
        <v>0</v>
      </c>
      <c r="U425" s="16"/>
      <c r="V425" s="16">
        <v>0</v>
      </c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R426" s="16">
        <v>0</v>
      </c>
      <c r="U426" s="16"/>
      <c r="V426" s="16">
        <v>0</v>
      </c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R427" s="16">
        <v>0</v>
      </c>
      <c r="U427" s="16"/>
      <c r="V427" s="16">
        <v>0</v>
      </c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R428" s="16">
        <v>0</v>
      </c>
      <c r="U428" s="16"/>
      <c r="V428" s="16">
        <v>0</v>
      </c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R429" s="16">
        <v>0</v>
      </c>
      <c r="U429" s="16"/>
      <c r="V429" s="16">
        <v>0</v>
      </c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R430" s="16">
        <v>0</v>
      </c>
      <c r="U430" s="16"/>
      <c r="V430" s="16">
        <v>0</v>
      </c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R431" s="16">
        <v>0</v>
      </c>
      <c r="U431" s="16"/>
      <c r="V431" s="16">
        <v>0</v>
      </c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R432" s="16">
        <v>0</v>
      </c>
      <c r="U432" s="16"/>
      <c r="V432" s="16">
        <v>0</v>
      </c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R433" s="16">
        <v>0</v>
      </c>
      <c r="U433" s="16"/>
      <c r="V433" s="16">
        <v>0</v>
      </c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R434" s="16">
        <v>0</v>
      </c>
      <c r="U434" s="16"/>
      <c r="V434" s="16">
        <v>0</v>
      </c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R435" s="16">
        <v>0</v>
      </c>
      <c r="U435" s="16"/>
      <c r="V435" s="16">
        <v>0</v>
      </c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R436" s="16">
        <v>0</v>
      </c>
      <c r="U436" s="16"/>
      <c r="V436" s="16">
        <v>0</v>
      </c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R437" s="16">
        <v>0</v>
      </c>
      <c r="U437" s="16"/>
      <c r="V437" s="16">
        <v>0</v>
      </c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R438" s="16">
        <v>0</v>
      </c>
      <c r="U438" s="16"/>
      <c r="V438" s="16">
        <v>0</v>
      </c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R439" s="16">
        <v>0</v>
      </c>
      <c r="U439" s="16"/>
      <c r="V439" s="16">
        <v>0</v>
      </c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R440" s="16">
        <v>0</v>
      </c>
      <c r="U440" s="16"/>
      <c r="V440" s="16">
        <v>0</v>
      </c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R441" s="16">
        <v>0</v>
      </c>
      <c r="U441" s="16"/>
      <c r="V441" s="16">
        <v>0</v>
      </c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R442" s="16">
        <v>0</v>
      </c>
      <c r="U442" s="16"/>
      <c r="V442" s="16">
        <v>0</v>
      </c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R443" s="16">
        <v>0</v>
      </c>
      <c r="U443" s="16"/>
      <c r="V443" s="16">
        <v>0</v>
      </c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R444" s="16">
        <v>0</v>
      </c>
      <c r="U444" s="16"/>
      <c r="V444" s="16">
        <v>0</v>
      </c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R445" s="16">
        <v>0</v>
      </c>
      <c r="U445" s="16"/>
      <c r="V445" s="16">
        <v>0</v>
      </c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R446" s="16">
        <v>0</v>
      </c>
      <c r="U446" s="16"/>
      <c r="V446" s="16">
        <v>0</v>
      </c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R447" s="16">
        <v>0</v>
      </c>
      <c r="U447" s="16"/>
      <c r="V447" s="16">
        <v>0</v>
      </c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R448" s="16">
        <v>0</v>
      </c>
      <c r="U448" s="16"/>
      <c r="V448" s="16">
        <v>0</v>
      </c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R449" s="16">
        <v>0</v>
      </c>
      <c r="U449" s="16"/>
      <c r="V449" s="16">
        <v>0</v>
      </c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R450" s="16">
        <v>0</v>
      </c>
      <c r="U450" s="16"/>
      <c r="V450" s="16">
        <v>0</v>
      </c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R451" s="16">
        <v>0</v>
      </c>
      <c r="U451" s="16"/>
      <c r="V451" s="16">
        <v>0</v>
      </c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R452" s="16">
        <v>0</v>
      </c>
      <c r="U452" s="16"/>
      <c r="V452" s="16">
        <v>0</v>
      </c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R453" s="16">
        <v>0</v>
      </c>
      <c r="U453" s="16"/>
      <c r="V453" s="16">
        <v>0</v>
      </c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R454" s="16">
        <v>0</v>
      </c>
      <c r="U454" s="16"/>
      <c r="V454" s="16">
        <v>0</v>
      </c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R455" s="16">
        <v>0</v>
      </c>
      <c r="U455" s="16"/>
      <c r="V455" s="16">
        <v>0</v>
      </c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R456" s="16">
        <v>0</v>
      </c>
      <c r="U456" s="16"/>
      <c r="V456" s="16">
        <v>0</v>
      </c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R457" s="16">
        <v>0</v>
      </c>
      <c r="U457" s="16"/>
      <c r="V457" s="16">
        <v>0</v>
      </c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R458" s="16">
        <v>0</v>
      </c>
      <c r="U458" s="16"/>
      <c r="V458" s="16">
        <v>0</v>
      </c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R459" s="16">
        <v>0</v>
      </c>
      <c r="U459" s="16"/>
      <c r="V459" s="16">
        <v>0</v>
      </c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R460" s="16">
        <v>0</v>
      </c>
      <c r="U460" s="16"/>
      <c r="V460" s="16">
        <v>0</v>
      </c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R461" s="16">
        <v>0</v>
      </c>
      <c r="U461" s="16"/>
      <c r="V461" s="16">
        <v>0</v>
      </c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R462" s="16">
        <v>0</v>
      </c>
      <c r="U462" s="16"/>
      <c r="V462" s="16">
        <v>0</v>
      </c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R463" s="16">
        <v>0</v>
      </c>
      <c r="U463" s="16"/>
      <c r="V463" s="16">
        <v>0</v>
      </c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R464" s="16">
        <v>0</v>
      </c>
      <c r="U464" s="16"/>
      <c r="V464" s="16">
        <v>0</v>
      </c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R465" s="16">
        <v>0</v>
      </c>
      <c r="U465" s="16"/>
      <c r="V465" s="16">
        <v>0</v>
      </c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R466" s="16">
        <v>0</v>
      </c>
      <c r="U466" s="16"/>
      <c r="V466" s="16">
        <v>0</v>
      </c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R467" s="16">
        <v>0</v>
      </c>
      <c r="U467" s="16"/>
      <c r="V467" s="16">
        <v>0</v>
      </c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R468" s="16">
        <v>0</v>
      </c>
      <c r="U468" s="16"/>
      <c r="V468" s="16">
        <v>0</v>
      </c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R469" s="16">
        <v>0</v>
      </c>
      <c r="U469" s="16"/>
      <c r="V469" s="16">
        <v>0</v>
      </c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R470" s="16">
        <v>0</v>
      </c>
      <c r="U470" s="16"/>
      <c r="V470" s="16">
        <v>0</v>
      </c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R471" s="16">
        <v>0</v>
      </c>
      <c r="U471" s="16"/>
      <c r="V471" s="16">
        <v>0</v>
      </c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R472" s="16">
        <v>0</v>
      </c>
      <c r="U472" s="16"/>
      <c r="V472" s="16">
        <v>0</v>
      </c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R473" s="16">
        <v>0</v>
      </c>
      <c r="U473" s="16"/>
      <c r="V473" s="16">
        <v>0</v>
      </c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R474" s="16">
        <v>0</v>
      </c>
      <c r="U474" s="16"/>
      <c r="V474" s="16">
        <v>0</v>
      </c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R475" s="16">
        <v>0</v>
      </c>
      <c r="U475" s="16"/>
      <c r="V475" s="16">
        <v>0</v>
      </c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R476" s="16">
        <v>0</v>
      </c>
      <c r="U476" s="16"/>
      <c r="V476" s="16">
        <v>0</v>
      </c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R477" s="16">
        <v>0</v>
      </c>
      <c r="U477" s="16"/>
      <c r="V477" s="16">
        <v>0</v>
      </c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R478" s="16">
        <v>0</v>
      </c>
      <c r="U478" s="16"/>
      <c r="V478" s="16">
        <v>0</v>
      </c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R479" s="16">
        <v>0</v>
      </c>
      <c r="U479" s="16"/>
      <c r="V479" s="16">
        <v>0</v>
      </c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R480" s="16">
        <v>0</v>
      </c>
      <c r="U480" s="16"/>
      <c r="V480" s="16">
        <v>0</v>
      </c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R481" s="16">
        <v>0</v>
      </c>
      <c r="U481" s="16"/>
      <c r="V481" s="16">
        <v>0</v>
      </c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R482" s="16">
        <v>0</v>
      </c>
      <c r="U482" s="16"/>
      <c r="V482" s="16">
        <v>0</v>
      </c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R483" s="16">
        <v>0</v>
      </c>
      <c r="U483" s="16"/>
      <c r="V483" s="16">
        <v>0</v>
      </c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R484" s="16">
        <v>0</v>
      </c>
      <c r="U484" s="16"/>
      <c r="V484" s="16">
        <v>0</v>
      </c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R485" s="16">
        <v>0</v>
      </c>
      <c r="U485" s="16"/>
      <c r="V485" s="16">
        <v>0</v>
      </c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R486" s="16">
        <v>0</v>
      </c>
      <c r="U486" s="16"/>
      <c r="V486" s="16">
        <v>0</v>
      </c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R487" s="16">
        <v>0</v>
      </c>
      <c r="U487" s="16"/>
      <c r="V487" s="16">
        <v>0</v>
      </c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R488" s="16">
        <v>0</v>
      </c>
      <c r="U488" s="16"/>
      <c r="V488" s="16">
        <v>0</v>
      </c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R489" s="16">
        <v>0</v>
      </c>
      <c r="U489" s="16"/>
      <c r="V489" s="16">
        <v>0</v>
      </c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R490" s="16">
        <v>0</v>
      </c>
      <c r="U490" s="16"/>
      <c r="V490" s="16">
        <v>0</v>
      </c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R491" s="16">
        <v>0</v>
      </c>
      <c r="U491" s="16"/>
      <c r="V491" s="16">
        <v>0</v>
      </c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R492" s="16">
        <v>0</v>
      </c>
      <c r="U492" s="16"/>
      <c r="V492" s="16">
        <v>0</v>
      </c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R493" s="16">
        <v>0</v>
      </c>
      <c r="U493" s="16"/>
      <c r="V493" s="16">
        <v>0</v>
      </c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R494" s="16">
        <v>0</v>
      </c>
      <c r="U494" s="16"/>
      <c r="V494" s="16">
        <v>0</v>
      </c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R495" s="16">
        <v>0</v>
      </c>
      <c r="U495" s="16"/>
      <c r="V495" s="16">
        <v>0</v>
      </c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R496" s="16">
        <v>0</v>
      </c>
      <c r="U496" s="16"/>
      <c r="V496" s="16">
        <v>0</v>
      </c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R497" s="16">
        <v>0</v>
      </c>
      <c r="U497" s="16"/>
      <c r="V497" s="16">
        <v>0</v>
      </c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R498" s="16">
        <v>0</v>
      </c>
      <c r="U498" s="16"/>
      <c r="V498" s="16">
        <v>0</v>
      </c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R499" s="16">
        <v>0</v>
      </c>
      <c r="U499" s="16"/>
      <c r="V499" s="16">
        <v>0</v>
      </c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R500" s="16">
        <v>0</v>
      </c>
      <c r="U500" s="16"/>
      <c r="V500" s="16">
        <v>0</v>
      </c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R501" s="16">
        <v>0</v>
      </c>
      <c r="U501" s="16"/>
      <c r="V501" s="16">
        <v>0</v>
      </c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R502" s="16">
        <v>0</v>
      </c>
      <c r="U502" s="16"/>
      <c r="V502" s="16">
        <v>0</v>
      </c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R503" s="16">
        <v>0</v>
      </c>
      <c r="U503" s="16"/>
      <c r="V503" s="16">
        <v>0</v>
      </c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R504" s="16">
        <v>0</v>
      </c>
      <c r="U504" s="16"/>
      <c r="V504" s="16">
        <v>0</v>
      </c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R505" s="16">
        <v>0</v>
      </c>
      <c r="U505" s="16"/>
      <c r="V505" s="16">
        <v>0</v>
      </c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R506" s="16">
        <v>0</v>
      </c>
      <c r="U506" s="16"/>
      <c r="V506" s="16">
        <v>0</v>
      </c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R507" s="16">
        <v>0</v>
      </c>
      <c r="U507" s="16"/>
      <c r="V507" s="16">
        <v>0</v>
      </c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R508" s="16">
        <v>0</v>
      </c>
      <c r="U508" s="16"/>
      <c r="V508" s="16">
        <v>0</v>
      </c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R509" s="16">
        <v>0</v>
      </c>
      <c r="U509" s="16"/>
      <c r="V509" s="16">
        <v>0</v>
      </c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R510" s="16">
        <v>0</v>
      </c>
      <c r="U510" s="16"/>
      <c r="V510" s="16">
        <v>0</v>
      </c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R511" s="16">
        <v>0</v>
      </c>
      <c r="U511" s="16"/>
      <c r="V511" s="16">
        <v>0</v>
      </c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R512" s="16">
        <v>0</v>
      </c>
      <c r="U512" s="16"/>
      <c r="V512" s="16">
        <v>0</v>
      </c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2:82" x14ac:dyDescent="0.25">
      <c r="L513" s="17"/>
      <c r="P513" s="17"/>
      <c r="R513" s="16">
        <v>0</v>
      </c>
      <c r="U513" s="16"/>
      <c r="V513" s="16">
        <v>0</v>
      </c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2:82" x14ac:dyDescent="0.25">
      <c r="L514" s="17"/>
      <c r="P514" s="17"/>
      <c r="R514" s="16">
        <v>0</v>
      </c>
      <c r="U514" s="16"/>
      <c r="V514" s="16">
        <v>0</v>
      </c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2:82" x14ac:dyDescent="0.25">
      <c r="L515" s="17"/>
      <c r="P515" s="17"/>
      <c r="R515" s="16">
        <v>0</v>
      </c>
      <c r="U515" s="16"/>
      <c r="V515" s="16">
        <v>0</v>
      </c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2:82" x14ac:dyDescent="0.25">
      <c r="L516" s="17"/>
      <c r="P516" s="17"/>
      <c r="R516" s="16">
        <v>0</v>
      </c>
      <c r="U516" s="16"/>
      <c r="V516" s="16">
        <v>0</v>
      </c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2:82" x14ac:dyDescent="0.25">
      <c r="L517" s="17"/>
      <c r="P517" s="17"/>
      <c r="R517" s="16">
        <v>0</v>
      </c>
      <c r="U517" s="16"/>
      <c r="V517" s="16">
        <v>0</v>
      </c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2:82" x14ac:dyDescent="0.25">
      <c r="L518" s="17"/>
      <c r="P518" s="17"/>
      <c r="R518" s="16">
        <v>0</v>
      </c>
      <c r="U518" s="16"/>
      <c r="V518" s="16">
        <v>0</v>
      </c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  <row r="519" spans="12:82" x14ac:dyDescent="0.25">
      <c r="L519" s="17"/>
      <c r="P519" s="17"/>
      <c r="R519" s="16">
        <v>0</v>
      </c>
      <c r="U519" s="16"/>
      <c r="V519" s="16">
        <v>0</v>
      </c>
      <c r="Y519" s="16"/>
      <c r="Z519" s="16"/>
      <c r="AC519" s="16"/>
      <c r="AD519" s="16"/>
      <c r="AG519" s="16"/>
      <c r="AH519" s="16"/>
      <c r="AK519" s="16"/>
      <c r="AL519" s="16"/>
      <c r="AO519" s="16"/>
      <c r="AP519" s="16"/>
      <c r="AS519" s="16"/>
      <c r="AT519" s="16"/>
      <c r="AW519" s="16"/>
      <c r="AX519" s="16"/>
      <c r="BA519" s="16"/>
      <c r="BB519" s="16"/>
      <c r="BH519" s="19"/>
      <c r="CD519" s="19"/>
    </row>
    <row r="520" spans="12:82" x14ac:dyDescent="0.25">
      <c r="L520" s="17"/>
      <c r="P520" s="17"/>
      <c r="R520" s="16">
        <v>0</v>
      </c>
      <c r="U520" s="16"/>
      <c r="V520" s="16">
        <v>0</v>
      </c>
      <c r="Y520" s="16"/>
      <c r="Z520" s="16"/>
      <c r="AC520" s="16"/>
      <c r="AD520" s="16"/>
      <c r="AG520" s="16"/>
      <c r="AH520" s="16"/>
      <c r="AK520" s="16"/>
      <c r="AL520" s="16"/>
      <c r="AO520" s="16"/>
      <c r="AP520" s="16"/>
      <c r="AS520" s="16"/>
      <c r="AT520" s="16"/>
      <c r="AW520" s="16"/>
      <c r="AX520" s="16"/>
      <c r="BA520" s="16"/>
      <c r="BB520" s="16"/>
      <c r="BH520" s="19"/>
      <c r="CD520" s="19"/>
    </row>
    <row r="521" spans="12:82" x14ac:dyDescent="0.25">
      <c r="L521" s="17"/>
      <c r="P521" s="17"/>
      <c r="R521" s="16">
        <v>0</v>
      </c>
      <c r="U521" s="16"/>
      <c r="V521" s="16">
        <v>0</v>
      </c>
      <c r="Y521" s="16"/>
      <c r="Z521" s="16"/>
      <c r="AC521" s="16"/>
      <c r="AD521" s="16"/>
      <c r="AG521" s="16"/>
      <c r="AH521" s="16"/>
      <c r="AK521" s="16"/>
      <c r="AL521" s="16"/>
      <c r="AO521" s="16"/>
      <c r="AP521" s="16"/>
      <c r="AS521" s="16"/>
      <c r="AT521" s="16"/>
      <c r="AW521" s="16"/>
      <c r="AX521" s="16"/>
      <c r="BA521" s="16"/>
      <c r="BB521" s="16"/>
      <c r="BH521" s="19"/>
      <c r="CD521" s="19"/>
    </row>
    <row r="522" spans="12:82" x14ac:dyDescent="0.25">
      <c r="L522" s="17"/>
      <c r="P522" s="17"/>
      <c r="R522" s="16">
        <v>0</v>
      </c>
      <c r="U522" s="16"/>
      <c r="V522" s="16">
        <v>0</v>
      </c>
      <c r="Y522" s="16"/>
      <c r="Z522" s="16"/>
      <c r="AC522" s="16"/>
      <c r="AD522" s="16"/>
      <c r="AG522" s="16"/>
      <c r="AH522" s="16"/>
      <c r="AK522" s="16"/>
      <c r="AL522" s="16"/>
      <c r="AO522" s="16"/>
      <c r="AP522" s="16"/>
      <c r="AS522" s="16"/>
      <c r="AT522" s="16"/>
      <c r="AW522" s="16"/>
      <c r="AX522" s="16"/>
      <c r="BA522" s="16"/>
      <c r="BB522" s="16"/>
      <c r="BH522" s="19"/>
      <c r="CD522" s="19"/>
    </row>
    <row r="523" spans="12:82" x14ac:dyDescent="0.25">
      <c r="L523" s="17"/>
      <c r="P523" s="17"/>
      <c r="R523" s="16">
        <v>0</v>
      </c>
      <c r="U523" s="16"/>
      <c r="V523" s="16">
        <v>0</v>
      </c>
      <c r="Y523" s="16"/>
      <c r="Z523" s="16"/>
      <c r="AC523" s="16"/>
      <c r="AD523" s="16"/>
      <c r="AG523" s="16"/>
      <c r="AH523" s="16"/>
      <c r="AK523" s="16"/>
      <c r="AL523" s="16"/>
      <c r="AO523" s="16"/>
      <c r="AP523" s="16"/>
      <c r="AS523" s="16"/>
      <c r="AT523" s="16"/>
      <c r="AW523" s="16"/>
      <c r="AX523" s="16"/>
      <c r="BA523" s="16"/>
      <c r="BB523" s="16"/>
      <c r="BH523" s="19"/>
      <c r="CD523" s="19"/>
    </row>
    <row r="524" spans="12:82" x14ac:dyDescent="0.25">
      <c r="L524" s="17"/>
      <c r="P524" s="17"/>
      <c r="R524" s="16">
        <v>0</v>
      </c>
      <c r="U524" s="16"/>
      <c r="V524" s="16">
        <v>0</v>
      </c>
      <c r="Y524" s="16"/>
      <c r="Z524" s="16"/>
      <c r="AC524" s="16"/>
      <c r="AD524" s="16"/>
      <c r="AG524" s="16"/>
      <c r="AH524" s="16"/>
      <c r="AK524" s="16"/>
      <c r="AL524" s="16"/>
      <c r="AO524" s="16"/>
      <c r="AP524" s="16"/>
      <c r="AS524" s="16"/>
      <c r="AT524" s="16"/>
      <c r="AW524" s="16"/>
      <c r="AX524" s="16"/>
      <c r="BA524" s="16"/>
      <c r="BB524" s="16"/>
      <c r="BH524" s="19"/>
      <c r="CD524" s="19"/>
    </row>
    <row r="525" spans="12:82" x14ac:dyDescent="0.25">
      <c r="L525" s="17"/>
      <c r="P525" s="17"/>
      <c r="R525" s="16">
        <v>0</v>
      </c>
      <c r="U525" s="16"/>
      <c r="V525" s="16">
        <v>0</v>
      </c>
      <c r="Y525" s="16"/>
      <c r="Z525" s="16"/>
      <c r="AC525" s="16"/>
      <c r="AD525" s="16"/>
      <c r="AG525" s="16"/>
      <c r="AH525" s="16"/>
      <c r="AK525" s="16"/>
      <c r="AL525" s="16"/>
      <c r="AO525" s="16"/>
      <c r="AP525" s="16"/>
      <c r="AS525" s="16"/>
      <c r="AT525" s="16"/>
      <c r="AW525" s="16"/>
      <c r="AX525" s="16"/>
      <c r="BA525" s="16"/>
      <c r="BB525" s="16"/>
      <c r="BH525" s="19"/>
      <c r="CD525" s="19"/>
    </row>
    <row r="526" spans="12:82" x14ac:dyDescent="0.25">
      <c r="L526" s="17"/>
      <c r="P526" s="17"/>
      <c r="R526" s="16">
        <v>0</v>
      </c>
      <c r="U526" s="16"/>
      <c r="V526" s="16">
        <v>0</v>
      </c>
      <c r="Y526" s="16"/>
      <c r="Z526" s="16"/>
      <c r="AC526" s="16"/>
      <c r="AD526" s="16"/>
      <c r="AG526" s="16"/>
      <c r="AH526" s="16"/>
      <c r="AK526" s="16"/>
      <c r="AL526" s="16"/>
      <c r="AO526" s="16"/>
      <c r="AP526" s="16"/>
      <c r="AS526" s="16"/>
      <c r="AT526" s="16"/>
      <c r="AW526" s="16"/>
      <c r="AX526" s="16"/>
      <c r="BA526" s="16"/>
      <c r="BB526" s="16"/>
      <c r="BH526" s="19"/>
      <c r="CD526" s="19"/>
    </row>
    <row r="527" spans="12:82" x14ac:dyDescent="0.25">
      <c r="L527" s="17"/>
      <c r="P527" s="17"/>
      <c r="R527" s="16">
        <v>0</v>
      </c>
      <c r="U527" s="16"/>
      <c r="V527" s="16">
        <v>0</v>
      </c>
      <c r="Y527" s="16"/>
      <c r="Z527" s="16"/>
      <c r="AC527" s="16"/>
      <c r="AD527" s="16"/>
      <c r="AG527" s="16"/>
      <c r="AH527" s="16"/>
      <c r="AK527" s="16"/>
      <c r="AL527" s="16"/>
      <c r="AO527" s="16"/>
      <c r="AP527" s="16"/>
      <c r="AS527" s="16"/>
      <c r="AT527" s="16"/>
      <c r="AW527" s="16"/>
      <c r="AX527" s="16"/>
      <c r="BA527" s="16"/>
      <c r="BB527" s="16"/>
      <c r="BH527" s="19"/>
      <c r="CD527" s="19"/>
    </row>
    <row r="528" spans="12:82" x14ac:dyDescent="0.25">
      <c r="L528" s="17"/>
      <c r="P528" s="17"/>
      <c r="R528" s="16">
        <v>0</v>
      </c>
      <c r="U528" s="16"/>
      <c r="V528" s="16">
        <v>0</v>
      </c>
      <c r="Y528" s="16"/>
      <c r="Z528" s="16"/>
      <c r="AC528" s="16"/>
      <c r="AD528" s="16"/>
      <c r="AG528" s="16"/>
      <c r="AH528" s="16"/>
      <c r="AK528" s="16"/>
      <c r="AL528" s="16"/>
      <c r="AO528" s="16"/>
      <c r="AP528" s="16"/>
      <c r="AS528" s="16"/>
      <c r="AT528" s="16"/>
      <c r="AW528" s="16"/>
      <c r="AX528" s="16"/>
      <c r="BA528" s="16"/>
      <c r="BB528" s="16"/>
      <c r="BH528" s="19"/>
      <c r="CD528" s="19"/>
    </row>
    <row r="529" spans="12:82" x14ac:dyDescent="0.25">
      <c r="L529" s="17"/>
      <c r="P529" s="17"/>
      <c r="R529" s="16">
        <v>0</v>
      </c>
      <c r="U529" s="16"/>
      <c r="V529" s="16">
        <v>0</v>
      </c>
      <c r="Y529" s="16"/>
      <c r="Z529" s="16"/>
      <c r="AC529" s="16"/>
      <c r="AD529" s="16"/>
      <c r="AG529" s="16"/>
      <c r="AH529" s="16"/>
      <c r="AK529" s="16"/>
      <c r="AL529" s="16"/>
      <c r="AO529" s="16"/>
      <c r="AP529" s="16"/>
      <c r="AS529" s="16"/>
      <c r="AT529" s="16"/>
      <c r="AW529" s="16"/>
      <c r="AX529" s="16"/>
      <c r="BA529" s="16"/>
      <c r="BB529" s="16"/>
      <c r="BH529" s="19"/>
      <c r="CD529" s="19"/>
    </row>
    <row r="530" spans="12:82" x14ac:dyDescent="0.25">
      <c r="L530" s="17"/>
      <c r="P530" s="17"/>
      <c r="R530" s="16">
        <v>0</v>
      </c>
      <c r="U530" s="16"/>
      <c r="V530" s="16">
        <v>0</v>
      </c>
      <c r="Y530" s="16"/>
      <c r="Z530" s="16"/>
      <c r="AC530" s="16"/>
      <c r="AD530" s="16"/>
      <c r="AG530" s="16"/>
      <c r="AH530" s="16"/>
      <c r="AK530" s="16"/>
      <c r="AL530" s="16"/>
      <c r="AO530" s="16"/>
      <c r="AP530" s="16"/>
      <c r="AS530" s="16"/>
      <c r="AT530" s="16"/>
      <c r="AW530" s="16"/>
      <c r="AX530" s="16"/>
      <c r="BA530" s="16"/>
      <c r="BB530" s="16"/>
      <c r="BH530" s="19"/>
      <c r="CD530" s="19"/>
    </row>
    <row r="531" spans="12:82" x14ac:dyDescent="0.25">
      <c r="L531" s="17"/>
      <c r="P531" s="17"/>
      <c r="R531" s="16">
        <v>0</v>
      </c>
      <c r="U531" s="16"/>
      <c r="V531" s="16">
        <v>0</v>
      </c>
      <c r="Y531" s="16"/>
      <c r="Z531" s="16"/>
      <c r="AC531" s="16"/>
      <c r="AD531" s="16"/>
      <c r="AG531" s="16"/>
      <c r="AH531" s="16"/>
      <c r="AK531" s="16"/>
      <c r="AL531" s="16"/>
      <c r="AO531" s="16"/>
      <c r="AP531" s="16"/>
      <c r="AS531" s="16"/>
      <c r="AT531" s="16"/>
      <c r="AW531" s="16"/>
      <c r="AX531" s="16"/>
      <c r="BA531" s="16"/>
      <c r="BB531" s="16"/>
      <c r="BH531" s="19"/>
      <c r="CD531" s="19"/>
    </row>
    <row r="532" spans="12:82" x14ac:dyDescent="0.25">
      <c r="L532" s="17"/>
      <c r="P532" s="17"/>
      <c r="R532" s="16">
        <v>0</v>
      </c>
      <c r="U532" s="16"/>
      <c r="V532" s="16">
        <v>0</v>
      </c>
      <c r="Y532" s="16"/>
      <c r="Z532" s="16"/>
      <c r="AC532" s="16"/>
      <c r="AD532" s="16"/>
      <c r="AG532" s="16"/>
      <c r="AH532" s="16"/>
      <c r="AK532" s="16"/>
      <c r="AL532" s="16"/>
      <c r="AO532" s="16"/>
      <c r="AP532" s="16"/>
      <c r="AS532" s="16"/>
      <c r="AT532" s="16"/>
      <c r="AW532" s="16"/>
      <c r="AX532" s="16"/>
      <c r="BA532" s="16"/>
      <c r="BB532" s="16"/>
      <c r="BH532" s="19"/>
      <c r="CD532" s="19"/>
    </row>
    <row r="533" spans="12:82" x14ac:dyDescent="0.25">
      <c r="L533" s="17"/>
      <c r="P533" s="17"/>
      <c r="R533" s="16">
        <v>0</v>
      </c>
      <c r="U533" s="16"/>
      <c r="V533" s="16">
        <v>0</v>
      </c>
      <c r="Y533" s="16"/>
      <c r="Z533" s="16"/>
      <c r="AC533" s="16"/>
      <c r="AD533" s="16"/>
      <c r="AG533" s="16"/>
      <c r="AH533" s="16"/>
      <c r="AK533" s="16"/>
      <c r="AL533" s="16"/>
      <c r="AO533" s="16"/>
      <c r="AP533" s="16"/>
      <c r="AS533" s="16"/>
      <c r="AT533" s="16"/>
      <c r="AW533" s="16"/>
      <c r="AX533" s="16"/>
      <c r="BA533" s="16"/>
      <c r="BB533" s="16"/>
      <c r="BH533" s="19"/>
      <c r="CD533" s="19"/>
    </row>
    <row r="534" spans="12:82" x14ac:dyDescent="0.25">
      <c r="L534" s="17"/>
      <c r="P534" s="17"/>
      <c r="R534" s="16">
        <v>0</v>
      </c>
      <c r="U534" s="16"/>
      <c r="V534" s="16">
        <v>0</v>
      </c>
      <c r="Y534" s="16"/>
      <c r="Z534" s="16"/>
      <c r="AC534" s="16"/>
      <c r="AD534" s="16"/>
      <c r="AG534" s="16"/>
      <c r="AH534" s="16"/>
      <c r="AK534" s="16"/>
      <c r="AL534" s="16"/>
      <c r="AO534" s="16"/>
      <c r="AP534" s="16"/>
      <c r="AS534" s="16"/>
      <c r="AT534" s="16"/>
      <c r="AW534" s="16"/>
      <c r="AX534" s="16"/>
      <c r="BA534" s="16"/>
      <c r="BB534" s="16"/>
      <c r="BH534" s="19"/>
      <c r="CD534" s="19"/>
    </row>
    <row r="535" spans="12:82" x14ac:dyDescent="0.25">
      <c r="L535" s="17"/>
      <c r="P535" s="17"/>
      <c r="R535" s="16">
        <v>0</v>
      </c>
      <c r="U535" s="16"/>
      <c r="V535" s="16">
        <v>0</v>
      </c>
      <c r="Y535" s="16"/>
      <c r="Z535" s="16"/>
      <c r="AC535" s="16"/>
      <c r="AD535" s="16"/>
      <c r="AG535" s="16"/>
      <c r="AH535" s="16"/>
      <c r="AK535" s="16"/>
      <c r="AL535" s="16"/>
      <c r="AO535" s="16"/>
      <c r="AP535" s="16"/>
      <c r="AS535" s="16"/>
      <c r="AT535" s="16"/>
      <c r="AW535" s="16"/>
      <c r="AX535" s="16"/>
      <c r="BA535" s="16"/>
      <c r="BB535" s="16"/>
      <c r="BH535" s="19"/>
      <c r="CD535" s="19"/>
    </row>
    <row r="536" spans="12:82" x14ac:dyDescent="0.25">
      <c r="L536" s="17"/>
      <c r="P536" s="17"/>
      <c r="R536" s="16">
        <v>0</v>
      </c>
      <c r="U536" s="16"/>
      <c r="V536" s="16">
        <v>0</v>
      </c>
      <c r="Y536" s="16"/>
      <c r="Z536" s="16"/>
      <c r="AC536" s="16"/>
      <c r="AD536" s="16"/>
      <c r="AG536" s="16"/>
      <c r="AH536" s="16"/>
      <c r="AK536" s="16"/>
      <c r="AL536" s="16"/>
      <c r="AO536" s="16"/>
      <c r="AP536" s="16"/>
      <c r="AS536" s="16"/>
      <c r="AT536" s="16"/>
      <c r="AW536" s="16"/>
      <c r="AX536" s="16"/>
      <c r="BA536" s="16"/>
      <c r="BB536" s="16"/>
      <c r="BH536" s="19"/>
      <c r="CD536" s="19"/>
    </row>
    <row r="537" spans="12:82" x14ac:dyDescent="0.25">
      <c r="L537" s="17"/>
      <c r="P537" s="17"/>
      <c r="R537" s="16">
        <v>0</v>
      </c>
      <c r="U537" s="16"/>
      <c r="V537" s="16">
        <v>0</v>
      </c>
      <c r="Y537" s="16"/>
      <c r="Z537" s="16"/>
      <c r="AC537" s="16"/>
      <c r="AD537" s="16"/>
      <c r="AG537" s="16"/>
      <c r="AH537" s="16"/>
      <c r="AK537" s="16"/>
      <c r="AL537" s="16"/>
      <c r="AO537" s="16"/>
      <c r="AP537" s="16"/>
      <c r="AS537" s="16"/>
      <c r="AT537" s="16"/>
      <c r="AW537" s="16"/>
      <c r="AX537" s="16"/>
      <c r="BA537" s="16"/>
      <c r="BB537" s="16"/>
      <c r="BH537" s="19"/>
      <c r="CD537" s="19"/>
    </row>
    <row r="538" spans="12:82" x14ac:dyDescent="0.25">
      <c r="L538" s="17"/>
      <c r="P538" s="17"/>
      <c r="R538" s="16">
        <v>0</v>
      </c>
      <c r="U538" s="16"/>
      <c r="V538" s="16">
        <v>0</v>
      </c>
      <c r="Y538" s="16"/>
      <c r="Z538" s="16"/>
      <c r="AC538" s="16"/>
      <c r="AD538" s="16"/>
      <c r="AG538" s="16"/>
      <c r="AH538" s="16"/>
      <c r="AK538" s="16"/>
      <c r="AL538" s="16"/>
      <c r="AO538" s="16"/>
      <c r="AP538" s="16"/>
      <c r="AS538" s="16"/>
      <c r="AT538" s="16"/>
      <c r="AW538" s="16"/>
      <c r="AX538" s="16"/>
      <c r="BA538" s="16"/>
      <c r="BB538" s="16"/>
      <c r="BH538" s="19"/>
      <c r="CD538" s="19"/>
    </row>
    <row r="539" spans="12:82" x14ac:dyDescent="0.25">
      <c r="L539" s="17"/>
      <c r="P539" s="17"/>
      <c r="R539" s="16">
        <v>0</v>
      </c>
      <c r="U539" s="16"/>
      <c r="V539" s="16">
        <v>0</v>
      </c>
      <c r="Y539" s="16"/>
      <c r="Z539" s="16"/>
      <c r="AC539" s="16"/>
      <c r="AD539" s="16"/>
      <c r="AG539" s="16"/>
      <c r="AH539" s="16"/>
      <c r="AK539" s="16"/>
      <c r="AL539" s="16"/>
      <c r="AO539" s="16"/>
      <c r="AP539" s="16"/>
      <c r="AS539" s="16"/>
      <c r="AT539" s="16"/>
      <c r="AW539" s="16"/>
      <c r="AX539" s="16"/>
      <c r="BA539" s="16"/>
      <c r="BB539" s="16"/>
      <c r="BH539" s="19"/>
      <c r="CD539" s="19"/>
    </row>
    <row r="540" spans="12:82" x14ac:dyDescent="0.25">
      <c r="L540" s="17"/>
      <c r="P540" s="17"/>
      <c r="R540" s="16">
        <v>0</v>
      </c>
      <c r="U540" s="16"/>
      <c r="V540" s="16">
        <v>0</v>
      </c>
      <c r="Y540" s="16"/>
      <c r="Z540" s="16"/>
      <c r="AC540" s="16"/>
      <c r="AD540" s="16"/>
      <c r="AG540" s="16"/>
      <c r="AH540" s="16"/>
      <c r="AK540" s="16"/>
      <c r="AL540" s="16"/>
      <c r="AO540" s="16"/>
      <c r="AP540" s="16"/>
      <c r="AS540" s="16"/>
      <c r="AT540" s="16"/>
      <c r="AW540" s="16"/>
      <c r="AX540" s="16"/>
      <c r="BA540" s="16"/>
      <c r="BB540" s="16"/>
      <c r="BH540" s="19"/>
      <c r="CD540" s="19"/>
    </row>
    <row r="541" spans="12:82" x14ac:dyDescent="0.25">
      <c r="L541" s="17"/>
      <c r="P541" s="17"/>
      <c r="R541" s="16">
        <v>0</v>
      </c>
      <c r="U541" s="16"/>
      <c r="V541" s="16">
        <v>0</v>
      </c>
      <c r="Y541" s="16"/>
      <c r="Z541" s="16"/>
      <c r="AC541" s="16"/>
      <c r="AD541" s="16"/>
      <c r="AG541" s="16"/>
      <c r="AH541" s="16"/>
      <c r="AK541" s="16"/>
      <c r="AL541" s="16"/>
      <c r="AO541" s="16"/>
      <c r="AP541" s="16"/>
      <c r="AS541" s="16"/>
      <c r="AT541" s="16"/>
      <c r="AW541" s="16"/>
      <c r="AX541" s="16"/>
      <c r="BA541" s="16"/>
      <c r="BB541" s="16"/>
      <c r="BH541" s="19"/>
      <c r="CD541" s="19"/>
    </row>
    <row r="542" spans="12:82" x14ac:dyDescent="0.25">
      <c r="L542" s="17"/>
      <c r="P542" s="17"/>
      <c r="R542" s="16">
        <v>0</v>
      </c>
      <c r="U542" s="16"/>
      <c r="V542" s="16">
        <v>0</v>
      </c>
      <c r="Y542" s="16"/>
      <c r="Z542" s="16"/>
      <c r="AC542" s="16"/>
      <c r="AD542" s="16"/>
      <c r="AG542" s="16"/>
      <c r="AH542" s="16"/>
      <c r="AK542" s="16"/>
      <c r="AL542" s="16"/>
      <c r="AO542" s="16"/>
      <c r="AP542" s="16"/>
      <c r="AS542" s="16"/>
      <c r="AT542" s="16"/>
      <c r="AW542" s="16"/>
      <c r="AX542" s="16"/>
      <c r="BA542" s="16"/>
      <c r="BB542" s="16"/>
      <c r="BH542" s="19"/>
      <c r="CD542" s="19"/>
    </row>
    <row r="543" spans="12:82" x14ac:dyDescent="0.25">
      <c r="L543" s="17"/>
      <c r="P543" s="17"/>
      <c r="R543" s="16">
        <v>0</v>
      </c>
      <c r="U543" s="16"/>
      <c r="V543" s="16">
        <v>0</v>
      </c>
      <c r="Y543" s="16"/>
      <c r="Z543" s="16"/>
      <c r="AC543" s="16"/>
      <c r="AD543" s="16"/>
      <c r="AG543" s="16"/>
      <c r="AH543" s="16"/>
      <c r="AK543" s="16"/>
      <c r="AL543" s="16"/>
      <c r="AO543" s="16"/>
      <c r="AP543" s="16"/>
      <c r="AS543" s="16"/>
      <c r="AT543" s="16"/>
      <c r="AW543" s="16"/>
      <c r="AX543" s="16"/>
      <c r="BA543" s="16"/>
      <c r="BB543" s="16"/>
      <c r="BH543" s="19"/>
      <c r="CD543" s="19"/>
    </row>
    <row r="544" spans="12:82" x14ac:dyDescent="0.25">
      <c r="L544" s="17"/>
      <c r="P544" s="17"/>
      <c r="R544" s="16">
        <v>0</v>
      </c>
      <c r="U544" s="16"/>
      <c r="V544" s="16">
        <v>0</v>
      </c>
      <c r="Y544" s="16"/>
      <c r="Z544" s="16"/>
      <c r="AC544" s="16"/>
      <c r="AD544" s="16"/>
      <c r="AG544" s="16"/>
      <c r="AH544" s="16"/>
      <c r="AK544" s="16"/>
      <c r="AL544" s="16"/>
      <c r="AO544" s="16"/>
      <c r="AP544" s="16"/>
      <c r="AS544" s="16"/>
      <c r="AT544" s="16"/>
      <c r="AW544" s="16"/>
      <c r="AX544" s="16"/>
      <c r="BA544" s="16"/>
      <c r="BB544" s="16"/>
      <c r="BH544" s="19"/>
      <c r="CD544" s="19"/>
    </row>
    <row r="545" spans="12:82" x14ac:dyDescent="0.25">
      <c r="L545" s="17"/>
      <c r="P545" s="17"/>
      <c r="R545" s="16">
        <v>0</v>
      </c>
      <c r="U545" s="16"/>
      <c r="V545" s="16">
        <v>0</v>
      </c>
      <c r="Y545" s="16"/>
      <c r="Z545" s="16"/>
      <c r="AC545" s="16"/>
      <c r="AD545" s="16"/>
      <c r="AG545" s="16"/>
      <c r="AH545" s="16"/>
      <c r="AK545" s="16"/>
      <c r="AL545" s="16"/>
      <c r="AO545" s="16"/>
      <c r="AP545" s="16"/>
      <c r="AS545" s="16"/>
      <c r="AT545" s="16"/>
      <c r="AW545" s="16"/>
      <c r="AX545" s="16"/>
      <c r="BA545" s="16"/>
      <c r="BB545" s="16"/>
      <c r="BH545" s="19"/>
      <c r="CD545" s="19"/>
    </row>
    <row r="546" spans="12:82" x14ac:dyDescent="0.25">
      <c r="L546" s="17"/>
      <c r="P546" s="17"/>
      <c r="R546" s="16">
        <v>0</v>
      </c>
      <c r="U546" s="16"/>
      <c r="V546" s="16">
        <v>0</v>
      </c>
      <c r="Y546" s="16"/>
      <c r="Z546" s="16"/>
      <c r="AC546" s="16"/>
      <c r="AD546" s="16"/>
      <c r="AG546" s="16"/>
      <c r="AH546" s="16"/>
      <c r="AK546" s="16"/>
      <c r="AL546" s="16"/>
      <c r="AO546" s="16"/>
      <c r="AP546" s="16"/>
      <c r="AS546" s="16"/>
      <c r="AT546" s="16"/>
      <c r="AW546" s="16"/>
      <c r="AX546" s="16"/>
      <c r="BA546" s="16"/>
      <c r="BB546" s="16"/>
      <c r="BH546" s="19"/>
      <c r="CD546" s="19"/>
    </row>
    <row r="547" spans="12:82" x14ac:dyDescent="0.25">
      <c r="L547" s="17"/>
      <c r="P547" s="17"/>
      <c r="R547" s="16">
        <v>0</v>
      </c>
      <c r="U547" s="16"/>
      <c r="V547" s="16">
        <v>0</v>
      </c>
      <c r="Y547" s="16"/>
      <c r="Z547" s="16"/>
      <c r="AC547" s="16"/>
      <c r="AD547" s="16"/>
      <c r="AG547" s="16"/>
      <c r="AH547" s="16"/>
      <c r="AK547" s="16"/>
      <c r="AL547" s="16"/>
      <c r="AO547" s="16"/>
      <c r="AP547" s="16"/>
      <c r="AS547" s="16"/>
      <c r="AT547" s="16"/>
      <c r="AW547" s="16"/>
      <c r="AX547" s="16"/>
      <c r="BA547" s="16"/>
      <c r="BB547" s="16"/>
      <c r="BH547" s="19"/>
      <c r="CD547" s="19"/>
    </row>
    <row r="548" spans="12:82" x14ac:dyDescent="0.25">
      <c r="L548" s="17"/>
      <c r="P548" s="17"/>
      <c r="R548" s="16">
        <v>0</v>
      </c>
      <c r="U548" s="16"/>
      <c r="V548" s="16">
        <v>0</v>
      </c>
      <c r="Y548" s="16"/>
      <c r="Z548" s="16"/>
      <c r="AC548" s="16"/>
      <c r="AD548" s="16"/>
      <c r="AG548" s="16"/>
      <c r="AH548" s="16"/>
      <c r="AK548" s="16"/>
      <c r="AL548" s="16"/>
      <c r="AO548" s="16"/>
      <c r="AP548" s="16"/>
      <c r="AS548" s="16"/>
      <c r="AT548" s="16"/>
      <c r="AW548" s="16"/>
      <c r="AX548" s="16"/>
      <c r="BA548" s="16"/>
      <c r="BB548" s="16"/>
      <c r="BH548" s="19"/>
      <c r="CD548" s="19"/>
    </row>
    <row r="549" spans="12:82" x14ac:dyDescent="0.25">
      <c r="L549" s="17"/>
      <c r="P549" s="17"/>
      <c r="R549" s="16">
        <v>0</v>
      </c>
      <c r="U549" s="16"/>
      <c r="V549" s="16">
        <v>0</v>
      </c>
      <c r="Y549" s="16"/>
      <c r="Z549" s="16"/>
      <c r="AC549" s="16"/>
      <c r="AD549" s="16"/>
      <c r="AG549" s="16"/>
      <c r="AH549" s="16"/>
      <c r="AK549" s="16"/>
      <c r="AL549" s="16"/>
      <c r="AO549" s="16"/>
      <c r="AP549" s="16"/>
      <c r="AS549" s="16"/>
      <c r="AT549" s="16"/>
      <c r="AW549" s="16"/>
      <c r="AX549" s="16"/>
      <c r="BA549" s="16"/>
      <c r="BB549" s="16"/>
      <c r="BH549" s="19"/>
      <c r="CD549" s="19"/>
    </row>
    <row r="550" spans="12:82" x14ac:dyDescent="0.25">
      <c r="L550" s="17"/>
      <c r="P550" s="17"/>
      <c r="R550" s="16">
        <v>0</v>
      </c>
      <c r="U550" s="16"/>
      <c r="V550" s="16">
        <v>0</v>
      </c>
      <c r="Y550" s="16"/>
      <c r="Z550" s="16"/>
      <c r="AC550" s="16"/>
      <c r="AD550" s="16"/>
      <c r="AG550" s="16"/>
      <c r="AH550" s="16"/>
      <c r="AK550" s="16"/>
      <c r="AL550" s="16"/>
      <c r="AO550" s="16"/>
      <c r="AP550" s="16"/>
      <c r="AS550" s="16"/>
      <c r="AT550" s="16"/>
      <c r="AW550" s="16"/>
      <c r="AX550" s="16"/>
      <c r="BA550" s="16"/>
      <c r="BB550" s="16"/>
      <c r="BH550" s="19"/>
      <c r="CD550" s="19"/>
    </row>
    <row r="551" spans="12:82" x14ac:dyDescent="0.25">
      <c r="L551" s="17"/>
      <c r="P551" s="17"/>
      <c r="R551" s="16">
        <v>0</v>
      </c>
      <c r="U551" s="16"/>
      <c r="V551" s="16">
        <v>0</v>
      </c>
      <c r="Y551" s="16"/>
      <c r="Z551" s="16"/>
      <c r="AC551" s="16"/>
      <c r="AD551" s="16"/>
      <c r="AG551" s="16"/>
      <c r="AH551" s="16"/>
      <c r="AK551" s="16"/>
      <c r="AL551" s="16"/>
      <c r="AO551" s="16"/>
      <c r="AP551" s="16"/>
      <c r="AS551" s="16"/>
      <c r="AT551" s="16"/>
      <c r="AW551" s="16"/>
      <c r="AX551" s="16"/>
      <c r="BA551" s="16"/>
      <c r="BB551" s="16"/>
      <c r="BH551" s="19"/>
      <c r="CD551" s="19"/>
    </row>
    <row r="552" spans="12:82" x14ac:dyDescent="0.25">
      <c r="L552" s="17"/>
      <c r="P552" s="17"/>
      <c r="R552" s="16">
        <v>0</v>
      </c>
      <c r="U552" s="16"/>
      <c r="V552" s="16">
        <v>0</v>
      </c>
      <c r="Y552" s="16"/>
      <c r="Z552" s="16"/>
      <c r="AC552" s="16"/>
      <c r="AD552" s="16"/>
      <c r="AG552" s="16"/>
      <c r="AH552" s="16"/>
      <c r="AK552" s="16"/>
      <c r="AL552" s="16"/>
      <c r="AO552" s="16"/>
      <c r="AP552" s="16"/>
      <c r="AS552" s="16"/>
      <c r="AT552" s="16"/>
      <c r="AW552" s="16"/>
      <c r="AX552" s="16"/>
      <c r="BA552" s="16"/>
      <c r="BB552" s="16"/>
      <c r="BH552" s="19"/>
      <c r="CD552" s="19"/>
    </row>
    <row r="553" spans="12:82" x14ac:dyDescent="0.25">
      <c r="L553" s="17"/>
      <c r="P553" s="17"/>
      <c r="R553" s="16">
        <v>0</v>
      </c>
      <c r="U553" s="16"/>
      <c r="V553" s="16">
        <v>0</v>
      </c>
      <c r="Y553" s="16"/>
      <c r="Z553" s="16"/>
      <c r="AC553" s="16"/>
      <c r="AD553" s="16"/>
      <c r="AG553" s="16"/>
      <c r="AH553" s="16"/>
      <c r="AK553" s="16"/>
      <c r="AL553" s="16"/>
      <c r="AO553" s="16"/>
      <c r="AP553" s="16"/>
      <c r="AS553" s="16"/>
      <c r="AT553" s="16"/>
      <c r="AW553" s="16"/>
      <c r="AX553" s="16"/>
      <c r="BA553" s="16"/>
      <c r="BB553" s="16"/>
      <c r="BH553" s="19"/>
      <c r="CD553" s="19"/>
    </row>
    <row r="554" spans="12:82" x14ac:dyDescent="0.25">
      <c r="L554" s="17"/>
      <c r="P554" s="17"/>
      <c r="R554" s="16">
        <v>0</v>
      </c>
      <c r="U554" s="16"/>
      <c r="V554" s="16">
        <v>0</v>
      </c>
      <c r="Y554" s="16"/>
      <c r="Z554" s="16"/>
      <c r="AC554" s="16"/>
      <c r="AD554" s="16"/>
      <c r="AG554" s="16"/>
      <c r="AH554" s="16"/>
      <c r="AK554" s="16"/>
      <c r="AL554" s="16"/>
      <c r="AO554" s="16"/>
      <c r="AP554" s="16"/>
      <c r="AS554" s="16"/>
      <c r="AT554" s="16"/>
      <c r="AW554" s="16"/>
      <c r="AX554" s="16"/>
      <c r="BA554" s="16"/>
      <c r="BB554" s="16"/>
      <c r="BH554" s="19"/>
      <c r="CD554" s="19"/>
    </row>
    <row r="555" spans="12:82" x14ac:dyDescent="0.25">
      <c r="L555" s="17"/>
      <c r="P555" s="17"/>
      <c r="R555" s="16">
        <v>0</v>
      </c>
      <c r="U555" s="16"/>
      <c r="V555" s="16">
        <v>0</v>
      </c>
      <c r="Y555" s="16"/>
      <c r="Z555" s="16"/>
      <c r="AC555" s="16"/>
      <c r="AD555" s="16"/>
      <c r="AG555" s="16"/>
      <c r="AH555" s="16"/>
      <c r="AK555" s="16"/>
      <c r="AL555" s="16"/>
      <c r="AO555" s="16"/>
      <c r="AP555" s="16"/>
      <c r="AS555" s="16"/>
      <c r="AT555" s="16"/>
      <c r="AW555" s="16"/>
      <c r="AX555" s="16"/>
      <c r="BA555" s="16"/>
      <c r="BB555" s="16"/>
      <c r="BH555" s="19"/>
      <c r="CD555" s="19"/>
    </row>
    <row r="556" spans="12:82" x14ac:dyDescent="0.25">
      <c r="L556" s="17"/>
      <c r="P556" s="17"/>
      <c r="R556" s="16">
        <v>0</v>
      </c>
      <c r="U556" s="16"/>
      <c r="V556" s="16">
        <v>0</v>
      </c>
      <c r="Y556" s="16"/>
      <c r="Z556" s="16"/>
      <c r="AC556" s="16"/>
      <c r="AD556" s="16"/>
      <c r="AG556" s="16"/>
      <c r="AH556" s="16"/>
      <c r="AK556" s="16"/>
      <c r="AL556" s="16"/>
      <c r="AO556" s="16"/>
      <c r="AP556" s="16"/>
      <c r="AS556" s="16"/>
      <c r="AT556" s="16"/>
      <c r="AW556" s="16"/>
      <c r="AX556" s="16"/>
      <c r="BA556" s="16"/>
      <c r="BB556" s="16"/>
      <c r="BH556" s="19"/>
      <c r="CD556" s="19"/>
    </row>
    <row r="557" spans="12:82" x14ac:dyDescent="0.25">
      <c r="L557" s="17"/>
      <c r="P557" s="17"/>
      <c r="R557" s="16">
        <v>0</v>
      </c>
      <c r="U557" s="16"/>
      <c r="V557" s="16">
        <v>0</v>
      </c>
      <c r="Y557" s="16"/>
      <c r="Z557" s="16"/>
      <c r="AC557" s="16"/>
      <c r="AD557" s="16"/>
      <c r="AG557" s="16"/>
      <c r="AH557" s="16"/>
      <c r="AK557" s="16"/>
      <c r="AL557" s="16"/>
      <c r="AO557" s="16"/>
      <c r="AP557" s="16"/>
      <c r="AS557" s="16"/>
      <c r="AT557" s="16"/>
      <c r="AW557" s="16"/>
      <c r="AX557" s="16"/>
      <c r="BA557" s="16"/>
      <c r="BB557" s="16"/>
      <c r="BH557" s="19"/>
      <c r="CD557" s="19"/>
    </row>
    <row r="558" spans="12:82" x14ac:dyDescent="0.25">
      <c r="L558" s="17"/>
      <c r="P558" s="17"/>
      <c r="R558" s="16">
        <v>0</v>
      </c>
      <c r="U558" s="16"/>
      <c r="V558" s="16">
        <v>0</v>
      </c>
      <c r="Y558" s="16"/>
      <c r="Z558" s="16"/>
      <c r="AC558" s="16"/>
      <c r="AD558" s="16"/>
      <c r="AG558" s="16"/>
      <c r="AH558" s="16"/>
      <c r="AK558" s="16"/>
      <c r="AL558" s="16"/>
      <c r="AO558" s="16"/>
      <c r="AP558" s="16"/>
      <c r="AS558" s="16"/>
      <c r="AT558" s="16"/>
      <c r="AW558" s="16"/>
      <c r="AX558" s="16"/>
      <c r="BA558" s="16"/>
      <c r="BB558" s="16"/>
      <c r="BH558" s="19"/>
      <c r="CD558" s="19"/>
    </row>
    <row r="559" spans="12:82" x14ac:dyDescent="0.25">
      <c r="L559" s="17"/>
      <c r="P559" s="17"/>
      <c r="R559" s="16">
        <v>0</v>
      </c>
      <c r="U559" s="16"/>
      <c r="V559" s="16">
        <v>0</v>
      </c>
      <c r="Y559" s="16"/>
      <c r="Z559" s="16"/>
      <c r="AC559" s="16"/>
      <c r="AD559" s="16"/>
      <c r="AG559" s="16"/>
      <c r="AH559" s="16"/>
      <c r="AK559" s="16"/>
      <c r="AL559" s="16"/>
      <c r="AO559" s="16"/>
      <c r="AP559" s="16"/>
      <c r="AS559" s="16"/>
      <c r="AT559" s="16"/>
      <c r="AW559" s="16"/>
      <c r="AX559" s="16"/>
      <c r="BA559" s="16"/>
      <c r="BB559" s="16"/>
      <c r="BH559" s="19"/>
      <c r="CD559" s="19"/>
    </row>
    <row r="560" spans="12:82" x14ac:dyDescent="0.25">
      <c r="L560" s="17"/>
      <c r="P560" s="17"/>
      <c r="R560" s="16">
        <v>0</v>
      </c>
      <c r="U560" s="16"/>
      <c r="V560" s="16">
        <v>0</v>
      </c>
      <c r="Y560" s="16"/>
      <c r="Z560" s="16"/>
      <c r="AC560" s="16"/>
      <c r="AD560" s="16"/>
      <c r="AG560" s="16"/>
      <c r="AH560" s="16"/>
      <c r="AK560" s="16"/>
      <c r="AL560" s="16"/>
      <c r="AO560" s="16"/>
      <c r="AP560" s="16"/>
      <c r="AS560" s="16"/>
      <c r="AT560" s="16"/>
      <c r="AW560" s="16"/>
      <c r="AX560" s="16"/>
      <c r="BA560" s="16"/>
      <c r="BB560" s="16"/>
      <c r="BH560" s="19"/>
      <c r="CD560" s="19"/>
    </row>
    <row r="561" spans="1:82" x14ac:dyDescent="0.25">
      <c r="L561" s="17"/>
      <c r="P561" s="17"/>
      <c r="R561" s="16">
        <v>0</v>
      </c>
      <c r="U561" s="16"/>
      <c r="V561" s="16">
        <v>0</v>
      </c>
      <c r="Y561" s="16"/>
      <c r="Z561" s="16"/>
      <c r="AC561" s="16"/>
      <c r="AD561" s="16"/>
      <c r="AG561" s="16"/>
      <c r="AH561" s="16"/>
      <c r="AK561" s="16"/>
      <c r="AL561" s="16"/>
      <c r="AO561" s="16"/>
      <c r="AP561" s="16"/>
      <c r="AS561" s="16"/>
      <c r="AT561" s="16"/>
      <c r="AW561" s="16"/>
      <c r="AX561" s="16"/>
      <c r="BA561" s="16"/>
      <c r="BB561" s="16"/>
      <c r="BH561" s="19"/>
      <c r="CD561" s="19"/>
    </row>
    <row r="562" spans="1:82" x14ac:dyDescent="0.25">
      <c r="L562" s="17"/>
      <c r="P562" s="17"/>
      <c r="R562" s="16">
        <v>0</v>
      </c>
      <c r="U562" s="16"/>
      <c r="V562" s="16">
        <v>0</v>
      </c>
      <c r="Y562" s="16"/>
      <c r="Z562" s="16"/>
      <c r="AC562" s="16"/>
      <c r="AD562" s="16"/>
      <c r="AG562" s="16"/>
      <c r="AH562" s="16"/>
      <c r="AK562" s="16"/>
      <c r="AL562" s="16"/>
      <c r="AO562" s="16"/>
      <c r="AP562" s="16"/>
      <c r="AS562" s="16"/>
      <c r="AT562" s="16"/>
      <c r="AW562" s="16"/>
      <c r="AX562" s="16"/>
      <c r="BA562" s="16"/>
      <c r="BB562" s="16"/>
      <c r="BH562" s="19"/>
      <c r="CD562" s="19"/>
    </row>
    <row r="563" spans="1:82" x14ac:dyDescent="0.25">
      <c r="L563" s="17"/>
      <c r="P563" s="17"/>
      <c r="R563" s="16">
        <v>0</v>
      </c>
      <c r="U563" s="16"/>
      <c r="V563" s="16">
        <v>0</v>
      </c>
      <c r="Y563" s="16"/>
      <c r="Z563" s="16"/>
      <c r="AC563" s="16"/>
      <c r="AD563" s="16"/>
      <c r="AG563" s="16"/>
      <c r="AH563" s="16"/>
      <c r="AK563" s="16"/>
      <c r="AL563" s="16"/>
      <c r="AO563" s="16"/>
      <c r="AP563" s="16"/>
      <c r="AS563" s="16"/>
      <c r="AT563" s="16"/>
      <c r="AW563" s="16"/>
      <c r="AX563" s="16"/>
      <c r="BA563" s="16"/>
      <c r="BB563" s="16"/>
      <c r="BH563" s="19"/>
      <c r="CD563" s="19"/>
    </row>
    <row r="564" spans="1:82" x14ac:dyDescent="0.25">
      <c r="L564" s="17"/>
      <c r="P564" s="17"/>
      <c r="R564" s="16">
        <v>0</v>
      </c>
      <c r="U564" s="16"/>
      <c r="V564" s="16">
        <v>0</v>
      </c>
      <c r="Y564" s="16"/>
      <c r="Z564" s="16"/>
      <c r="AC564" s="16"/>
      <c r="AD564" s="16"/>
      <c r="AG564" s="16"/>
      <c r="AH564" s="16"/>
      <c r="AK564" s="16"/>
      <c r="AL564" s="16"/>
      <c r="AO564" s="16"/>
      <c r="AP564" s="16"/>
      <c r="AS564" s="16"/>
      <c r="AT564" s="16"/>
      <c r="AW564" s="16"/>
      <c r="AX564" s="16"/>
      <c r="BA564" s="16"/>
      <c r="BB564" s="16"/>
      <c r="BH564" s="19"/>
      <c r="CD564" s="19"/>
    </row>
    <row r="565" spans="1:82" x14ac:dyDescent="0.25">
      <c r="A565" s="10"/>
      <c r="L565" s="17"/>
      <c r="P565" s="17"/>
      <c r="R565" s="16">
        <v>0</v>
      </c>
      <c r="U565" s="16"/>
      <c r="V565" s="16">
        <v>0</v>
      </c>
      <c r="Y565" s="16"/>
      <c r="Z565" s="16"/>
      <c r="AC565" s="16"/>
      <c r="AD565" s="16"/>
      <c r="AG565" s="16"/>
      <c r="AH565" s="16"/>
      <c r="AK565" s="16"/>
      <c r="AL565" s="16"/>
      <c r="AO565" s="16"/>
      <c r="AP565" s="16"/>
      <c r="AS565" s="16"/>
      <c r="AT565" s="16"/>
      <c r="AW565" s="16"/>
      <c r="AX565" s="16"/>
      <c r="BA565" s="16"/>
      <c r="BB565" s="16"/>
      <c r="BH565" s="19"/>
      <c r="CD565" s="19"/>
    </row>
  </sheetData>
  <autoFilter ref="A1:BE565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F50"/>
  <sheetViews>
    <sheetView workbookViewId="0"/>
  </sheetViews>
  <sheetFormatPr baseColWidth="10" defaultRowHeight="15" x14ac:dyDescent="0.25"/>
  <cols>
    <col min="1" max="1" width="12.140625" style="4" bestFit="1" customWidth="1"/>
    <col min="2" max="2" width="13.85546875" style="5" bestFit="1" customWidth="1"/>
    <col min="3" max="4" width="11.42578125" style="1"/>
    <col min="5" max="5" width="20.85546875" style="1" customWidth="1"/>
    <col min="6" max="16384" width="11.42578125" style="1"/>
  </cols>
  <sheetData>
    <row r="1" spans="1:2" x14ac:dyDescent="0.25">
      <c r="A1" s="4" t="str">
        <f>'ALL VARS'!A1</f>
        <v>Date</v>
      </c>
      <c r="B1" s="5" t="str">
        <f>'ALL VARS'!B1</f>
        <v>Close price</v>
      </c>
    </row>
    <row r="2" spans="1:2" x14ac:dyDescent="0.25">
      <c r="A2" s="4">
        <f>'ALL VARS'!A2</f>
        <v>43980</v>
      </c>
      <c r="B2" s="5">
        <f>'ALL VARS'!B2</f>
        <v>259.85000000000002</v>
      </c>
    </row>
    <row r="3" spans="1:2" x14ac:dyDescent="0.25">
      <c r="A3" s="4">
        <f>'ALL VARS'!A3</f>
        <v>43979</v>
      </c>
      <c r="B3" s="5">
        <f>'ALL VARS'!B3</f>
        <v>262.23</v>
      </c>
    </row>
    <row r="4" spans="1:2" x14ac:dyDescent="0.25">
      <c r="A4" s="4">
        <f>'ALL VARS'!A4</f>
        <v>43978</v>
      </c>
      <c r="B4" s="5">
        <f>'ALL VARS'!B4</f>
        <v>264.62</v>
      </c>
    </row>
    <row r="5" spans="1:2" x14ac:dyDescent="0.25">
      <c r="A5" s="4">
        <f>'ALL VARS'!A5</f>
        <v>43977</v>
      </c>
      <c r="B5" s="5">
        <f>'ALL VARS'!B5</f>
        <v>265.52999999999997</v>
      </c>
    </row>
    <row r="6" spans="1:2" x14ac:dyDescent="0.25">
      <c r="A6" s="4">
        <f>'ALL VARS'!A6</f>
        <v>43976</v>
      </c>
      <c r="B6" s="5">
        <f>'ALL VARS'!B6</f>
        <v>261</v>
      </c>
    </row>
    <row r="7" spans="1:2" x14ac:dyDescent="0.25">
      <c r="A7" s="4">
        <f>'ALL VARS'!A7</f>
        <v>43973</v>
      </c>
      <c r="B7" s="5">
        <f>'ALL VARS'!B7</f>
        <v>253.55</v>
      </c>
    </row>
    <row r="8" spans="1:2" x14ac:dyDescent="0.25">
      <c r="A8" s="4">
        <f>'ALL VARS'!A8</f>
        <v>43972</v>
      </c>
      <c r="B8" s="5">
        <f>'ALL VARS'!B8</f>
        <v>254.26</v>
      </c>
    </row>
    <row r="9" spans="1:2" x14ac:dyDescent="0.25">
      <c r="A9" s="4">
        <f>'ALL VARS'!A9</f>
        <v>43971</v>
      </c>
      <c r="B9" s="5">
        <f>'ALL VARS'!B9</f>
        <v>252.92</v>
      </c>
    </row>
    <row r="10" spans="1:2" x14ac:dyDescent="0.25">
      <c r="A10" s="4">
        <f>'ALL VARS'!A10</f>
        <v>43970</v>
      </c>
      <c r="B10" s="5">
        <f>'ALL VARS'!B10</f>
        <v>252.21</v>
      </c>
    </row>
    <row r="11" spans="1:2" x14ac:dyDescent="0.25">
      <c r="A11" s="4">
        <f>'ALL VARS'!A11</f>
        <v>43966</v>
      </c>
      <c r="B11" s="5">
        <f>'ALL VARS'!B11</f>
        <v>244.13</v>
      </c>
    </row>
    <row r="12" spans="1:2" x14ac:dyDescent="0.25">
      <c r="A12" s="4">
        <f>'ALL VARS'!A12</f>
        <v>43965</v>
      </c>
      <c r="B12" s="5">
        <f>'ALL VARS'!B12</f>
        <v>243.31</v>
      </c>
    </row>
    <row r="13" spans="1:2" x14ac:dyDescent="0.25">
      <c r="A13" s="4">
        <f>'ALL VARS'!A13</f>
        <v>43964</v>
      </c>
      <c r="B13" s="5">
        <f>'ALL VARS'!B13</f>
        <v>239.91</v>
      </c>
    </row>
    <row r="14" spans="1:2" x14ac:dyDescent="0.25">
      <c r="A14" s="4">
        <f>'ALL VARS'!A14</f>
        <v>43963</v>
      </c>
      <c r="B14" s="5">
        <f>'ALL VARS'!B14</f>
        <v>245.42</v>
      </c>
    </row>
    <row r="15" spans="1:2" x14ac:dyDescent="0.25">
      <c r="A15" s="4">
        <f>'ALL VARS'!A15</f>
        <v>43962</v>
      </c>
      <c r="B15" s="5">
        <f>'ALL VARS'!B15</f>
        <v>253.96</v>
      </c>
    </row>
    <row r="16" spans="1:2" x14ac:dyDescent="0.25">
      <c r="A16" s="4">
        <f>'ALL VARS'!A16</f>
        <v>43959</v>
      </c>
      <c r="B16" s="5">
        <f>'ALL VARS'!B16</f>
        <v>257.33</v>
      </c>
    </row>
    <row r="17" spans="1:6" x14ac:dyDescent="0.25">
      <c r="A17" s="4">
        <f>'ALL VARS'!A17</f>
        <v>43958</v>
      </c>
      <c r="B17" s="5">
        <f>'ALL VARS'!B17</f>
        <v>253.14</v>
      </c>
    </row>
    <row r="18" spans="1:6" x14ac:dyDescent="0.25">
      <c r="A18" s="4">
        <f>'ALL VARS'!A18</f>
        <v>43957</v>
      </c>
      <c r="B18" s="5">
        <f>'ALL VARS'!B18</f>
        <v>252.12</v>
      </c>
    </row>
    <row r="19" spans="1:6" x14ac:dyDescent="0.25">
      <c r="A19" s="4">
        <f>'ALL VARS'!A19</f>
        <v>43956</v>
      </c>
      <c r="B19" s="5">
        <f>'ALL VARS'!B19</f>
        <v>253.67</v>
      </c>
    </row>
    <row r="20" spans="1:6" x14ac:dyDescent="0.25">
      <c r="A20" s="4">
        <f>'ALL VARS'!A20</f>
        <v>43955</v>
      </c>
      <c r="B20" s="5">
        <f>'ALL VARS'!B20</f>
        <v>251.87</v>
      </c>
      <c r="D20" s="4" t="s">
        <v>104</v>
      </c>
      <c r="E20" s="5">
        <f>MAX(B2:B48)</f>
        <v>270.73</v>
      </c>
      <c r="F20" s="6"/>
    </row>
    <row r="21" spans="1:6" x14ac:dyDescent="0.25">
      <c r="A21" s="4">
        <f>'ALL VARS'!A21</f>
        <v>43952</v>
      </c>
      <c r="B21" s="5">
        <f>'ALL VARS'!B21</f>
        <v>255.94</v>
      </c>
      <c r="D21" s="4" t="s">
        <v>31</v>
      </c>
      <c r="E21" s="5">
        <f>QUARTILE(B2:B48, 3)</f>
        <v>261.58500000000004</v>
      </c>
    </row>
    <row r="22" spans="1:6" x14ac:dyDescent="0.25">
      <c r="A22" s="4">
        <f>'ALL VARS'!A22</f>
        <v>43951</v>
      </c>
      <c r="B22" s="5">
        <f>'ALL VARS'!B22</f>
        <v>263.38</v>
      </c>
      <c r="D22" s="4" t="s">
        <v>32</v>
      </c>
      <c r="E22" s="5">
        <f>MEDIAN(B2:B48)</f>
        <v>253.14</v>
      </c>
    </row>
    <row r="23" spans="1:6" x14ac:dyDescent="0.25">
      <c r="A23" s="4">
        <f>'ALL VARS'!A23</f>
        <v>43950</v>
      </c>
      <c r="B23" s="5">
        <f>'ALL VARS'!B23</f>
        <v>268.58</v>
      </c>
      <c r="D23" s="4" t="s">
        <v>33</v>
      </c>
      <c r="E23" s="5">
        <f>QUARTILE(B2:B48, 1)</f>
        <v>244.55</v>
      </c>
    </row>
    <row r="24" spans="1:6" x14ac:dyDescent="0.25">
      <c r="A24" s="4">
        <f>'ALL VARS'!A24</f>
        <v>43949</v>
      </c>
      <c r="B24" s="5">
        <f>'ALL VARS'!B24</f>
        <v>265.42</v>
      </c>
      <c r="D24" s="4" t="s">
        <v>105</v>
      </c>
      <c r="E24" s="5">
        <f>MIN(B2:B48)</f>
        <v>217.97</v>
      </c>
    </row>
    <row r="25" spans="1:6" x14ac:dyDescent="0.25">
      <c r="A25" s="4">
        <f>'ALL VARS'!A25</f>
        <v>43948</v>
      </c>
      <c r="B25" s="5">
        <f>'ALL VARS'!B25</f>
        <v>263.54000000000002</v>
      </c>
    </row>
    <row r="26" spans="1:6" x14ac:dyDescent="0.25">
      <c r="A26" s="4">
        <f>'ALL VARS'!A26</f>
        <v>43945</v>
      </c>
      <c r="B26" s="5">
        <f>'ALL VARS'!B26</f>
        <v>251.21</v>
      </c>
    </row>
    <row r="27" spans="1:6" x14ac:dyDescent="0.25">
      <c r="A27" s="4">
        <f>'ALL VARS'!A27</f>
        <v>43944</v>
      </c>
      <c r="B27" s="5">
        <f>'ALL VARS'!B27</f>
        <v>248.3</v>
      </c>
    </row>
    <row r="28" spans="1:6" x14ac:dyDescent="0.25">
      <c r="A28" s="4">
        <f>'ALL VARS'!A28</f>
        <v>43943</v>
      </c>
      <c r="B28" s="5">
        <f>'ALL VARS'!B28</f>
        <v>249.65</v>
      </c>
    </row>
    <row r="29" spans="1:6" x14ac:dyDescent="0.25">
      <c r="A29" s="4">
        <f>'ALL VARS'!A29</f>
        <v>43942</v>
      </c>
      <c r="B29" s="5">
        <f>'ALL VARS'!B29</f>
        <v>250.51</v>
      </c>
    </row>
    <row r="30" spans="1:6" x14ac:dyDescent="0.25">
      <c r="A30" s="4">
        <f>'ALL VARS'!A30</f>
        <v>43941</v>
      </c>
      <c r="B30" s="5">
        <f>'ALL VARS'!B30</f>
        <v>263.14</v>
      </c>
    </row>
    <row r="31" spans="1:6" x14ac:dyDescent="0.25">
      <c r="A31" s="4">
        <f>'ALL VARS'!A31</f>
        <v>43938</v>
      </c>
      <c r="B31" s="5">
        <f>'ALL VARS'!B31</f>
        <v>262.17</v>
      </c>
    </row>
    <row r="32" spans="1:6" x14ac:dyDescent="0.25">
      <c r="A32" s="4">
        <f>'ALL VARS'!A32</f>
        <v>43937</v>
      </c>
      <c r="B32" s="5">
        <f>'ALL VARS'!B32</f>
        <v>255.03</v>
      </c>
    </row>
    <row r="33" spans="1:2" x14ac:dyDescent="0.25">
      <c r="A33" s="4">
        <f>'ALL VARS'!A33</f>
        <v>43936</v>
      </c>
      <c r="B33" s="5">
        <f>'ALL VARS'!B33</f>
        <v>257.58999999999997</v>
      </c>
    </row>
    <row r="34" spans="1:2" x14ac:dyDescent="0.25">
      <c r="A34" s="4">
        <f>'ALL VARS'!A34</f>
        <v>43935</v>
      </c>
      <c r="B34" s="5">
        <f>'ALL VARS'!B34</f>
        <v>264.39999999999998</v>
      </c>
    </row>
    <row r="35" spans="1:2" x14ac:dyDescent="0.25">
      <c r="A35" s="4">
        <f>'ALL VARS'!A35</f>
        <v>43934</v>
      </c>
      <c r="B35" s="5">
        <f>'ALL VARS'!B35</f>
        <v>260.68</v>
      </c>
    </row>
    <row r="36" spans="1:2" x14ac:dyDescent="0.25">
      <c r="A36" s="4">
        <f>'ALL VARS'!A36</f>
        <v>43930</v>
      </c>
      <c r="B36" s="5">
        <f>'ALL VARS'!B36</f>
        <v>270.73</v>
      </c>
    </row>
    <row r="37" spans="1:2" x14ac:dyDescent="0.25">
      <c r="A37" s="4">
        <f>'ALL VARS'!A37</f>
        <v>43929</v>
      </c>
      <c r="B37" s="5">
        <f>'ALL VARS'!B37</f>
        <v>264.5</v>
      </c>
    </row>
    <row r="38" spans="1:2" x14ac:dyDescent="0.25">
      <c r="A38" s="4">
        <f>'ALL VARS'!A38</f>
        <v>43928</v>
      </c>
      <c r="B38" s="5">
        <f>'ALL VARS'!B38</f>
        <v>247.96</v>
      </c>
    </row>
    <row r="39" spans="1:2" x14ac:dyDescent="0.25">
      <c r="A39" s="4">
        <f>'ALL VARS'!A39</f>
        <v>43927</v>
      </c>
      <c r="B39" s="5">
        <f>'ALL VARS'!B39</f>
        <v>240.5</v>
      </c>
    </row>
    <row r="40" spans="1:2" x14ac:dyDescent="0.25">
      <c r="A40" s="4">
        <f>'ALL VARS'!A40</f>
        <v>43924</v>
      </c>
      <c r="B40" s="5">
        <f>'ALL VARS'!B40</f>
        <v>230.98</v>
      </c>
    </row>
    <row r="41" spans="1:2" x14ac:dyDescent="0.25">
      <c r="A41" s="4">
        <f>'ALL VARS'!A41</f>
        <v>43923</v>
      </c>
      <c r="B41" s="5">
        <f>'ALL VARS'!B41</f>
        <v>234.02</v>
      </c>
    </row>
    <row r="42" spans="1:2" x14ac:dyDescent="0.25">
      <c r="A42" s="4">
        <f>'ALL VARS'!A42</f>
        <v>43922</v>
      </c>
      <c r="B42" s="5">
        <f>'ALL VARS'!B42</f>
        <v>231.5</v>
      </c>
    </row>
    <row r="43" spans="1:2" x14ac:dyDescent="0.25">
      <c r="A43" s="4">
        <f>'ALL VARS'!A43</f>
        <v>43921</v>
      </c>
      <c r="B43" s="5">
        <f>'ALL VARS'!B43</f>
        <v>244.97</v>
      </c>
    </row>
    <row r="44" spans="1:2" x14ac:dyDescent="0.25">
      <c r="A44" s="4">
        <f>'ALL VARS'!A44</f>
        <v>43920</v>
      </c>
      <c r="B44" s="5">
        <f>'ALL VARS'!B44</f>
        <v>241.14</v>
      </c>
    </row>
    <row r="45" spans="1:2" x14ac:dyDescent="0.25">
      <c r="A45" s="4">
        <f>'ALL VARS'!A45</f>
        <v>43917</v>
      </c>
      <c r="B45" s="5">
        <f>'ALL VARS'!B45</f>
        <v>243.91</v>
      </c>
    </row>
    <row r="46" spans="1:2" x14ac:dyDescent="0.25">
      <c r="A46" s="4">
        <f>'ALL VARS'!A46</f>
        <v>43916</v>
      </c>
      <c r="B46" s="5">
        <f>'ALL VARS'!B46</f>
        <v>243.44</v>
      </c>
    </row>
    <row r="47" spans="1:2" x14ac:dyDescent="0.25">
      <c r="A47" s="4">
        <f>'ALL VARS'!A47</f>
        <v>43915</v>
      </c>
      <c r="B47" s="5">
        <f>'ALL VARS'!B47</f>
        <v>239.55</v>
      </c>
    </row>
    <row r="48" spans="1:2" x14ac:dyDescent="0.25">
      <c r="A48" s="4">
        <f>'ALL VARS'!A48</f>
        <v>43914</v>
      </c>
      <c r="B48" s="5">
        <f>'ALL VARS'!B48</f>
        <v>217.97</v>
      </c>
    </row>
    <row r="50" spans="2:2" x14ac:dyDescent="0.25">
      <c r="B50" s="6">
        <f>(B2-'[1]Close price'!$B$2)/'[1]Close price'!$B$2</f>
        <v>0.31104944500504561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48"/>
  <sheetViews>
    <sheetView tabSelected="1"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9" style="16" bestFit="1" customWidth="1"/>
    <col min="7" max="7" width="11" style="16" bestFit="1" customWidth="1"/>
    <col min="8" max="8" width="11" style="16" customWidth="1"/>
    <col min="9" max="9" width="39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1.140625" style="18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VARS'!P1</f>
        <v>Sent_t_+_1</v>
      </c>
      <c r="F1" s="16" t="str">
        <f>'ALL VARS'!R1</f>
        <v>Sent_t_+_1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VARS'!P2</f>
        <v>-6.7721571688512602E-2</v>
      </c>
      <c r="F2" s="16">
        <f>'ALL VARS'!R2</f>
        <v>-0.85012212926853625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VARS'!P3</f>
        <v>-0.24457772169262171</v>
      </c>
      <c r="F3" s="16">
        <f>'ALL VARS'!R3</f>
        <v>3.6986287764710584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VARS'!P4</f>
        <v>6.2640197575092316E-3</v>
      </c>
      <c r="F4" s="16">
        <f>'ALL VARS'!R4</f>
        <v>-9.1332595912055087E-2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VARS'!P5</f>
        <v>-0.23609326717754206</v>
      </c>
      <c r="F5" s="16">
        <f>'ALL VARS'!R5</f>
        <v>3.4527480903816254</v>
      </c>
      <c r="G5" s="16">
        <f>'ALL VARS'!J5</f>
        <v>30.590000099999997</v>
      </c>
      <c r="I5" s="18" t="s">
        <v>57</v>
      </c>
      <c r="J5" s="18">
        <v>0.46619639813755109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VARS'!P6</f>
        <v>0.13119693499590671</v>
      </c>
      <c r="F6" s="16">
        <f>'ALL VARS'!R6</f>
        <v>-1.9198715177566794</v>
      </c>
      <c r="G6" s="16">
        <f>'ALL VARS'!J6</f>
        <v>30.581000099999997</v>
      </c>
      <c r="I6" s="18" t="s">
        <v>58</v>
      </c>
      <c r="J6" s="18">
        <v>0.21733908163642607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VARS'!P7</f>
        <v>-0.66873623467981813</v>
      </c>
      <c r="F7" s="16">
        <f>'ALL VARS'!R7</f>
        <v>9.791976277437481</v>
      </c>
      <c r="G7" s="16">
        <f>'ALL VARS'!J7</f>
        <v>30.572000099999997</v>
      </c>
      <c r="I7" s="18" t="s">
        <v>58</v>
      </c>
      <c r="J7" s="18">
        <v>0.11899042274465713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VARS'!P8</f>
        <v>5.5399095018704735E-2</v>
      </c>
      <c r="F8" s="16">
        <f>'ALL VARS'!R8</f>
        <v>-0.80060051549228672</v>
      </c>
      <c r="G8" s="16">
        <f>'ALL VARS'!J8</f>
        <v>30.763000099999999</v>
      </c>
      <c r="I8" s="18" t="s">
        <v>59</v>
      </c>
      <c r="J8" s="18">
        <v>2.5884660882452754E-2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VARS'!P9</f>
        <v>9.735283938546975E-2</v>
      </c>
      <c r="F9" s="16">
        <f>'ALL VARS'!R9</f>
        <v>-1.3472181453777308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VARS'!P10</f>
        <v>0.49790565359095734</v>
      </c>
      <c r="F10" s="16">
        <f>'ALL VARS'!R10</f>
        <v>-6.7369169340514672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VARS'!P11</f>
        <v>0.48645331314764917</v>
      </c>
      <c r="F11" s="16">
        <f>'ALL VARS'!R11</f>
        <v>-5.9996762253230864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VARS'!P12</f>
        <v>-0.19248065624672633</v>
      </c>
      <c r="F12" s="16">
        <f>'ALL VARS'!R12</f>
        <v>2.34431983004019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VARS'!P13</f>
        <v>0.27620824612677097</v>
      </c>
      <c r="F13" s="16">
        <f>'ALL VARS'!R13</f>
        <v>-3.475945052649867</v>
      </c>
      <c r="G13" s="16">
        <f>'ALL VARS'!J13</f>
        <v>32.630000399999993</v>
      </c>
      <c r="I13" s="18" t="s">
        <v>62</v>
      </c>
      <c r="J13" s="18">
        <v>5</v>
      </c>
      <c r="K13" s="18">
        <v>7.8144502225151492E-3</v>
      </c>
      <c r="L13" s="18">
        <v>1.5628900445030299E-3</v>
      </c>
      <c r="M13" s="18">
        <v>2.3326171563071458</v>
      </c>
      <c r="N13" s="18">
        <v>5.9307560332653671E-2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VARS'!P14</f>
        <v>0.1164589305408299</v>
      </c>
      <c r="F14" s="16">
        <f>'ALL VARS'!R14</f>
        <v>-1.4594061028996139</v>
      </c>
      <c r="G14" s="16">
        <f>'ALL VARS'!J14</f>
        <v>32.683000299999996</v>
      </c>
      <c r="I14" s="18" t="s">
        <v>63</v>
      </c>
      <c r="J14" s="18">
        <v>42</v>
      </c>
      <c r="K14" s="18">
        <v>2.8140658097982354E-2</v>
      </c>
      <c r="L14" s="18">
        <v>6.7001566899957984E-4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VARS'!P15</f>
        <v>-0.15498585706915369</v>
      </c>
      <c r="F15" s="16">
        <f>'ALL VARS'!R15</f>
        <v>1.85355469267215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VARS'!P16</f>
        <v>9.5311682671308517E-2</v>
      </c>
      <c r="F16" s="16">
        <f>'ALL VARS'!R16</f>
        <v>-1.0641081022019998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VARS'!P17</f>
        <v>0.29172629743282286</v>
      </c>
      <c r="F17" s="16">
        <f>'ALL VARS'!R17</f>
        <v>-2.967004820981078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VARS'!P18</f>
        <v>-0.23442382345508253</v>
      </c>
      <c r="F18" s="16">
        <f>'ALL VARS'!R18</f>
        <v>2.1999523671068744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VARS'!P19</f>
        <v>-2.1146204477796953E-2</v>
      </c>
      <c r="F19" s="16">
        <f>'ALL VARS'!R19</f>
        <v>0.17349421679223179</v>
      </c>
      <c r="G19" s="16">
        <f>'ALL VARS'!J19</f>
        <v>37.010000400000003</v>
      </c>
      <c r="I19" s="18" t="s">
        <v>53</v>
      </c>
      <c r="J19" s="18">
        <v>0.31080588293132067</v>
      </c>
      <c r="K19" s="18">
        <v>0.12691559815194653</v>
      </c>
      <c r="L19" s="18">
        <v>2.4489179222810429</v>
      </c>
      <c r="M19" s="18">
        <v>1.85836646546934E-2</v>
      </c>
      <c r="N19" s="18">
        <v>5.4679836498618795E-2</v>
      </c>
      <c r="O19" s="18">
        <v>0.56693192936402248</v>
      </c>
      <c r="P19" s="18">
        <v>5.4679836498618795E-2</v>
      </c>
      <c r="Q19" s="18">
        <v>0.56693192936402248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VARS'!P20</f>
        <v>0.23377028697480759</v>
      </c>
      <c r="F20" s="16">
        <f>'ALL VARS'!R20</f>
        <v>-1.7342268642510297</v>
      </c>
      <c r="G20" s="16">
        <f>'ALL VARS'!J20</f>
        <v>37.796000499999998</v>
      </c>
      <c r="I20" s="18" t="s">
        <v>54</v>
      </c>
      <c r="J20" s="18">
        <v>-0.17616238785141669</v>
      </c>
      <c r="K20" s="18">
        <v>0.10379747266942282</v>
      </c>
      <c r="L20" s="18">
        <v>-1.6971741538685023</v>
      </c>
      <c r="M20" s="18">
        <v>9.706347891385321E-2</v>
      </c>
      <c r="N20" s="18">
        <v>-0.38563416824437663</v>
      </c>
      <c r="O20" s="18">
        <v>3.3309392541543248E-2</v>
      </c>
      <c r="P20" s="18">
        <v>-0.38563416824437663</v>
      </c>
      <c r="Q20" s="18">
        <v>3.3309392541543248E-2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VARS'!P21</f>
        <v>-0.15081174378948553</v>
      </c>
      <c r="F21" s="16">
        <f>'ALL VARS'!R21</f>
        <v>1.1043202326714598</v>
      </c>
      <c r="G21" s="16">
        <f>'ALL VARS'!J21</f>
        <v>37.892000799999991</v>
      </c>
      <c r="I21" s="18" t="s">
        <v>5</v>
      </c>
      <c r="J21" s="18">
        <v>6.8414145124914023E-3</v>
      </c>
      <c r="K21" s="18">
        <v>1.5159483601789134E-2</v>
      </c>
      <c r="L21" s="18">
        <v>0.4512960132549616</v>
      </c>
      <c r="M21" s="18">
        <v>0.65409791068330536</v>
      </c>
      <c r="N21" s="18">
        <v>-2.3751661968455524E-2</v>
      </c>
      <c r="O21" s="18">
        <v>3.7434490993438325E-2</v>
      </c>
      <c r="P21" s="18">
        <v>-2.3751661968455524E-2</v>
      </c>
      <c r="Q21" s="18">
        <v>3.7434490993438325E-2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VARS'!P22</f>
        <v>-0.15819044224917889</v>
      </c>
      <c r="F22" s="16">
        <f>'ALL VARS'!R22</f>
        <v>1.0640693249899846</v>
      </c>
      <c r="G22" s="16">
        <f>'ALL VARS'!J22</f>
        <v>38.488000700000001</v>
      </c>
      <c r="I22" s="18" t="s">
        <v>18</v>
      </c>
      <c r="J22" s="18">
        <v>7.2719460344519007E-5</v>
      </c>
      <c r="K22" s="18">
        <v>1.130786752068877E-3</v>
      </c>
      <c r="L22" s="18">
        <v>6.4308730369782061E-2</v>
      </c>
      <c r="M22" s="18">
        <v>0.94902951365708965</v>
      </c>
      <c r="N22" s="18">
        <v>-2.2093005937951801E-3</v>
      </c>
      <c r="O22" s="18">
        <v>2.3547395144842185E-3</v>
      </c>
      <c r="P22" s="18">
        <v>-2.2093005937951801E-3</v>
      </c>
      <c r="Q22" s="18">
        <v>2.3547395144842185E-3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VARS'!P23</f>
        <v>-0.11695043928921223</v>
      </c>
      <c r="F23" s="16">
        <f>'ALL VARS'!R23</f>
        <v>0.67427873005200556</v>
      </c>
      <c r="G23" s="16">
        <f>'ALL VARS'!J23</f>
        <v>39.449000699999999</v>
      </c>
      <c r="I23" s="22" t="s">
        <v>3</v>
      </c>
      <c r="J23" s="22">
        <v>9.0742403429642333E-5</v>
      </c>
      <c r="K23" s="22">
        <v>9.3994778074272148E-5</v>
      </c>
      <c r="L23" s="22">
        <v>0.96539834753309517</v>
      </c>
      <c r="M23" s="22">
        <v>0.33987146441894689</v>
      </c>
      <c r="N23" s="22">
        <v>-9.8946738362526757E-5</v>
      </c>
      <c r="O23" s="22">
        <v>2.8043154522181142E-4</v>
      </c>
      <c r="P23" s="22">
        <v>-9.8946738362526757E-5</v>
      </c>
      <c r="Q23" s="22">
        <v>2.8043154522181142E-4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VARS'!P24</f>
        <v>6.6089130705222487E-3</v>
      </c>
      <c r="F24" s="16">
        <f>'ALL VARS'!R24</f>
        <v>-3.5334610000064735E-2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VARS'!P25</f>
        <v>-0.16266929442062975</v>
      </c>
      <c r="F25" s="16">
        <f>'ALL VARS'!R25</f>
        <v>0.74152941238930459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VARS'!P26</f>
        <v>-0.43920171571274597</v>
      </c>
      <c r="F26" s="16">
        <f>'ALL VARS'!R26</f>
        <v>1.750003195237098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VARS'!P27</f>
        <v>-2.0552382688038051E-2</v>
      </c>
      <c r="F27" s="16">
        <f>'ALL VARS'!R27</f>
        <v>7.7842340856556808E-2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VARS'!P28</f>
        <v>-0.44359970150981098</v>
      </c>
      <c r="F28" s="16">
        <f>'ALL VARS'!R28</f>
        <v>1.4707588976989807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VARS'!P29</f>
        <v>7.0537303773952384E-2</v>
      </c>
      <c r="F29" s="16">
        <f>'ALL VARS'!R29</f>
        <v>-0.23506620065242564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VARS'!P30</f>
        <v>6.1557356500998139E-2</v>
      </c>
      <c r="F30" s="16">
        <f>'ALL VARS'!R30</f>
        <v>-0.18685792900615653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VARS'!P31</f>
        <v>0.33201583579648286</v>
      </c>
      <c r="F31" s="16">
        <f>'ALL VARS'!R31</f>
        <v>-0.58418502189421362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VARS'!P32</f>
        <v>-1.0891216807067394E-2</v>
      </c>
      <c r="F32" s="16">
        <f>'ALL VARS'!R32</f>
        <v>7.0258710347446312E-4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VARS'!P33</f>
        <v>-1.8410735170949589E-2</v>
      </c>
      <c r="F33" s="16">
        <f>'ALL VARS'!R33</f>
        <v>-2.2193967929273445E-2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VARS'!P34</f>
        <v>-0.32017184949169558</v>
      </c>
      <c r="F34" s="16">
        <f>'ALL VARS'!R34</f>
        <v>-1.0045362917399199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VARS'!P35</f>
        <v>0.10925812500395946</v>
      </c>
      <c r="F35" s="16">
        <f>'ALL VARS'!R35</f>
        <v>0.60905846575543998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VARS'!P36</f>
        <v>-0.32851240194092196</v>
      </c>
      <c r="F36" s="16">
        <f>'ALL VARS'!R36</f>
        <v>-2.4663040606053617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VARS'!P37</f>
        <v>8.9164984819944948E-2</v>
      </c>
      <c r="F37" s="16">
        <f>'ALL VARS'!R37</f>
        <v>0.85308525986051242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VARS'!P38</f>
        <v>-7.3048542439937594E-2</v>
      </c>
      <c r="F38" s="16">
        <f>'ALL VARS'!R38</f>
        <v>-0.80824497588883781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VARS'!P39</f>
        <v>-0.50390593466969824</v>
      </c>
      <c r="F39" s="16">
        <f>'ALL VARS'!R39</f>
        <v>-6.3993490262838506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VARS'!P40</f>
        <v>-2.5256967595355076E-2</v>
      </c>
      <c r="F40" s="16">
        <f>'ALL VARS'!R40</f>
        <v>-0.36934505059196737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VARS'!P41</f>
        <v>-0.62750590592622757</v>
      </c>
      <c r="F41" s="16">
        <f>'ALL VARS'!R41</f>
        <v>-10.499737228303321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VARS'!P42</f>
        <v>-0.28957627939858605</v>
      </c>
      <c r="F42" s="16">
        <f>'ALL VARS'!R42</f>
        <v>-5.4068209194975934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VARS'!P43</f>
        <v>7.8005850501358512E-2</v>
      </c>
      <c r="F43" s="16">
        <f>'ALL VARS'!R43</f>
        <v>1.630984653262523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VARS'!P44</f>
        <v>-5.0065291579812765E-2</v>
      </c>
      <c r="F44" s="16">
        <f>'ALL VARS'!R44</f>
        <v>-1.1750069294682388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VARS'!P45</f>
        <v>6.451272894628346E-2</v>
      </c>
      <c r="F45" s="16">
        <f>'ALL VARS'!R45</f>
        <v>1.4643416287235798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VARS'!P46</f>
        <v>-0.43549962999531999</v>
      </c>
      <c r="F46" s="16">
        <f>'ALL VARS'!R46</f>
        <v>-10.515352651742846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VARS'!P47</f>
        <v>-0.35762683051871136</v>
      </c>
      <c r="F47" s="16">
        <f>'ALL VARS'!R47</f>
        <v>-8.2756606982962353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VARS'!P48</f>
        <v>6.999037426430732E-2</v>
      </c>
      <c r="F48" s="16">
        <f>'ALL VARS'!R48</f>
        <v>1.519035512942005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VARS'!T1</f>
        <v>Sent_t_+_1_k, k=0</v>
      </c>
      <c r="F1" s="16" t="str">
        <f>'ALL VARS'!V1</f>
        <v>Sent_t_+_1_k,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VARS'!T2</f>
        <v>-1.6831778097426366E-3</v>
      </c>
      <c r="F2" s="16">
        <f>'ALL VARS'!V2</f>
        <v>2.6579917218139071E-2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VARS'!T3</f>
        <v>-4.0665114527942831E-2</v>
      </c>
      <c r="F3" s="16">
        <f>'ALL VARS'!V3</f>
        <v>0.6149585569390722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VARS'!T4</f>
        <v>1.3925055326792781E-4</v>
      </c>
      <c r="F4" s="16">
        <f>'ALL VARS'!V4</f>
        <v>-2.0303439332073356E-3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VARS'!T5</f>
        <v>-3.5602666505929132E-3</v>
      </c>
      <c r="F5" s="16">
        <f>'ALL VARS'!V5</f>
        <v>5.2067151367937811E-2</v>
      </c>
      <c r="G5" s="16">
        <f>'ALL VARS'!J5</f>
        <v>30.590000099999997</v>
      </c>
      <c r="I5" s="18" t="s">
        <v>57</v>
      </c>
      <c r="J5" s="18">
        <v>0.48421641182636466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VARS'!T6</f>
        <v>2.2716123014224466E-3</v>
      </c>
      <c r="F6" s="16">
        <f>'ALL VARS'!V6</f>
        <v>-3.3241658862097075E-2</v>
      </c>
      <c r="G6" s="16">
        <f>'ALL VARS'!J6</f>
        <v>30.581000099999997</v>
      </c>
      <c r="I6" s="18" t="s">
        <v>58</v>
      </c>
      <c r="J6" s="18">
        <v>0.23446553348199956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VARS'!T7</f>
        <v>-1.1965291788171723E-2</v>
      </c>
      <c r="F7" s="16">
        <f>'ALL VARS'!V7</f>
        <v>0.17520189166733499</v>
      </c>
      <c r="G7" s="16">
        <f>'ALL VARS'!J7</f>
        <v>30.572000099999997</v>
      </c>
      <c r="I7" s="18" t="s">
        <v>58</v>
      </c>
      <c r="J7" s="18">
        <v>0.13774796524218999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VARS'!T8</f>
        <v>7.422496670563565E-4</v>
      </c>
      <c r="F8" s="16">
        <f>'ALL VARS'!V8</f>
        <v>-1.0726627679904491E-2</v>
      </c>
      <c r="G8" s="16">
        <f>'ALL VARS'!J8</f>
        <v>30.763000099999999</v>
      </c>
      <c r="I8" s="18" t="s">
        <v>59</v>
      </c>
      <c r="J8" s="18">
        <v>2.5599885912473169E-2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VARS'!T9</f>
        <v>1.5144547309495519E-3</v>
      </c>
      <c r="F9" s="16">
        <f>'ALL VARS'!V9</f>
        <v>-2.0957795445593418E-2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VARS'!T10</f>
        <v>8.7608269336477695E-3</v>
      </c>
      <c r="F10" s="16">
        <f>'ALL VARS'!V10</f>
        <v>-0.1185384477961223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VARS'!T11</f>
        <v>8.3449585057469022E-3</v>
      </c>
      <c r="F11" s="16">
        <f>'ALL VARS'!V11</f>
        <v>-0.10292261928338624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VARS'!T12</f>
        <v>-1.5775973530628956E-2</v>
      </c>
      <c r="F12" s="16">
        <f>'ALL VARS'!V12</f>
        <v>0.19214360708868181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VARS'!T13</f>
        <v>5.2182364343557929E-3</v>
      </c>
      <c r="F13" s="16">
        <f>'ALL VARS'!V13</f>
        <v>-6.5668941358222099E-2</v>
      </c>
      <c r="G13" s="16">
        <f>'ALL VARS'!J13</f>
        <v>32.630000399999993</v>
      </c>
      <c r="I13" s="18" t="s">
        <v>62</v>
      </c>
      <c r="J13" s="18">
        <v>5</v>
      </c>
      <c r="K13" s="18">
        <v>8.4302336537685277E-3</v>
      </c>
      <c r="L13" s="18">
        <v>1.6860467307537054E-3</v>
      </c>
      <c r="M13" s="18">
        <v>2.5727260722917249</v>
      </c>
      <c r="N13" s="18">
        <v>4.0976591590817013E-2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VARS'!T14</f>
        <v>2.135158897815472E-3</v>
      </c>
      <c r="F14" s="16">
        <f>'ALL VARS'!V14</f>
        <v>-2.6756762333824086E-2</v>
      </c>
      <c r="G14" s="16">
        <f>'ALL VARS'!J14</f>
        <v>32.683000299999996</v>
      </c>
      <c r="I14" s="18" t="s">
        <v>63</v>
      </c>
      <c r="J14" s="18">
        <v>42</v>
      </c>
      <c r="K14" s="18">
        <v>2.7524874666728975E-2</v>
      </c>
      <c r="L14" s="18">
        <v>6.5535415873164222E-4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VARS'!T15</f>
        <v>-2.6453926531445223E-3</v>
      </c>
      <c r="F15" s="16">
        <f>'ALL VARS'!V15</f>
        <v>3.1637596222786973E-2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VARS'!T16</f>
        <v>1.5914759434505219E-3</v>
      </c>
      <c r="F16" s="16">
        <f>'ALL VARS'!V16</f>
        <v>-1.7768046879682919E-2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VARS'!T17</f>
        <v>4.0751832722028182E-2</v>
      </c>
      <c r="F17" s="16">
        <f>'ALL VARS'!V17</f>
        <v>-0.41446686573710334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VARS'!T18</f>
        <v>-3.5818737551425602E-3</v>
      </c>
      <c r="F18" s="16">
        <f>'ALL VARS'!V18</f>
        <v>3.3614124751334094E-2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VARS'!T19</f>
        <v>-3.8910877398021015E-4</v>
      </c>
      <c r="F19" s="16">
        <f>'ALL VARS'!V19</f>
        <v>3.1924462879172541E-3</v>
      </c>
      <c r="G19" s="16">
        <f>'ALL VARS'!J19</f>
        <v>37.010000400000003</v>
      </c>
      <c r="I19" s="18" t="s">
        <v>53</v>
      </c>
      <c r="J19" s="18">
        <v>0.31020403762069215</v>
      </c>
      <c r="K19" s="18">
        <v>0.12499397857111845</v>
      </c>
      <c r="L19" s="18">
        <v>2.4817518505036928</v>
      </c>
      <c r="M19" s="18">
        <v>1.7158725828788034E-2</v>
      </c>
      <c r="N19" s="18">
        <v>5.7955976503837048E-2</v>
      </c>
      <c r="O19" s="18">
        <v>0.5624520987375472</v>
      </c>
      <c r="P19" s="18">
        <v>5.7955976503837048E-2</v>
      </c>
      <c r="Q19" s="18">
        <v>0.5624520987375472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VARS'!T20</f>
        <v>3.6088494894241986E-3</v>
      </c>
      <c r="F20" s="16">
        <f>'ALL VARS'!V20</f>
        <v>-2.6772280663164498E-2</v>
      </c>
      <c r="G20" s="16">
        <f>'ALL VARS'!J20</f>
        <v>37.796000499999998</v>
      </c>
      <c r="I20" s="18" t="s">
        <v>54</v>
      </c>
      <c r="J20" s="18">
        <v>-0.15093687790730026</v>
      </c>
      <c r="K20" s="18">
        <v>0.10691886973777805</v>
      </c>
      <c r="L20" s="18">
        <v>-1.4116954123951908</v>
      </c>
      <c r="M20" s="18">
        <v>0.16540566080165403</v>
      </c>
      <c r="N20" s="18">
        <v>-0.36670789261113901</v>
      </c>
      <c r="O20" s="18">
        <v>6.4834136796538488E-2</v>
      </c>
      <c r="P20" s="18">
        <v>-0.36670789261113901</v>
      </c>
      <c r="Q20" s="18">
        <v>6.4834136796538488E-2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VARS'!T21</f>
        <v>-3.4534087849418436E-3</v>
      </c>
      <c r="F21" s="16">
        <f>'ALL VARS'!V21</f>
        <v>2.5287614194157513E-2</v>
      </c>
      <c r="G21" s="16">
        <f>'ALL VARS'!J21</f>
        <v>37.892000799999991</v>
      </c>
      <c r="I21" s="18" t="s">
        <v>8</v>
      </c>
      <c r="J21" s="18">
        <v>0.37431260632551117</v>
      </c>
      <c r="K21" s="18">
        <v>0.35206310177373984</v>
      </c>
      <c r="L21" s="18">
        <v>1.0631974905625594</v>
      </c>
      <c r="M21" s="18">
        <v>0.29376737038718753</v>
      </c>
      <c r="N21" s="18">
        <v>-0.33617949760158167</v>
      </c>
      <c r="O21" s="18">
        <v>1.0848047102526039</v>
      </c>
      <c r="P21" s="18">
        <v>-0.33617949760158167</v>
      </c>
      <c r="Q21" s="18">
        <v>1.0848047102526039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VARS'!T22</f>
        <v>-2.4350381749567275E-3</v>
      </c>
      <c r="F22" s="16">
        <f>'ALL VARS'!V22</f>
        <v>1.6379304528839182E-2</v>
      </c>
      <c r="G22" s="16">
        <f>'ALL VARS'!J22</f>
        <v>38.488000700000001</v>
      </c>
      <c r="I22" s="18" t="s">
        <v>78</v>
      </c>
      <c r="J22" s="18">
        <v>1.3314354032756513E-2</v>
      </c>
      <c r="K22" s="18">
        <v>3.2550941739477035E-2</v>
      </c>
      <c r="L22" s="18">
        <v>0.40903130051715741</v>
      </c>
      <c r="M22" s="18">
        <v>0.68459506143103654</v>
      </c>
      <c r="N22" s="18">
        <v>-5.2376105901191329E-2</v>
      </c>
      <c r="O22" s="18">
        <v>7.9004813966704363E-2</v>
      </c>
      <c r="P22" s="18">
        <v>-5.2376105901191329E-2</v>
      </c>
      <c r="Q22" s="18">
        <v>7.9004813966704363E-2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VARS'!T23</f>
        <v>-2.0812126079932354E-3</v>
      </c>
      <c r="F23" s="16">
        <f>'ALL VARS'!V23</f>
        <v>1.1999248594659589E-2</v>
      </c>
      <c r="G23" s="16">
        <f>'ALL VARS'!J23</f>
        <v>39.449000699999999</v>
      </c>
      <c r="I23" s="22" t="s">
        <v>3</v>
      </c>
      <c r="J23" s="22">
        <v>9.7335809032980002E-5</v>
      </c>
      <c r="K23" s="22">
        <v>8.8006421491308351E-5</v>
      </c>
      <c r="L23" s="22">
        <v>1.1060080319547254</v>
      </c>
      <c r="M23" s="22">
        <v>0.27501816343287816</v>
      </c>
      <c r="N23" s="22">
        <v>-8.0268339909157446E-5</v>
      </c>
      <c r="O23" s="22">
        <v>2.7493995797511745E-4</v>
      </c>
      <c r="P23" s="22">
        <v>-8.0268339909157446E-5</v>
      </c>
      <c r="Q23" s="22">
        <v>2.7493995797511745E-4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VARS'!T24</f>
        <v>8.937230388307014E-5</v>
      </c>
      <c r="F24" s="16">
        <f>'ALL VARS'!V24</f>
        <v>-4.7782978362976235E-4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VARS'!T25</f>
        <v>-2.3627441199868299E-3</v>
      </c>
      <c r="F25" s="16">
        <f>'ALL VARS'!V25</f>
        <v>1.0770589896269471E-2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VARS'!T26</f>
        <v>-6.3264485000512896E-3</v>
      </c>
      <c r="F26" s="16">
        <f>'ALL VARS'!V26</f>
        <v>2.5207791075282916E-2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VARS'!T27</f>
        <v>-3.9553487503764956E-4</v>
      </c>
      <c r="F27" s="16">
        <f>'ALL VARS'!V27</f>
        <v>1.4980920232307868E-3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VARS'!T28</f>
        <v>-8.1406529490503053E-3</v>
      </c>
      <c r="F28" s="16">
        <f>'ALL VARS'!V28</f>
        <v>2.6990409860837974E-2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VARS'!T29</f>
        <v>9.3619015445122074E-4</v>
      </c>
      <c r="F29" s="16">
        <f>'ALL VARS'!V29</f>
        <v>-3.119862128559569E-3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VARS'!T30</f>
        <v>9.3990532947466456E-4</v>
      </c>
      <c r="F30" s="16">
        <f>'ALL VARS'!V30</f>
        <v>-2.8530913819315366E-3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VARS'!T31</f>
        <v>3.3249417438323624E-2</v>
      </c>
      <c r="F31" s="16">
        <f>'ALL VARS'!V31</f>
        <v>-5.8502666318853626E-2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VARS'!T32</f>
        <v>-2.0033672346562136E-4</v>
      </c>
      <c r="F32" s="16">
        <f>'ALL VARS'!V32</f>
        <v>1.292362467414468E-5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VARS'!T33</f>
        <v>-1.7813606538020022E-3</v>
      </c>
      <c r="F33" s="16">
        <f>'ALL VARS'!V33</f>
        <v>-2.1474134983666734E-3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VARS'!T34</f>
        <v>-4.8918311083505656E-3</v>
      </c>
      <c r="F34" s="16">
        <f>'ALL VARS'!V34</f>
        <v>-1.5348076007312805E-2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VARS'!T35</f>
        <v>1.6972291644065604E-3</v>
      </c>
      <c r="F35" s="16">
        <f>'ALL VARS'!V35</f>
        <v>9.4611891872699253E-3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VARS'!T36</f>
        <v>-4.2681083364169078E-2</v>
      </c>
      <c r="F36" s="16">
        <f>'ALL VARS'!V36</f>
        <v>-0.32042786996825895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VARS'!T37</f>
        <v>1.3995175667343648E-3</v>
      </c>
      <c r="F37" s="16">
        <f>'ALL VARS'!V37</f>
        <v>1.3389872824044685E-2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VARS'!T38</f>
        <v>-1.2297182185778876E-3</v>
      </c>
      <c r="F38" s="16">
        <f>'ALL VARS'!V38</f>
        <v>-1.3606206759591006E-2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VARS'!T39</f>
        <v>-7.172374970462434E-3</v>
      </c>
      <c r="F39" s="16">
        <f>'ALL VARS'!V39</f>
        <v>-9.1085513437060714E-2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VARS'!T40</f>
        <v>-1.9875074046811075E-3</v>
      </c>
      <c r="F40" s="16">
        <f>'ALL VARS'!V40</f>
        <v>-2.9064297610646453E-2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VARS'!T41</f>
        <v>-8.8852928190003358E-3</v>
      </c>
      <c r="F41" s="16">
        <f>'ALL VARS'!V41</f>
        <v>-0.14867308644422855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VARS'!T42</f>
        <v>-5.0728967861617107E-3</v>
      </c>
      <c r="F42" s="16">
        <f>'ALL VARS'!V42</f>
        <v>-9.4718547122838601E-2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VARS'!T43</f>
        <v>1.5602424550421763E-3</v>
      </c>
      <c r="F43" s="16">
        <f>'ALL VARS'!V43</f>
        <v>3.2622315931266126E-2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VARS'!T44</f>
        <v>-7.2399917498845148E-4</v>
      </c>
      <c r="F44" s="16">
        <f>'ALL VARS'!V44</f>
        <v>-1.6991892400837188E-2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VARS'!T45</f>
        <v>1.2186557736812251E-3</v>
      </c>
      <c r="F45" s="16">
        <f>'ALL VARS'!V45</f>
        <v>2.7661647703225319E-2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VARS'!T46</f>
        <v>-1.1348225235603708E-2</v>
      </c>
      <c r="F46" s="16">
        <f>'ALL VARS'!V46</f>
        <v>-0.27400847694190444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VARS'!T47</f>
        <v>-5.0848837216479351E-3</v>
      </c>
      <c r="F47" s="16">
        <f>'ALL VARS'!V47</f>
        <v>-0.11766670948489254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VARS'!T48</f>
        <v>1.2419562592091457E-3</v>
      </c>
      <c r="F48" s="16">
        <f>'ALL VARS'!V48</f>
        <v>2.6954787470273422E-2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VARS'!X2</f>
        <v>-4.8347977428148174E-4</v>
      </c>
      <c r="F2" s="16">
        <f>'ALL VARS'!Z2</f>
        <v>7.6348751169736991E-3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VARS'!X3</f>
        <v>-3.9796701988386524E-3</v>
      </c>
      <c r="F3" s="16">
        <f>'ALL VARS'!Z3</f>
        <v>6.018259805685721E-2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VARS'!X4</f>
        <v>1.3920669668449529E-4</v>
      </c>
      <c r="F4" s="16">
        <f>'ALL VARS'!Z4</f>
        <v>-2.0297044819016586E-3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VARS'!X5</f>
        <v>-3.5609529572036467E-3</v>
      </c>
      <c r="F5" s="16">
        <f>'ALL VARS'!Z5</f>
        <v>5.2077188265084243E-2</v>
      </c>
      <c r="G5" s="16">
        <f>'ALL VARS'!J5</f>
        <v>30.590000099999997</v>
      </c>
      <c r="I5" s="18" t="s">
        <v>57</v>
      </c>
      <c r="J5" s="18">
        <v>0.49075872504397106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VARS'!X6</f>
        <v>2.2717113236016386E-3</v>
      </c>
      <c r="F6" s="16">
        <f>'ALL VARS'!Z6</f>
        <v>-3.324310790403897E-2</v>
      </c>
      <c r="G6" s="16">
        <f>'ALL VARS'!J6</f>
        <v>30.581000099999997</v>
      </c>
      <c r="I6" s="18" t="s">
        <v>58</v>
      </c>
      <c r="J6" s="18">
        <v>0.24084412620678397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VARS'!X7</f>
        <v>-1.1963390519316018E-2</v>
      </c>
      <c r="F7" s="16">
        <f>'ALL VARS'!Z7</f>
        <v>0.17517405232116734</v>
      </c>
      <c r="G7" s="16">
        <f>'ALL VARS'!J7</f>
        <v>30.572000099999997</v>
      </c>
      <c r="I7" s="18" t="s">
        <v>58</v>
      </c>
      <c r="J7" s="18">
        <v>0.14473404298838247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VARS'!X8</f>
        <v>7.4224151691076282E-4</v>
      </c>
      <c r="F8" s="16">
        <f>'ALL VARS'!Z8</f>
        <v>-1.0726509898002794E-2</v>
      </c>
      <c r="G8" s="16">
        <f>'ALL VARS'!J8</f>
        <v>30.763000099999999</v>
      </c>
      <c r="I8" s="18" t="s">
        <v>59</v>
      </c>
      <c r="J8" s="18">
        <v>2.5493011028411117E-2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VARS'!X9</f>
        <v>1.5145366119592391E-3</v>
      </c>
      <c r="F9" s="16">
        <f>'ALL VARS'!Z9</f>
        <v>-2.0958928556684051E-2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VARS'!X10</f>
        <v>8.7604672078830364E-3</v>
      </c>
      <c r="F10" s="16">
        <f>'ALL VARS'!Z10</f>
        <v>-0.11853358052341999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VARS'!X11</f>
        <v>8.3455874052259706E-3</v>
      </c>
      <c r="F11" s="16">
        <f>'ALL VARS'!Z11</f>
        <v>-0.10293037582065447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VARS'!X12</f>
        <v>-7.4675970629340827E-3</v>
      </c>
      <c r="F12" s="16">
        <f>'ALL VARS'!Z12</f>
        <v>9.0951663500908275E-2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VARS'!X13</f>
        <v>5.2177766315999914E-3</v>
      </c>
      <c r="F13" s="16">
        <f>'ALL VARS'!Z13</f>
        <v>-6.5663154966480966E-2</v>
      </c>
      <c r="G13" s="16">
        <f>'ALL VARS'!J13</f>
        <v>32.630000399999993</v>
      </c>
      <c r="I13" s="18" t="s">
        <v>62</v>
      </c>
      <c r="J13" s="18">
        <v>5</v>
      </c>
      <c r="K13" s="18">
        <v>8.6595766461204891E-3</v>
      </c>
      <c r="L13" s="18">
        <v>1.7319153292240977E-3</v>
      </c>
      <c r="M13" s="18">
        <v>2.6649213026942191</v>
      </c>
      <c r="N13" s="18">
        <v>3.5562654648140124E-2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VARS'!X14</f>
        <v>2.1353922332834766E-3</v>
      </c>
      <c r="F14" s="16">
        <f>'ALL VARS'!Z14</f>
        <v>-2.6759686379274679E-2</v>
      </c>
      <c r="G14" s="16">
        <f>'ALL VARS'!J14</f>
        <v>32.683000299999996</v>
      </c>
      <c r="I14" s="18" t="s">
        <v>63</v>
      </c>
      <c r="J14" s="18">
        <v>42</v>
      </c>
      <c r="K14" s="18">
        <v>2.7295531674377014E-2</v>
      </c>
      <c r="L14" s="18">
        <v>6.4989361129469078E-4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VARS'!X15</f>
        <v>-1.1690442426449081E-2</v>
      </c>
      <c r="F15" s="16">
        <f>'ALL VARS'!Z15</f>
        <v>0.13981194690099871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VARS'!X16</f>
        <v>1.5915756643559884E-3</v>
      </c>
      <c r="F16" s="16">
        <f>'ALL VARS'!Z16</f>
        <v>-1.7769160214591E-2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VARS'!X17</f>
        <v>4.2867611724490213E-3</v>
      </c>
      <c r="F17" s="16">
        <f>'ALL VARS'!Z17</f>
        <v>-4.359854143070379E-2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VARS'!X18</f>
        <v>-3.5819131495890924E-3</v>
      </c>
      <c r="F18" s="16">
        <f>'ALL VARS'!Z18</f>
        <v>3.3614494448852984E-2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VARS'!X19</f>
        <v>-3.8911296934307027E-4</v>
      </c>
      <c r="F19" s="16">
        <f>'ALL VARS'!Z19</f>
        <v>3.192480708807979E-3</v>
      </c>
      <c r="G19" s="16">
        <f>'ALL VARS'!J19</f>
        <v>37.010000400000003</v>
      </c>
      <c r="I19" s="18" t="s">
        <v>53</v>
      </c>
      <c r="J19" s="18">
        <v>0.29598692304709362</v>
      </c>
      <c r="K19" s="18">
        <v>0.12418335701186912</v>
      </c>
      <c r="L19" s="18">
        <v>2.3834669167367086</v>
      </c>
      <c r="M19" s="18">
        <v>2.1748325074050091E-2</v>
      </c>
      <c r="N19" s="18">
        <v>4.5374762466869778E-2</v>
      </c>
      <c r="O19" s="18">
        <v>0.54659908362731746</v>
      </c>
      <c r="P19" s="18">
        <v>4.5374762466869778E-2</v>
      </c>
      <c r="Q19" s="18">
        <v>0.54659908362731746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VARS'!X20</f>
        <v>3.6088050963376506E-3</v>
      </c>
      <c r="F20" s="16">
        <f>'ALL VARS'!Z20</f>
        <v>-2.6771951332673977E-2</v>
      </c>
      <c r="G20" s="16">
        <f>'ALL VARS'!J20</f>
        <v>37.796000499999998</v>
      </c>
      <c r="I20" s="18" t="s">
        <v>54</v>
      </c>
      <c r="J20" s="18">
        <v>-0.19418196187628931</v>
      </c>
      <c r="K20" s="18">
        <v>9.9843622957406272E-2</v>
      </c>
      <c r="L20" s="18">
        <v>-1.9448609347752552</v>
      </c>
      <c r="M20" s="18">
        <v>5.8507479538824146E-2</v>
      </c>
      <c r="N20" s="18">
        <v>-0.39567455050973466</v>
      </c>
      <c r="O20" s="18">
        <v>7.3106267571560468E-3</v>
      </c>
      <c r="P20" s="18">
        <v>-0.39567455050973466</v>
      </c>
      <c r="Q20" s="18">
        <v>7.3106267571560468E-3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VARS'!X21</f>
        <v>-3.4532711014385658E-3</v>
      </c>
      <c r="F21" s="16">
        <f>'ALL VARS'!Z21</f>
        <v>2.5286606005573826E-2</v>
      </c>
      <c r="G21" s="16">
        <f>'ALL VARS'!J21</f>
        <v>37.892000799999991</v>
      </c>
      <c r="I21" s="18" t="s">
        <v>9</v>
      </c>
      <c r="J21" s="18">
        <v>0.14444912535512519</v>
      </c>
      <c r="K21" s="18">
        <v>0.62223177646568895</v>
      </c>
      <c r="L21" s="18">
        <v>0.23214681541274579</v>
      </c>
      <c r="M21" s="18">
        <v>0.81755145094612469</v>
      </c>
      <c r="N21" s="18">
        <v>-1.1112654376424991</v>
      </c>
      <c r="O21" s="18">
        <v>1.4001636883527495</v>
      </c>
      <c r="P21" s="18">
        <v>-1.1112654376424991</v>
      </c>
      <c r="Q21" s="18">
        <v>1.4001636883527495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VARS'!X22</f>
        <v>-2.434916385736674E-3</v>
      </c>
      <c r="F22" s="16">
        <f>'ALL VARS'!Z22</f>
        <v>1.6378485312637935E-2</v>
      </c>
      <c r="G22" s="16">
        <f>'ALL VARS'!J22</f>
        <v>38.488000700000001</v>
      </c>
      <c r="I22" s="18" t="s">
        <v>79</v>
      </c>
      <c r="J22" s="18">
        <v>-5.4266151601985654E-2</v>
      </c>
      <c r="K22" s="18">
        <v>4.4240926817037375E-2</v>
      </c>
      <c r="L22" s="18">
        <v>-1.2266052161702796</v>
      </c>
      <c r="M22" s="18">
        <v>0.22680322413177767</v>
      </c>
      <c r="N22" s="18">
        <v>-0.14354795652717869</v>
      </c>
      <c r="O22" s="18">
        <v>3.5015653323207385E-2</v>
      </c>
      <c r="P22" s="18">
        <v>-0.14354795652717869</v>
      </c>
      <c r="Q22" s="18">
        <v>3.5015653323207385E-2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VARS'!X23</f>
        <v>-6.257889059890118E-3</v>
      </c>
      <c r="F23" s="16">
        <f>'ALL VARS'!Z23</f>
        <v>3.607991140310552E-2</v>
      </c>
      <c r="G23" s="16">
        <f>'ALL VARS'!J23</f>
        <v>39.449000699999999</v>
      </c>
      <c r="I23" s="22" t="s">
        <v>3</v>
      </c>
      <c r="J23" s="22">
        <v>8.4285943154728101E-5</v>
      </c>
      <c r="K23" s="22">
        <v>8.5032253174693065E-5</v>
      </c>
      <c r="L23" s="22">
        <v>0.99122321246231448</v>
      </c>
      <c r="M23" s="22">
        <v>0.32725309413836656</v>
      </c>
      <c r="N23" s="22">
        <v>-8.731609112654571E-5</v>
      </c>
      <c r="O23" s="22">
        <v>2.5588797743600193E-4</v>
      </c>
      <c r="P23" s="22">
        <v>-8.731609112654571E-5</v>
      </c>
      <c r="Q23" s="22">
        <v>2.5588797743600193E-4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VARS'!X24</f>
        <v>8.9372641890552197E-5</v>
      </c>
      <c r="F24" s="16">
        <f>'ALL VARS'!Z24</f>
        <v>-4.7783159078964297E-4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VARS'!X25</f>
        <v>-2.3627544575136358E-3</v>
      </c>
      <c r="F25" s="16">
        <f>'ALL VARS'!Z25</f>
        <v>1.077063701997653E-2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VARS'!X26</f>
        <v>-6.3268426066481207E-3</v>
      </c>
      <c r="F26" s="16">
        <f>'ALL VARS'!Z26</f>
        <v>2.5209361396570481E-2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VARS'!X27</f>
        <v>-1.4570747688227757E-3</v>
      </c>
      <c r="F27" s="16">
        <f>'ALL VARS'!Z27</f>
        <v>5.5186842581617284E-3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VARS'!X28</f>
        <v>-8.1397416950628222E-3</v>
      </c>
      <c r="F28" s="16">
        <f>'ALL VARS'!Z28</f>
        <v>2.6987388589846149E-2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VARS'!X29</f>
        <v>6.2544682571715783E-3</v>
      </c>
      <c r="F29" s="16">
        <f>'ALL VARS'!Z29</f>
        <v>-2.0843071845020444E-2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VARS'!X30</f>
        <v>9.399022068945043E-4</v>
      </c>
      <c r="F30" s="16">
        <f>'ALL VARS'!Z30</f>
        <v>-2.8530819033103761E-3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VARS'!X31</f>
        <v>1.5092006869835773E-2</v>
      </c>
      <c r="F31" s="16">
        <f>'ALL VARS'!Z31</f>
        <v>-2.6554529673358519E-2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VARS'!X32</f>
        <v>-2.0035314346432759E-4</v>
      </c>
      <c r="F32" s="16">
        <f>'ALL VARS'!Z32</f>
        <v>1.2924683920281675E-5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VARS'!X33</f>
        <v>-2.5983841384834668E-4</v>
      </c>
      <c r="F33" s="16">
        <f>'ALL VARS'!Z33</f>
        <v>-3.1323276176624539E-4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VARS'!X34</f>
        <v>-4.8918098363505596E-3</v>
      </c>
      <c r="F34" s="16">
        <f>'ALL VARS'!Z34</f>
        <v>-1.5348009266604533E-2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VARS'!X35</f>
        <v>1.6972061336973533E-3</v>
      </c>
      <c r="F35" s="16">
        <f>'ALL VARS'!Z35</f>
        <v>9.4610608027821414E-3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VARS'!X36</f>
        <v>-6.1817702594409536E-3</v>
      </c>
      <c r="F36" s="16">
        <f>'ALL VARS'!Z36</f>
        <v>-4.6409587590944198E-2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VARS'!X37</f>
        <v>9.7581869367338089E-3</v>
      </c>
      <c r="F37" s="16">
        <f>'ALL VARS'!Z37</f>
        <v>9.3361373363111164E-2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VARS'!X38</f>
        <v>-1.2297746236059619E-3</v>
      </c>
      <c r="F38" s="16">
        <f>'ALL VARS'!Z38</f>
        <v>-1.3606830852543899E-2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VARS'!X39</f>
        <v>-7.1723386329397574E-3</v>
      </c>
      <c r="F39" s="16">
        <f>'ALL VARS'!Z39</f>
        <v>-9.1085051969008138E-2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VARS'!X40</f>
        <v>-4.5687447281879439E-4</v>
      </c>
      <c r="F40" s="16">
        <f>'ALL VARS'!Z40</f>
        <v>-6.6810999634203602E-3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VARS'!X41</f>
        <v>-8.8855990083988642E-3</v>
      </c>
      <c r="F41" s="16">
        <f>'ALL VARS'!Z41</f>
        <v>-0.14867820975573254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VARS'!X42</f>
        <v>-5.0727590262987015E-3</v>
      </c>
      <c r="F42" s="16">
        <f>'ALL VARS'!Z42</f>
        <v>-9.4715974940784417E-2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VARS'!X43</f>
        <v>7.8005471767174112E-3</v>
      </c>
      <c r="F43" s="16">
        <f>'ALL VARS'!Z43</f>
        <v>0.16309767345020909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VARS'!X44</f>
        <v>-7.2398129983529131E-4</v>
      </c>
      <c r="F44" s="16">
        <f>'ALL VARS'!Z44</f>
        <v>-1.6991472880084072E-2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VARS'!X45</f>
        <v>1.5554733397967077E-2</v>
      </c>
      <c r="F45" s="16">
        <f>'ALL VARS'!Z45</f>
        <v>0.35306898360021038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VARS'!X46</f>
        <v>-6.056739979982898E-3</v>
      </c>
      <c r="F46" s="16">
        <f>'ALL VARS'!Z46</f>
        <v>-0.14624296422505456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VARS'!X47</f>
        <v>-5.085061833605015E-3</v>
      </c>
      <c r="F47" s="16">
        <f>'ALL VARS'!Z47</f>
        <v>-0.11767083108315451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VARS'!X48</f>
        <v>1.2419150912283468E-3</v>
      </c>
      <c r="F48" s="16">
        <f>'ALL VARS'!Z48</f>
        <v>2.6953893981340311E-2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VARS'!AB2</f>
        <v>-2.675892021827254E-3</v>
      </c>
      <c r="F2" s="16">
        <f>'ALL VARS'!AD2</f>
        <v>4.2256372448091176E-2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VARS'!AB3</f>
        <v>-3.9797236618121191E-3</v>
      </c>
      <c r="F3" s="16">
        <f>'ALL VARS'!AD3</f>
        <v>6.018340655115003E-2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VARS'!AB4</f>
        <v>1.3922479831146258E-4</v>
      </c>
      <c r="F4" s="16">
        <f>'ALL VARS'!AD4</f>
        <v>-2.0299684128350136E-3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VARS'!AB5</f>
        <v>-3.5611298229558694E-3</v>
      </c>
      <c r="F5" s="16">
        <f>'ALL VARS'!AD5</f>
        <v>5.2079774839854209E-2</v>
      </c>
      <c r="G5" s="16">
        <f>'ALL VARS'!J5</f>
        <v>30.590000099999997</v>
      </c>
      <c r="I5" s="18" t="s">
        <v>57</v>
      </c>
      <c r="J5" s="18">
        <v>0.51657602363934896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VARS'!AB6</f>
        <v>2.2715899837558381E-3</v>
      </c>
      <c r="F6" s="16">
        <f>'ALL VARS'!AD6</f>
        <v>-3.3241332276323816E-2</v>
      </c>
      <c r="G6" s="16">
        <f>'ALL VARS'!J6</f>
        <v>30.581000099999997</v>
      </c>
      <c r="I6" s="18" t="s">
        <v>58</v>
      </c>
      <c r="J6" s="18">
        <v>0.26685078819904123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VARS'!AB7</f>
        <v>-1.1966886213536851E-2</v>
      </c>
      <c r="F7" s="16">
        <f>'ALL VARS'!AD7</f>
        <v>0.17522523805495663</v>
      </c>
      <c r="G7" s="16">
        <f>'ALL VARS'!J7</f>
        <v>30.572000099999997</v>
      </c>
      <c r="I7" s="18" t="s">
        <v>58</v>
      </c>
      <c r="J7" s="18">
        <v>0.17321752993228326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VARS'!AB8</f>
        <v>6.829273949933305E-3</v>
      </c>
      <c r="F8" s="16">
        <f>'ALL VARS'!AD8</f>
        <v>-9.8693313363848581E-2</v>
      </c>
      <c r="G8" s="16">
        <f>'ALL VARS'!J8</f>
        <v>30.763000099999999</v>
      </c>
      <c r="I8" s="18" t="s">
        <v>59</v>
      </c>
      <c r="J8" s="18">
        <v>2.505254446035127E-2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VARS'!AB9</f>
        <v>1.5145415361475247E-3</v>
      </c>
      <c r="F9" s="16">
        <f>'ALL VARS'!AD9</f>
        <v>-2.0958996700108028E-2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VARS'!AB10</f>
        <v>8.7602504281608495E-3</v>
      </c>
      <c r="F10" s="16">
        <f>'ALL VARS'!AD10</f>
        <v>-0.11853064738343488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VARS'!AB11</f>
        <v>0.10563345255546264</v>
      </c>
      <c r="F11" s="16">
        <f>'ALL VARS'!AD11</f>
        <v>-1.3028311181497523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VARS'!AB12</f>
        <v>-2.8211767729283792E-3</v>
      </c>
      <c r="F12" s="16">
        <f>'ALL VARS'!AD12</f>
        <v>3.4360547089714498E-2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VARS'!AB13</f>
        <v>8.1938723304662245E-2</v>
      </c>
      <c r="F13" s="16">
        <f>'ALL VARS'!AD13</f>
        <v>-1.0311585692505578</v>
      </c>
      <c r="G13" s="16">
        <f>'ALL VARS'!J13</f>
        <v>32.630000399999993</v>
      </c>
      <c r="I13" s="18" t="s">
        <v>62</v>
      </c>
      <c r="J13" s="18">
        <v>5</v>
      </c>
      <c r="K13" s="18">
        <v>9.5946489951066645E-3</v>
      </c>
      <c r="L13" s="18">
        <v>1.9189297990213328E-3</v>
      </c>
      <c r="M13" s="18">
        <v>3.0574221247072679</v>
      </c>
      <c r="N13" s="18">
        <v>1.9516183217217823E-2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VARS'!AB14</f>
        <v>2.1362410423807297E-3</v>
      </c>
      <c r="F14" s="16">
        <f>'ALL VARS'!AD14</f>
        <v>-2.6770323237873459E-2</v>
      </c>
      <c r="G14" s="16">
        <f>'ALL VARS'!J14</f>
        <v>32.683000299999996</v>
      </c>
      <c r="I14" s="18" t="s">
        <v>63</v>
      </c>
      <c r="J14" s="18">
        <v>42</v>
      </c>
      <c r="K14" s="18">
        <v>2.6360459325390839E-2</v>
      </c>
      <c r="L14" s="18">
        <v>6.2762998393787713E-4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VARS'!AB15</f>
        <v>-2.6453647036272405E-3</v>
      </c>
      <c r="F15" s="16">
        <f>'ALL VARS'!AD15</f>
        <v>3.1637261960294281E-2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VARS'!AB16</f>
        <v>4.2863747882977331E-2</v>
      </c>
      <c r="F16" s="16">
        <f>'ALL VARS'!AD16</f>
        <v>-0.47855268246932736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VARS'!AB17</f>
        <v>2.8136761843105738E-2</v>
      </c>
      <c r="F17" s="16">
        <f>'ALL VARS'!AD17</f>
        <v>-0.28616517869635982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VARS'!AB18</f>
        <v>-3.582024853674988E-3</v>
      </c>
      <c r="F18" s="16">
        <f>'ALL VARS'!AD18</f>
        <v>3.3615542736798121E-2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VARS'!AB19</f>
        <v>-3.8913929979446024E-4</v>
      </c>
      <c r="F19" s="16">
        <f>'ALL VARS'!AD19</f>
        <v>3.1926967372232192E-3</v>
      </c>
      <c r="G19" s="16">
        <f>'ALL VARS'!J19</f>
        <v>37.010000400000003</v>
      </c>
      <c r="I19" s="18" t="s">
        <v>53</v>
      </c>
      <c r="J19" s="18">
        <v>0.3309411412375321</v>
      </c>
      <c r="K19" s="18">
        <v>0.13028472761969201</v>
      </c>
      <c r="L19" s="18">
        <v>2.5401376453237616</v>
      </c>
      <c r="M19" s="18">
        <v>1.4867910458109109E-2</v>
      </c>
      <c r="N19" s="18">
        <v>6.8015916271546628E-2</v>
      </c>
      <c r="O19" s="18">
        <v>0.59386636620351752</v>
      </c>
      <c r="P19" s="18">
        <v>6.8015916271546628E-2</v>
      </c>
      <c r="Q19" s="18">
        <v>0.59386636620351752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VARS'!AB20</f>
        <v>3.6089485401624034E-3</v>
      </c>
      <c r="F20" s="16">
        <f>'ALL VARS'!AD20</f>
        <v>-2.6773015471909193E-2</v>
      </c>
      <c r="G20" s="16">
        <f>'ALL VARS'!J20</f>
        <v>37.796000499999998</v>
      </c>
      <c r="I20" s="18" t="s">
        <v>54</v>
      </c>
      <c r="J20" s="18">
        <v>-0.1918280584646368</v>
      </c>
      <c r="K20" s="18">
        <v>0.10162356494816671</v>
      </c>
      <c r="L20" s="18">
        <v>-1.8876336267329241</v>
      </c>
      <c r="M20" s="18">
        <v>6.5997584892236255E-2</v>
      </c>
      <c r="N20" s="18">
        <v>-0.39691271546171403</v>
      </c>
      <c r="O20" s="18">
        <v>1.3256598532440433E-2</v>
      </c>
      <c r="P20" s="18">
        <v>-0.39691271546171403</v>
      </c>
      <c r="Q20" s="18">
        <v>1.3256598532440433E-2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VARS'!AB21</f>
        <v>-1.9611588317032309E-2</v>
      </c>
      <c r="F21" s="16">
        <f>'ALL VARS'!AD21</f>
        <v>0.14360601654174326</v>
      </c>
      <c r="G21" s="16">
        <f>'ALL VARS'!J21</f>
        <v>37.892000799999991</v>
      </c>
      <c r="I21" s="18" t="s">
        <v>10</v>
      </c>
      <c r="J21" s="18">
        <v>0.17479660027758193</v>
      </c>
      <c r="K21" s="18">
        <v>0.10973765592743148</v>
      </c>
      <c r="L21" s="18">
        <v>1.5928588851321313</v>
      </c>
      <c r="M21" s="18">
        <v>0.11869103766278681</v>
      </c>
      <c r="N21" s="18">
        <v>-4.6662955259753752E-2</v>
      </c>
      <c r="O21" s="18">
        <v>0.39625615581491758</v>
      </c>
      <c r="P21" s="18">
        <v>-4.6662955259753752E-2</v>
      </c>
      <c r="Q21" s="18">
        <v>0.39625615581491758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VARS'!AB22</f>
        <v>-2.4349354257541199E-3</v>
      </c>
      <c r="F22" s="16">
        <f>'ALL VARS'!AD22</f>
        <v>1.6378613385473584E-2</v>
      </c>
      <c r="G22" s="16">
        <f>'ALL VARS'!J22</f>
        <v>38.488000700000001</v>
      </c>
      <c r="I22" s="18" t="s">
        <v>80</v>
      </c>
      <c r="J22" s="18">
        <v>-1.5139850231861778E-3</v>
      </c>
      <c r="K22" s="18">
        <v>1.1256026826327117E-2</v>
      </c>
      <c r="L22" s="18">
        <v>-0.1345043900966072</v>
      </c>
      <c r="M22" s="18">
        <v>0.89364624550144289</v>
      </c>
      <c r="N22" s="18">
        <v>-2.4229566807830515E-2</v>
      </c>
      <c r="O22" s="18">
        <v>2.120159676145816E-2</v>
      </c>
      <c r="P22" s="18">
        <v>-2.4229566807830515E-2</v>
      </c>
      <c r="Q22" s="18">
        <v>2.120159676145816E-2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VARS'!AB23</f>
        <v>-1.461115374105099E-2</v>
      </c>
      <c r="F23" s="16">
        <f>'ALL VARS'!AD23</f>
        <v>8.4240728371673942E-2</v>
      </c>
      <c r="G23" s="16">
        <f>'ALL VARS'!J23</f>
        <v>39.449000699999999</v>
      </c>
      <c r="I23" s="22" t="s">
        <v>3</v>
      </c>
      <c r="J23" s="22">
        <v>8.8797688998679532E-5</v>
      </c>
      <c r="K23" s="22">
        <v>8.585697952365087E-5</v>
      </c>
      <c r="L23" s="22">
        <v>1.0342512570479909</v>
      </c>
      <c r="M23" s="22">
        <v>0.30693738768791323</v>
      </c>
      <c r="N23" s="22">
        <v>-8.4468710437258289E-5</v>
      </c>
      <c r="O23" s="22">
        <v>2.6206408843461738E-4</v>
      </c>
      <c r="P23" s="22">
        <v>-8.4468710437258289E-5</v>
      </c>
      <c r="Q23" s="22">
        <v>2.6206408843461738E-4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VARS'!AB24</f>
        <v>8.9373622720029892E-5</v>
      </c>
      <c r="F24" s="16">
        <f>'ALL VARS'!AD24</f>
        <v>-4.7783683480279632E-4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VARS'!AB25</f>
        <v>-2.3628370573706733E-3</v>
      </c>
      <c r="F25" s="16">
        <f>'ALL VARS'!AD25</f>
        <v>1.0771013552152873E-2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VARS'!AB26</f>
        <v>-6.3268942419939245E-3</v>
      </c>
      <c r="F26" s="16">
        <f>'ALL VARS'!AD26</f>
        <v>2.5209567138071279E-2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VARS'!AB27</f>
        <v>-3.9555882986564843E-4</v>
      </c>
      <c r="F27" s="16">
        <f>'ALL VARS'!AD27</f>
        <v>1.4981827523649486E-3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VARS'!AB28</f>
        <v>-0.15415521598755705</v>
      </c>
      <c r="F28" s="16">
        <f>'ALL VARS'!AD28</f>
        <v>0.51110303899831022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VARS'!AB29</f>
        <v>9.3617849514414364E-4</v>
      </c>
      <c r="F29" s="16">
        <f>'ALL VARS'!AD29</f>
        <v>-3.1198232738136374E-3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VARS'!AB30</f>
        <v>9.3990944887703521E-4</v>
      </c>
      <c r="F30" s="16">
        <f>'ALL VARS'!AD30</f>
        <v>-2.8531038864158006E-3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VARS'!AB31</f>
        <v>5.5835721330073926E-3</v>
      </c>
      <c r="F31" s="16">
        <f>'ALL VARS'!AD31</f>
        <v>-9.8243482903275382E-3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VARS'!AB32</f>
        <v>-2.0034335113167491E-4</v>
      </c>
      <c r="F32" s="16">
        <f>'ALL VARS'!AD32</f>
        <v>1.2924052221660983E-5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VARS'!AB33</f>
        <v>-2.5984904172533335E-4</v>
      </c>
      <c r="F33" s="16">
        <f>'ALL VARS'!AD33</f>
        <v>-3.1324557357190159E-4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VARS'!AB34</f>
        <v>-9.3827200684367715E-2</v>
      </c>
      <c r="F34" s="16">
        <f>'ALL VARS'!AD34</f>
        <v>-0.29438199638552759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VARS'!AB35</f>
        <v>1.4704015034069231E-2</v>
      </c>
      <c r="F35" s="16">
        <f>'ALL VARS'!AD35</f>
        <v>8.1967403676116379E-2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VARS'!AB36</f>
        <v>-6.1824379942844046E-3</v>
      </c>
      <c r="F36" s="16">
        <f>'ALL VARS'!AD36</f>
        <v>-4.641460060459629E-2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VARS'!AB37</f>
        <v>1.1306443595853824E-2</v>
      </c>
      <c r="F37" s="16">
        <f>'ALL VARS'!AD37</f>
        <v>0.10817430623180743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VARS'!AB38</f>
        <v>-2.263750268659717E-3</v>
      </c>
      <c r="F38" s="16">
        <f>'ALL VARS'!AD38</f>
        <v>-2.5047245573936276E-2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VARS'!AB39</f>
        <v>-7.1723618513524681E-3</v>
      </c>
      <c r="F39" s="16">
        <f>'ALL VARS'!AD39</f>
        <v>-9.1085346831038028E-2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VARS'!AB40</f>
        <v>-4.4339116250188826E-3</v>
      </c>
      <c r="F40" s="16">
        <f>'ALL VARS'!AD40</f>
        <v>-6.4839268897984609E-2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VARS'!AB41</f>
        <v>-8.8854706097890382E-3</v>
      </c>
      <c r="F41" s="16">
        <f>'ALL VARS'!AD41</f>
        <v>-0.1486760613270868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VARS'!AB42</f>
        <v>-5.0734229836763003E-3</v>
      </c>
      <c r="F42" s="16">
        <f>'ALL VARS'!AD42</f>
        <v>-9.4728372015041709E-2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VARS'!AB43</f>
        <v>1.5602237417408E-3</v>
      </c>
      <c r="F43" s="16">
        <f>'ALL VARS'!AD43</f>
        <v>3.2621924664365497E-2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VARS'!AB44</f>
        <v>-7.2395325777838907E-4</v>
      </c>
      <c r="F44" s="16">
        <f>'ALL VARS'!AD44</f>
        <v>-1.6990814747271162E-2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VARS'!AB45</f>
        <v>1.2187239745035489E-3</v>
      </c>
      <c r="F45" s="16">
        <f>'ALL VARS'!AD45</f>
        <v>2.7663195759010172E-2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VARS'!AB46</f>
        <v>-6.0568796149322972E-3</v>
      </c>
      <c r="F46" s="16">
        <f>'ALL VARS'!AD46</f>
        <v>-0.1462463357795504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VARS'!AB47</f>
        <v>-8.0581010020851537E-2</v>
      </c>
      <c r="F47" s="16">
        <f>'ALL VARS'!AD47</f>
        <v>-1.864684192434173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VARS'!AB48</f>
        <v>1.2419913174925709E-3</v>
      </c>
      <c r="F48" s="16">
        <f>'ALL VARS'!AD48</f>
        <v>2.6955548357439772E-2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VARS'!AF2</f>
        <v>-2.3405861609551936E-3</v>
      </c>
      <c r="F2" s="16">
        <f>'ALL VARS'!AH2</f>
        <v>3.6961386990732419E-2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VARS'!AF3</f>
        <v>-3.9798217536506728E-3</v>
      </c>
      <c r="F3" s="16">
        <f>'ALL VARS'!AH3</f>
        <v>6.0184889945852957E-2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VARS'!AF4</f>
        <v>1.3921647057884599E-4</v>
      </c>
      <c r="F4" s="16">
        <f>'ALL VARS'!AH4</f>
        <v>-2.0298469902553639E-3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VARS'!AF5</f>
        <v>-3.5606154811124438E-3</v>
      </c>
      <c r="F5" s="16">
        <f>'ALL VARS'!AH5</f>
        <v>5.2072252842980171E-2</v>
      </c>
      <c r="G5" s="16">
        <f>'ALL VARS'!J5</f>
        <v>30.590000099999997</v>
      </c>
      <c r="I5" s="18" t="s">
        <v>57</v>
      </c>
      <c r="J5" s="18">
        <v>0.50425801679073645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VARS'!AF6</f>
        <v>1.8336339409687766E-2</v>
      </c>
      <c r="F6" s="16">
        <f>'ALL VARS'!AH6</f>
        <v>-0.26832498620243833</v>
      </c>
      <c r="G6" s="16">
        <f>'ALL VARS'!J6</f>
        <v>30.581000099999997</v>
      </c>
      <c r="I6" s="18" t="s">
        <v>58</v>
      </c>
      <c r="J6" s="18">
        <v>0.2542761474977267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VARS'!AF7</f>
        <v>-1.1964713310661899E-2</v>
      </c>
      <c r="F7" s="16">
        <f>'ALL VARS'!AH7</f>
        <v>0.17519342130524082</v>
      </c>
      <c r="G7" s="16">
        <f>'ALL VARS'!J7</f>
        <v>30.572000099999997</v>
      </c>
      <c r="I7" s="18" t="s">
        <v>58</v>
      </c>
      <c r="J7" s="18">
        <v>0.15944530440227211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VARS'!AF8</f>
        <v>7.4224460685514359E-4</v>
      </c>
      <c r="F8" s="16">
        <f>'ALL VARS'!AH8</f>
        <v>-1.0726554552361555E-2</v>
      </c>
      <c r="G8" s="16">
        <f>'ALL VARS'!J8</f>
        <v>30.763000099999999</v>
      </c>
      <c r="I8" s="18" t="s">
        <v>59</v>
      </c>
      <c r="J8" s="18">
        <v>2.5266475951298988E-2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VARS'!AF9</f>
        <v>1.5147639909597423E-3</v>
      </c>
      <c r="F9" s="16">
        <f>'ALL VARS'!AH9</f>
        <v>-2.0962075143032118E-2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VARS'!AF10</f>
        <v>8.7605665985715977E-3</v>
      </c>
      <c r="F10" s="16">
        <f>'ALL VARS'!AH10</f>
        <v>-0.11853492533002748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VARS'!AF11</f>
        <v>8.3454580998488931E-3</v>
      </c>
      <c r="F11" s="16">
        <f>'ALL VARS'!AH11</f>
        <v>-0.10292878103164657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VARS'!AF12</f>
        <v>-2.8211577105299855E-3</v>
      </c>
      <c r="F12" s="16">
        <f>'ALL VARS'!AH12</f>
        <v>3.4360314919067152E-2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VARS'!AF13</f>
        <v>7.8871176383527114E-2</v>
      </c>
      <c r="F13" s="16">
        <f>'ALL VARS'!AH13</f>
        <v>-0.99255499859757601</v>
      </c>
      <c r="G13" s="16">
        <f>'ALL VARS'!J13</f>
        <v>32.630000399999993</v>
      </c>
      <c r="I13" s="18" t="s">
        <v>62</v>
      </c>
      <c r="J13" s="18">
        <v>5</v>
      </c>
      <c r="K13" s="18">
        <v>9.1425264265995627E-3</v>
      </c>
      <c r="L13" s="18">
        <v>1.8285052853199125E-3</v>
      </c>
      <c r="M13" s="18">
        <v>2.8642233070778604</v>
      </c>
      <c r="N13" s="18">
        <v>2.6202212323778434E-2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VARS'!AF14</f>
        <v>2.135346429041922E-3</v>
      </c>
      <c r="F14" s="16">
        <f>'ALL VARS'!AH14</f>
        <v>-2.6759112383022501E-2</v>
      </c>
      <c r="G14" s="16">
        <f>'ALL VARS'!J14</f>
        <v>32.683000299999996</v>
      </c>
      <c r="I14" s="18" t="s">
        <v>63</v>
      </c>
      <c r="J14" s="18">
        <v>42</v>
      </c>
      <c r="K14" s="18">
        <v>2.681258189389794E-2</v>
      </c>
      <c r="L14" s="18">
        <v>6.3839480699757003E-4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VARS'!AF15</f>
        <v>-1.4721901458676289E-2</v>
      </c>
      <c r="F15" s="16">
        <f>'ALL VARS'!AH15</f>
        <v>0.17606670731001436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VARS'!AF16</f>
        <v>9.06511203372788E-3</v>
      </c>
      <c r="F16" s="16">
        <f>'ALL VARS'!AH16</f>
        <v>-0.10120752138774777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VARS'!AF17</f>
        <v>4.2870673284897722E-3</v>
      </c>
      <c r="F17" s="16">
        <f>'ALL VARS'!AH17</f>
        <v>-4.3601655193353489E-2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VARS'!AF18</f>
        <v>-3.0093028263110756E-2</v>
      </c>
      <c r="F18" s="16">
        <f>'ALL VARS'!AH18</f>
        <v>0.28240827994826062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VARS'!AF19</f>
        <v>-3.3260198391362921E-3</v>
      </c>
      <c r="F19" s="16">
        <f>'ALL VARS'!AH19</f>
        <v>2.7288358420645201E-2</v>
      </c>
      <c r="G19" s="16">
        <f>'ALL VARS'!J19</f>
        <v>37.010000400000003</v>
      </c>
      <c r="I19" s="18" t="s">
        <v>53</v>
      </c>
      <c r="J19" s="18">
        <v>0.3437377826582298</v>
      </c>
      <c r="K19" s="18">
        <v>0.1249134784703476</v>
      </c>
      <c r="L19" s="18">
        <v>2.7518069856635003</v>
      </c>
      <c r="M19" s="18">
        <v>8.7121224320064489E-3</v>
      </c>
      <c r="N19" s="18">
        <v>9.1652177321815409E-2</v>
      </c>
      <c r="O19" s="18">
        <v>0.59582338799464418</v>
      </c>
      <c r="P19" s="18">
        <v>9.1652177321815409E-2</v>
      </c>
      <c r="Q19" s="18">
        <v>0.59582338799464418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VARS'!AF20</f>
        <v>4.9249058986688923E-2</v>
      </c>
      <c r="F20" s="16">
        <f>'ALL VARS'!AH20</f>
        <v>-0.36535456340096673</v>
      </c>
      <c r="G20" s="16">
        <f>'ALL VARS'!J20</f>
        <v>37.796000499999998</v>
      </c>
      <c r="I20" s="18" t="s">
        <v>54</v>
      </c>
      <c r="J20" s="18">
        <v>-0.15562203499090882</v>
      </c>
      <c r="K20" s="18">
        <v>9.9843387136877113E-2</v>
      </c>
      <c r="L20" s="18">
        <v>-1.5586614141762212</v>
      </c>
      <c r="M20" s="18">
        <v>0.12658078662334005</v>
      </c>
      <c r="N20" s="18">
        <v>-0.35711414771925909</v>
      </c>
      <c r="O20" s="18">
        <v>4.5870077737441478E-2</v>
      </c>
      <c r="P20" s="18">
        <v>-0.35711414771925909</v>
      </c>
      <c r="Q20" s="18">
        <v>4.5870077737441478E-2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VARS'!AF21</f>
        <v>-2.0688179906048758E-2</v>
      </c>
      <c r="F21" s="16">
        <f>'ALL VARS'!AH21</f>
        <v>0.15148936729547727</v>
      </c>
      <c r="G21" s="16">
        <f>'ALL VARS'!J21</f>
        <v>37.892000799999991</v>
      </c>
      <c r="I21" s="18" t="s">
        <v>11</v>
      </c>
      <c r="J21" s="18">
        <v>0.19506010060204226</v>
      </c>
      <c r="K21" s="18">
        <v>0.1565696862588804</v>
      </c>
      <c r="L21" s="18">
        <v>1.2458356739600271</v>
      </c>
      <c r="M21" s="18">
        <v>0.21972980493192285</v>
      </c>
      <c r="N21" s="18">
        <v>-0.12091031845302896</v>
      </c>
      <c r="O21" s="18">
        <v>0.51103051965711344</v>
      </c>
      <c r="P21" s="18">
        <v>-0.12091031845302896</v>
      </c>
      <c r="Q21" s="18">
        <v>0.51103051965711344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VARS'!AF22</f>
        <v>-2.4350595179123964E-3</v>
      </c>
      <c r="F22" s="16">
        <f>'ALL VARS'!AH22</f>
        <v>1.6379448092407937E-2</v>
      </c>
      <c r="G22" s="16">
        <f>'ALL VARS'!J22</f>
        <v>38.488000700000001</v>
      </c>
      <c r="I22" s="18" t="s">
        <v>81</v>
      </c>
      <c r="J22" s="18">
        <v>4.9821825820482698E-3</v>
      </c>
      <c r="K22" s="18">
        <v>1.1348086987360182E-2</v>
      </c>
      <c r="L22" s="18">
        <v>0.43903281562765289</v>
      </c>
      <c r="M22" s="18">
        <v>0.66288820525336278</v>
      </c>
      <c r="N22" s="18">
        <v>-1.7919184129135415E-2</v>
      </c>
      <c r="O22" s="18">
        <v>2.7883549293231953E-2</v>
      </c>
      <c r="P22" s="18">
        <v>-1.7919184129135415E-2</v>
      </c>
      <c r="Q22" s="18">
        <v>2.7883549293231953E-2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VARS'!AF23</f>
        <v>-2.081331569868099E-3</v>
      </c>
      <c r="F23" s="16">
        <f>'ALL VARS'!AH23</f>
        <v>1.1999934470338168E-2</v>
      </c>
      <c r="G23" s="16">
        <f>'ALL VARS'!J23</f>
        <v>39.449000699999999</v>
      </c>
      <c r="I23" s="22" t="s">
        <v>3</v>
      </c>
      <c r="J23" s="22">
        <v>1.0252491735365683E-4</v>
      </c>
      <c r="K23" s="22">
        <v>8.8323290025543242E-5</v>
      </c>
      <c r="L23" s="22">
        <v>1.1607914211982644</v>
      </c>
      <c r="M23" s="22">
        <v>0.25228212668358518</v>
      </c>
      <c r="N23" s="22">
        <v>-7.5718698179618959E-5</v>
      </c>
      <c r="O23" s="22">
        <v>2.8076853288693264E-4</v>
      </c>
      <c r="P23" s="22">
        <v>-7.5718698179618959E-5</v>
      </c>
      <c r="Q23" s="22">
        <v>2.8076853288693264E-4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VARS'!AF24</f>
        <v>7.7778522529771551E-4</v>
      </c>
      <c r="F24" s="16">
        <f>'ALL VARS'!AH24</f>
        <v>-4.158435329144906E-3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VARS'!AF25</f>
        <v>-6.7563955073636547E-3</v>
      </c>
      <c r="F25" s="16">
        <f>'ALL VARS'!AH25</f>
        <v>3.0799088471424086E-2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VARS'!AF26</f>
        <v>-6.3269162402149609E-3</v>
      </c>
      <c r="F26" s="16">
        <f>'ALL VARS'!AH26</f>
        <v>2.520965479018129E-2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VARS'!AF27</f>
        <v>-3.9556462087361418E-4</v>
      </c>
      <c r="F27" s="16">
        <f>'ALL VARS'!AH27</f>
        <v>1.4982046858615565E-3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VARS'!AF28</f>
        <v>-8.140031331253848E-3</v>
      </c>
      <c r="F28" s="16">
        <f>'ALL VARS'!AH28</f>
        <v>2.6988348881306211E-2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VARS'!AF29</f>
        <v>1.3162351004172328E-2</v>
      </c>
      <c r="F29" s="16">
        <f>'ALL VARS'!AH29</f>
        <v>-4.3863653367297722E-2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VARS'!AF30</f>
        <v>1.4405125428120927E-2</v>
      </c>
      <c r="F30" s="16">
        <f>'ALL VARS'!AH30</f>
        <v>-4.3726892406904361E-2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VARS'!AF31</f>
        <v>4.1155622936773023E-2</v>
      </c>
      <c r="F31" s="16">
        <f>'ALL VARS'!AH31</f>
        <v>-7.2413710113291646E-2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VARS'!AF32</f>
        <v>-2.0035101760917378E-4</v>
      </c>
      <c r="F32" s="16">
        <f>'ALL VARS'!AH32</f>
        <v>1.2924546782398794E-5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VARS'!AF33</f>
        <v>-1.5987603277906658E-3</v>
      </c>
      <c r="F33" s="16">
        <f>'ALL VARS'!AH33</f>
        <v>-1.9272905243658774E-3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VARS'!AF34</f>
        <v>-4.8918912088724287E-3</v>
      </c>
      <c r="F34" s="16">
        <f>'ALL VARS'!AH34</f>
        <v>-1.5348264572158403E-2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VARS'!AF35</f>
        <v>1.5571135654968777E-2</v>
      </c>
      <c r="F35" s="16">
        <f>'ALL VARS'!AH35</f>
        <v>8.6801160021201404E-2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VARS'!AF36</f>
        <v>-5.4089375490141513E-2</v>
      </c>
      <c r="F36" s="16">
        <f>'ALL VARS'!AH36</f>
        <v>-0.4060755259733978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VARS'!AF37</f>
        <v>1.3995958575004331E-3</v>
      </c>
      <c r="F37" s="16">
        <f>'ALL VARS'!AH37</f>
        <v>1.3390621870305959E-2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VARS'!AF38</f>
        <v>-1.229785376597761E-3</v>
      </c>
      <c r="F38" s="16">
        <f>'ALL VARS'!AH38</f>
        <v>-1.3606949828930109E-2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VARS'!AF39</f>
        <v>-2.3250662403076824E-2</v>
      </c>
      <c r="F39" s="16">
        <f>'ALL VARS'!AH39</f>
        <v>-0.29527158458078673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VARS'!AF40</f>
        <v>-4.5690593554150019E-4</v>
      </c>
      <c r="F40" s="16">
        <f>'ALL VARS'!AH40</f>
        <v>-6.681560058277974E-3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VARS'!AF41</f>
        <v>-0.10928384121435053</v>
      </c>
      <c r="F41" s="16">
        <f>'ALL VARS'!AH41</f>
        <v>-1.828590942672665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VARS'!AF42</f>
        <v>-5.0732335573699357E-3</v>
      </c>
      <c r="F42" s="16">
        <f>'ALL VARS'!AH42</f>
        <v>-9.4724835143450981E-2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VARS'!AF43</f>
        <v>1.5601840371188122E-3</v>
      </c>
      <c r="F43" s="16">
        <f>'ALL VARS'!AH43</f>
        <v>3.2621094500618682E-2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VARS'!AF44</f>
        <v>-7.2403282774974895E-4</v>
      </c>
      <c r="F44" s="16">
        <f>'ALL VARS'!AH44</f>
        <v>-1.6992682214028571E-2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VARS'!AF45</f>
        <v>1.2187704907452288E-3</v>
      </c>
      <c r="F45" s="16">
        <f>'ALL VARS'!AH45</f>
        <v>2.7664251607525902E-2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VARS'!AF46</f>
        <v>-2.6469691173722942E-2</v>
      </c>
      <c r="F46" s="16">
        <f>'ALL VARS'!AH46</f>
        <v>-0.63912370551821795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VARS'!AF47</f>
        <v>-4.2337027771192637E-2</v>
      </c>
      <c r="F47" s="16">
        <f>'ALL VARS'!AH47</f>
        <v>-0.97969963914775027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VARS'!AF48</f>
        <v>8.5324104378155189E-3</v>
      </c>
      <c r="F48" s="16">
        <f>'ALL VARS'!AH48</f>
        <v>0.18518309985161052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VARS'!AJ2</f>
        <v>-6.2882420154539284E-3</v>
      </c>
      <c r="F2" s="16">
        <f>'ALL VARS'!AL2</f>
        <v>9.9300829211826286E-2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VARS'!AJ3</f>
        <v>-7.955194694050792E-2</v>
      </c>
      <c r="F3" s="16">
        <f>'ALL VARS'!AL3</f>
        <v>1.2030250267366753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VARS'!AJ4</f>
        <v>1.8791543484551196E-3</v>
      </c>
      <c r="F4" s="16">
        <f>'ALL VARS'!AL4</f>
        <v>-2.739902672849762E-2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VARS'!AJ5</f>
        <v>-7.1014121345705353E-2</v>
      </c>
      <c r="F5" s="16">
        <f>'ALL VARS'!AL5</f>
        <v>1.0385466506426355</v>
      </c>
      <c r="G5" s="16">
        <f>'ALL VARS'!J5</f>
        <v>30.590000099999997</v>
      </c>
      <c r="I5" s="18" t="s">
        <v>57</v>
      </c>
      <c r="J5" s="18">
        <v>0.47187005455539616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VARS'!AJ6</f>
        <v>2.2719340723243277E-3</v>
      </c>
      <c r="F6" s="16">
        <f>'ALL VARS'!AL6</f>
        <v>-3.3246367499458029E-2</v>
      </c>
      <c r="G6" s="16">
        <f>'ALL VARS'!J6</f>
        <v>30.581000099999997</v>
      </c>
      <c r="I6" s="18" t="s">
        <v>58</v>
      </c>
      <c r="J6" s="18">
        <v>0.22266134838611257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VARS'!AJ7</f>
        <v>-1.1964590791802263E-2</v>
      </c>
      <c r="F7" s="16">
        <f>'ALL VARS'!AL7</f>
        <v>0.17519162732174645</v>
      </c>
      <c r="G7" s="16">
        <f>'ALL VARS'!J7</f>
        <v>30.572000099999997</v>
      </c>
      <c r="I7" s="18" t="s">
        <v>58</v>
      </c>
      <c r="J7" s="18">
        <v>0.12481957204193279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VARS'!AJ8</f>
        <v>7.4225155210289398E-4</v>
      </c>
      <c r="F8" s="16">
        <f>'ALL VARS'!AL8</f>
        <v>-1.0726654921671332E-2</v>
      </c>
      <c r="G8" s="16">
        <f>'ALL VARS'!J8</f>
        <v>30.763000099999999</v>
      </c>
      <c r="I8" s="18" t="s">
        <v>59</v>
      </c>
      <c r="J8" s="18">
        <v>2.5796500048911576E-2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VARS'!AJ9</f>
        <v>9.5738014578356685E-3</v>
      </c>
      <c r="F9" s="16">
        <f>'ALL VARS'!AL9</f>
        <v>-0.13248713777284091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VARS'!AJ10</f>
        <v>0.13323096533654652</v>
      </c>
      <c r="F10" s="16">
        <f>'ALL VARS'!AL10</f>
        <v>-1.8026827774347356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VARS'!AJ11</f>
        <v>8.3453369595011574E-3</v>
      </c>
      <c r="F11" s="16">
        <f>'ALL VARS'!AL11</f>
        <v>-0.10292728694610004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VARS'!AJ12</f>
        <v>-2.7990992655536742E-2</v>
      </c>
      <c r="F12" s="16">
        <f>'ALL VARS'!AL12</f>
        <v>0.3409165389626011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VARS'!AJ13</f>
        <v>5.2180861460409036E-3</v>
      </c>
      <c r="F13" s="16">
        <f>'ALL VARS'!AL13</f>
        <v>-6.5667050053628787E-2</v>
      </c>
      <c r="G13" s="16">
        <f>'ALL VARS'!J13</f>
        <v>32.630000399999993</v>
      </c>
      <c r="I13" s="18" t="s">
        <v>62</v>
      </c>
      <c r="J13" s="18">
        <v>5</v>
      </c>
      <c r="K13" s="18">
        <v>8.0058129000107094E-3</v>
      </c>
      <c r="L13" s="18">
        <v>1.601162580002142E-3</v>
      </c>
      <c r="M13" s="18">
        <v>2.4061010250296566</v>
      </c>
      <c r="N13" s="18">
        <v>5.2959153587871476E-2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VARS'!AJ14</f>
        <v>2.1353841939272334E-3</v>
      </c>
      <c r="F14" s="16">
        <f>'ALL VARS'!AL14</f>
        <v>-2.6759585634011863E-2</v>
      </c>
      <c r="G14" s="16">
        <f>'ALL VARS'!J14</f>
        <v>32.683000299999996</v>
      </c>
      <c r="I14" s="18" t="s">
        <v>63</v>
      </c>
      <c r="J14" s="18">
        <v>42</v>
      </c>
      <c r="K14" s="18">
        <v>2.7949295420486794E-2</v>
      </c>
      <c r="L14" s="18">
        <v>6.6545941477349504E-4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VARS'!AJ15</f>
        <v>-1.4973801806830672E-2</v>
      </c>
      <c r="F15" s="16">
        <f>'ALL VARS'!AL15</f>
        <v>0.17907931169364516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VARS'!AJ16</f>
        <v>1.5917358586429852E-3</v>
      </c>
      <c r="F16" s="16">
        <f>'ALL VARS'!AL16</f>
        <v>-1.7770948705088097E-2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VARS'!AJ17</f>
        <v>6.1766729341750308E-2</v>
      </c>
      <c r="F17" s="16">
        <f>'ALL VARS'!AL17</f>
        <v>-0.62819905283104338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VARS'!AJ18</f>
        <v>-3.5822543275427178E-3</v>
      </c>
      <c r="F18" s="16">
        <f>'ALL VARS'!AL18</f>
        <v>3.3617696236263581E-2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VARS'!AJ19</f>
        <v>-3.8914218522612484E-4</v>
      </c>
      <c r="F19" s="16">
        <f>'ALL VARS'!AL19</f>
        <v>3.1927204107721667E-3</v>
      </c>
      <c r="G19" s="16">
        <f>'ALL VARS'!J19</f>
        <v>37.010000400000003</v>
      </c>
      <c r="I19" s="18" t="s">
        <v>53</v>
      </c>
      <c r="J19" s="18">
        <v>0.29849152066266404</v>
      </c>
      <c r="K19" s="18">
        <v>0.12609193474595665</v>
      </c>
      <c r="L19" s="18">
        <v>2.3672530781928991</v>
      </c>
      <c r="M19" s="18">
        <v>2.2603921660673029E-2</v>
      </c>
      <c r="N19" s="18">
        <v>4.4027694278871488E-2</v>
      </c>
      <c r="O19" s="18">
        <v>0.55295534704645655</v>
      </c>
      <c r="P19" s="18">
        <v>4.4027694278871488E-2</v>
      </c>
      <c r="Q19" s="18">
        <v>0.55295534704645655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VARS'!AJ20</f>
        <v>2.1912741931488986E-2</v>
      </c>
      <c r="F20" s="16">
        <f>'ALL VARS'!AL20</f>
        <v>-0.16255986258460411</v>
      </c>
      <c r="G20" s="16">
        <f>'ALL VARS'!J20</f>
        <v>37.796000499999998</v>
      </c>
      <c r="I20" s="18" t="s">
        <v>54</v>
      </c>
      <c r="J20" s="18">
        <v>-0.18329367767868918</v>
      </c>
      <c r="K20" s="18">
        <v>0.10042773680678063</v>
      </c>
      <c r="L20" s="18">
        <v>-1.8251300239030543</v>
      </c>
      <c r="M20" s="18">
        <v>7.50986665809181E-2</v>
      </c>
      <c r="N20" s="18">
        <v>-0.38596505578391976</v>
      </c>
      <c r="O20" s="18">
        <v>1.9377700426541411E-2</v>
      </c>
      <c r="P20" s="18">
        <v>-0.38596505578391976</v>
      </c>
      <c r="Q20" s="18">
        <v>1.9377700426541411E-2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VARS'!AJ21</f>
        <v>-3.4533069211431914E-3</v>
      </c>
      <c r="F21" s="16">
        <f>'ALL VARS'!AL21</f>
        <v>2.5286868295655171E-2</v>
      </c>
      <c r="G21" s="16">
        <f>'ALL VARS'!J21</f>
        <v>37.892000799999991</v>
      </c>
      <c r="I21" s="18" t="s">
        <v>12</v>
      </c>
      <c r="J21" s="18">
        <v>1.3534162685803305E-2</v>
      </c>
      <c r="K21" s="18">
        <v>8.9472703605606149E-2</v>
      </c>
      <c r="L21" s="18">
        <v>0.15126582902268851</v>
      </c>
      <c r="M21" s="18">
        <v>0.88049025152920291</v>
      </c>
      <c r="N21" s="18">
        <v>-0.1670290633623685</v>
      </c>
      <c r="O21" s="18">
        <v>0.19409738873397508</v>
      </c>
      <c r="P21" s="18">
        <v>-0.1670290633623685</v>
      </c>
      <c r="Q21" s="18">
        <v>0.19409738873397508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VARS'!AJ22</f>
        <v>-2.4350351032987961E-3</v>
      </c>
      <c r="F22" s="16">
        <f>'ALL VARS'!AL22</f>
        <v>1.6379283867306568E-2</v>
      </c>
      <c r="G22" s="16">
        <f>'ALL VARS'!J22</f>
        <v>38.488000700000001</v>
      </c>
      <c r="I22" s="18" t="s">
        <v>82</v>
      </c>
      <c r="J22" s="18">
        <v>-4.8211113708535895E-3</v>
      </c>
      <c r="K22" s="18">
        <v>6.9175107297028129E-3</v>
      </c>
      <c r="L22" s="18">
        <v>-0.69694309979924118</v>
      </c>
      <c r="M22" s="18">
        <v>0.48967822534741501</v>
      </c>
      <c r="N22" s="18">
        <v>-1.8781213203517114E-2</v>
      </c>
      <c r="O22" s="18">
        <v>9.1389904618099337E-3</v>
      </c>
      <c r="P22" s="18">
        <v>-1.8781213203517114E-2</v>
      </c>
      <c r="Q22" s="18">
        <v>9.1389904618099337E-3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VARS'!AJ23</f>
        <v>-1.544661453000408E-2</v>
      </c>
      <c r="F23" s="16">
        <f>'ALL VARS'!AL23</f>
        <v>8.9057584496433279E-2</v>
      </c>
      <c r="G23" s="16">
        <f>'ALL VARS'!J23</f>
        <v>39.449000699999999</v>
      </c>
      <c r="I23" s="22" t="s">
        <v>3</v>
      </c>
      <c r="J23" s="22">
        <v>7.0173271202552597E-5</v>
      </c>
      <c r="K23" s="22">
        <v>8.7625774363870473E-5</v>
      </c>
      <c r="L23" s="22">
        <v>0.80082911348839592</v>
      </c>
      <c r="M23" s="22">
        <v>0.42773772317071346</v>
      </c>
      <c r="N23" s="22">
        <v>-1.0666270073647208E-4</v>
      </c>
      <c r="O23" s="22">
        <v>2.4700924314157726E-4</v>
      </c>
      <c r="P23" s="22">
        <v>-1.0666270073647208E-4</v>
      </c>
      <c r="Q23" s="22">
        <v>2.4700924314157726E-4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VARS'!AJ24</f>
        <v>1.4845565839900461E-3</v>
      </c>
      <c r="F24" s="16">
        <f>'ALL VARS'!AL24</f>
        <v>-7.937194415869573E-3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VARS'!AJ25</f>
        <v>-2.6888049640044299E-2</v>
      </c>
      <c r="F25" s="16">
        <f>'ALL VARS'!AL25</f>
        <v>0.12256941127635411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VARS'!AJ26</f>
        <v>-6.3269952521189804E-3</v>
      </c>
      <c r="F26" s="16">
        <f>'ALL VARS'!AL26</f>
        <v>2.5209969613825073E-2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VARS'!AJ27</f>
        <v>-2.5817265097796758E-3</v>
      </c>
      <c r="F27" s="16">
        <f>'ALL VARS'!AL27</f>
        <v>9.7783132020817197E-3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VARS'!AJ28</f>
        <v>-8.1400112426490544E-3</v>
      </c>
      <c r="F28" s="16">
        <f>'ALL VARS'!AL28</f>
        <v>2.6988282277351922E-2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VARS'!AJ29</f>
        <v>2.1608973534223353E-2</v>
      </c>
      <c r="F29" s="16">
        <f>'ALL VARS'!AL29</f>
        <v>-7.2012099086844389E-2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VARS'!AJ30</f>
        <v>9.4013157234317229E-4</v>
      </c>
      <c r="F30" s="16">
        <f>'ALL VARS'!AL30</f>
        <v>-2.8537781442661255E-3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VARS'!AJ31</f>
        <v>3.065883282689813E-2</v>
      </c>
      <c r="F31" s="16">
        <f>'ALL VARS'!AL31</f>
        <v>-5.3944508048137656E-2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VARS'!AJ32</f>
        <v>-7.0773547212972065E-4</v>
      </c>
      <c r="F32" s="16">
        <f>'ALL VARS'!AL32</f>
        <v>4.5655671372466433E-5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VARS'!AJ33</f>
        <v>-2.8142849398185982E-3</v>
      </c>
      <c r="F33" s="16">
        <f>'ALL VARS'!AL33</f>
        <v>-3.3925940011742422E-3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VARS'!AJ34</f>
        <v>-3.5025274044739395E-2</v>
      </c>
      <c r="F34" s="16">
        <f>'ALL VARS'!AL34</f>
        <v>-0.1098914815963218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VARS'!AJ35</f>
        <v>1.6972907917348272E-3</v>
      </c>
      <c r="F35" s="16">
        <f>'ALL VARS'!AL35</f>
        <v>9.4615327282743262E-3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VARS'!AJ36</f>
        <v>-3.3556303863284336E-2</v>
      </c>
      <c r="F36" s="16">
        <f>'ALL VARS'!AL36</f>
        <v>-0.25192366555405937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VARS'!AJ37</f>
        <v>1.8582250289662171E-2</v>
      </c>
      <c r="F37" s="16">
        <f>'ALL VARS'!AL37</f>
        <v>0.17778552701108757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VARS'!AJ38</f>
        <v>-1.2298226270798164E-3</v>
      </c>
      <c r="F38" s="16">
        <f>'ALL VARS'!AL38</f>
        <v>-1.360736198657166E-2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VARS'!AJ39</f>
        <v>-0.21216640851528945</v>
      </c>
      <c r="F39" s="16">
        <f>'ALL VARS'!AL39</f>
        <v>-2.6944054561143957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VARS'!AJ40</f>
        <v>-2.3702429570059817E-3</v>
      </c>
      <c r="F40" s="16">
        <f>'ALL VARS'!AL40</f>
        <v>-3.4661227701445335E-2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VARS'!AJ41</f>
        <v>-8.8853513818220962E-3</v>
      </c>
      <c r="F41" s="16">
        <f>'ALL VARS'!AL41</f>
        <v>-0.14867406634614505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VARS'!AJ42</f>
        <v>-2.5756377406256289E-2</v>
      </c>
      <c r="F42" s="16">
        <f>'ALL VARS'!AL42</f>
        <v>-0.48090997114766321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VARS'!AJ43</f>
        <v>7.8007196681707273E-3</v>
      </c>
      <c r="F43" s="16">
        <f>'ALL VARS'!AL43</f>
        <v>0.16310127998627491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VARS'!AJ44</f>
        <v>-6.1998123844352699E-3</v>
      </c>
      <c r="F44" s="16">
        <f>'ALL VARS'!AL44</f>
        <v>-0.14550644335110235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VARS'!AJ45</f>
        <v>1.4120947253207927E-2</v>
      </c>
      <c r="F45" s="16">
        <f>'ALL VARS'!AL45</f>
        <v>0.32052420100070028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VARS'!AJ46</f>
        <v>-3.0801032571442195E-2</v>
      </c>
      <c r="F46" s="16">
        <f>'ALL VARS'!AL46</f>
        <v>-0.74370607279278977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VARS'!AJ47</f>
        <v>-5.0851997492975514E-3</v>
      </c>
      <c r="F47" s="16">
        <f>'ALL VARS'!AL47</f>
        <v>-0.11767402252009102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VARS'!AJ48</f>
        <v>4.515478735063359E-3</v>
      </c>
      <c r="F48" s="16">
        <f>'ALL VARS'!AL48</f>
        <v>9.800165563614692E-2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VARS'!AN2</f>
        <v>-6.3397233158746487E-3</v>
      </c>
      <c r="F2" s="16">
        <f>'ALL VARS'!AP2</f>
        <v>0.10011379662117809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VARS'!AN3</f>
        <v>-3.8919147226137089E-2</v>
      </c>
      <c r="F3" s="16">
        <f>'ALL VARS'!AP3</f>
        <v>0.58855515085390109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VARS'!AN4</f>
        <v>1.3922239934180766E-4</v>
      </c>
      <c r="F4" s="16">
        <f>'ALL VARS'!AP4</f>
        <v>-2.0299334346365757E-3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VARS'!AN5</f>
        <v>-3.5611198346530977E-3</v>
      </c>
      <c r="F5" s="16">
        <f>'ALL VARS'!AP5</f>
        <v>5.207962876583129E-2</v>
      </c>
      <c r="G5" s="16">
        <f>'ALL VARS'!J5</f>
        <v>30.590000099999997</v>
      </c>
      <c r="I5" s="18" t="s">
        <v>57</v>
      </c>
      <c r="J5" s="18">
        <v>0.46216835972282794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VARS'!AN6</f>
        <v>1.7890036048415457E-2</v>
      </c>
      <c r="F6" s="16">
        <f>'ALL VARS'!AP6</f>
        <v>-0.26179400198689617</v>
      </c>
      <c r="G6" s="16">
        <f>'ALL VARS'!J6</f>
        <v>30.581000099999997</v>
      </c>
      <c r="I6" s="18" t="s">
        <v>58</v>
      </c>
      <c r="J6" s="18">
        <v>0.21359959272888926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VARS'!AN7</f>
        <v>-0.14429406955611179</v>
      </c>
      <c r="F7" s="16">
        <f>'ALL VARS'!AP7</f>
        <v>2.1128271997177621</v>
      </c>
      <c r="G7" s="16">
        <f>'ALL VARS'!J7</f>
        <v>30.572000099999997</v>
      </c>
      <c r="I7" s="18" t="s">
        <v>58</v>
      </c>
      <c r="J7" s="18">
        <v>0.1148947920364025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VARS'!AN8</f>
        <v>7.4223890153826959E-4</v>
      </c>
      <c r="F8" s="16">
        <f>'ALL VARS'!AP8</f>
        <v>-1.0726472101923894E-2</v>
      </c>
      <c r="G8" s="16">
        <f>'ALL VARS'!J8</f>
        <v>30.763000099999999</v>
      </c>
      <c r="I8" s="18" t="s">
        <v>59</v>
      </c>
      <c r="J8" s="18">
        <v>2.5946424575558503E-2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VARS'!AN9</f>
        <v>1.514711407785909E-3</v>
      </c>
      <c r="F9" s="16">
        <f>'ALL VARS'!AP9</f>
        <v>-2.0961347470307038E-2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VARS'!AN10</f>
        <v>8.7612305217810056E-3</v>
      </c>
      <c r="F10" s="16">
        <f>'ALL VARS'!AP10</f>
        <v>-0.118543908548997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VARS'!AN11</f>
        <v>0.11475578352035808</v>
      </c>
      <c r="F11" s="16">
        <f>'ALL VARS'!AP11</f>
        <v>-1.4153414675098352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VARS'!AN12</f>
        <v>-1.5159416219432191E-2</v>
      </c>
      <c r="F12" s="16">
        <f>'ALL VARS'!AP12</f>
        <v>0.18463424194425879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VARS'!AN13</f>
        <v>5.2184187411698337E-3</v>
      </c>
      <c r="F13" s="16">
        <f>'ALL VARS'!AP13</f>
        <v>-6.5671235599893796E-2</v>
      </c>
      <c r="G13" s="16">
        <f>'ALL VARS'!J13</f>
        <v>32.630000399999993</v>
      </c>
      <c r="I13" s="18" t="s">
        <v>62</v>
      </c>
      <c r="J13" s="18">
        <v>5</v>
      </c>
      <c r="K13" s="18">
        <v>7.6799964937813645E-3</v>
      </c>
      <c r="L13" s="18">
        <v>1.5359992987562729E-3</v>
      </c>
      <c r="M13" s="18">
        <v>2.2815814467198114</v>
      </c>
      <c r="N13" s="18">
        <v>6.4159275393999821E-2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VARS'!AN14</f>
        <v>2.1357551362771866E-3</v>
      </c>
      <c r="F14" s="16">
        <f>'ALL VARS'!AP14</f>
        <v>-2.6764234101302707E-2</v>
      </c>
      <c r="G14" s="16">
        <f>'ALL VARS'!J14</f>
        <v>32.683000299999996</v>
      </c>
      <c r="I14" s="18" t="s">
        <v>63</v>
      </c>
      <c r="J14" s="18">
        <v>42</v>
      </c>
      <c r="K14" s="18">
        <v>2.8275111826716139E-2</v>
      </c>
      <c r="L14" s="18">
        <v>6.732169482551462E-4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VARS'!AN15</f>
        <v>-1.6612901626957308E-2</v>
      </c>
      <c r="F15" s="16">
        <f>'ALL VARS'!AP15</f>
        <v>0.19868214011171298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VARS'!AN16</f>
        <v>2.0653575991413892E-2</v>
      </c>
      <c r="F16" s="16">
        <f>'ALL VARS'!AP16</f>
        <v>-0.23058702706676804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VARS'!AN17</f>
        <v>6.8371708610143536E-2</v>
      </c>
      <c r="F17" s="16">
        <f>'ALL VARS'!AP17</f>
        <v>-0.69537505137575972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VARS'!AN18</f>
        <v>-3.7551567646014278E-2</v>
      </c>
      <c r="F18" s="16">
        <f>'ALL VARS'!AP18</f>
        <v>0.35240300628938453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VARS'!AN19</f>
        <v>-3.0322835667519542E-3</v>
      </c>
      <c r="F19" s="16">
        <f>'ALL VARS'!AP19</f>
        <v>2.4878396643613354E-2</v>
      </c>
      <c r="G19" s="16">
        <f>'ALL VARS'!J19</f>
        <v>37.010000400000003</v>
      </c>
      <c r="I19" s="18" t="s">
        <v>53</v>
      </c>
      <c r="J19" s="18">
        <v>0.3075423121546958</v>
      </c>
      <c r="K19" s="18">
        <v>0.12621635430100722</v>
      </c>
      <c r="L19" s="18">
        <v>2.4366280729457066</v>
      </c>
      <c r="M19" s="18">
        <v>1.9144042000909765E-2</v>
      </c>
      <c r="N19" s="18">
        <v>5.2827396943382843E-2</v>
      </c>
      <c r="O19" s="18">
        <v>0.56225722736600869</v>
      </c>
      <c r="P19" s="18">
        <v>5.2827396943382843E-2</v>
      </c>
      <c r="Q19" s="18">
        <v>0.56225722736600869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VARS'!AN20</f>
        <v>5.4628504603161543E-2</v>
      </c>
      <c r="F20" s="16">
        <f>'ALL VARS'!AP20</f>
        <v>-0.40526202650755744</v>
      </c>
      <c r="G20" s="16">
        <f>'ALL VARS'!J20</f>
        <v>37.796000499999998</v>
      </c>
      <c r="I20" s="18" t="s">
        <v>54</v>
      </c>
      <c r="J20" s="18">
        <v>-0.18209618722966631</v>
      </c>
      <c r="K20" s="18">
        <v>0.10444965082797826</v>
      </c>
      <c r="L20" s="18">
        <v>-1.7433872280680651</v>
      </c>
      <c r="M20" s="18">
        <v>8.85830353500658E-2</v>
      </c>
      <c r="N20" s="18">
        <v>-0.39288411643138477</v>
      </c>
      <c r="O20" s="18">
        <v>2.8691741972052182E-2</v>
      </c>
      <c r="P20" s="18">
        <v>-0.39288411643138477</v>
      </c>
      <c r="Q20" s="18">
        <v>2.8691741972052182E-2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VARS'!AN21</f>
        <v>-4.0557135635876235E-2</v>
      </c>
      <c r="F21" s="16">
        <f>'ALL VARS'!AP21</f>
        <v>0.29697995883143807</v>
      </c>
      <c r="G21" s="16">
        <f>'ALL VARS'!J21</f>
        <v>37.892000799999991</v>
      </c>
      <c r="I21" s="18" t="s">
        <v>13</v>
      </c>
      <c r="J21" s="18">
        <v>2.3592088484275329E-3</v>
      </c>
      <c r="K21" s="18">
        <v>0.11625369626065711</v>
      </c>
      <c r="L21" s="18">
        <v>2.0293624412060458E-2</v>
      </c>
      <c r="M21" s="18">
        <v>0.98390524687270853</v>
      </c>
      <c r="N21" s="18">
        <v>-0.2322502484602178</v>
      </c>
      <c r="O21" s="18">
        <v>0.23696866615707285</v>
      </c>
      <c r="P21" s="18">
        <v>-0.2322502484602178</v>
      </c>
      <c r="Q21" s="18">
        <v>0.23696866615707285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VARS'!AN22</f>
        <v>-2.2773682925267318E-2</v>
      </c>
      <c r="F22" s="16">
        <f>'ALL VARS'!AP22</f>
        <v>0.15318736753800885</v>
      </c>
      <c r="G22" s="16">
        <f>'ALL VARS'!J22</f>
        <v>38.488000700000001</v>
      </c>
      <c r="I22" s="18" t="s">
        <v>83</v>
      </c>
      <c r="J22" s="18">
        <v>-2.9564218382835048E-4</v>
      </c>
      <c r="K22" s="18">
        <v>8.660740201387478E-3</v>
      </c>
      <c r="L22" s="18">
        <v>-3.4135902584976244E-2</v>
      </c>
      <c r="M22" s="18">
        <v>0.97293049807300802</v>
      </c>
      <c r="N22" s="18">
        <v>-1.7773723517112563E-2</v>
      </c>
      <c r="O22" s="18">
        <v>1.7182439149455862E-2</v>
      </c>
      <c r="P22" s="18">
        <v>-1.7773723517112563E-2</v>
      </c>
      <c r="Q22" s="18">
        <v>1.7182439149455862E-2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VARS'!AN23</f>
        <v>-1.4519914710862706E-2</v>
      </c>
      <c r="F23" s="16">
        <f>'ALL VARS'!AP23</f>
        <v>8.3714688984558902E-2</v>
      </c>
      <c r="G23" s="16">
        <f>'ALL VARS'!J23</f>
        <v>39.449000699999999</v>
      </c>
      <c r="I23" s="22" t="s">
        <v>3</v>
      </c>
      <c r="J23" s="22">
        <v>7.7155011165083603E-5</v>
      </c>
      <c r="K23" s="22">
        <v>9.1587861186132689E-5</v>
      </c>
      <c r="L23" s="22">
        <v>0.8424152520417808</v>
      </c>
      <c r="M23" s="22">
        <v>0.40432727141009894</v>
      </c>
      <c r="N23" s="22">
        <v>-1.0767677569492654E-4</v>
      </c>
      <c r="O23" s="22">
        <v>2.6198679802509373E-4</v>
      </c>
      <c r="P23" s="22">
        <v>-1.0767677569492654E-4</v>
      </c>
      <c r="Q23" s="22">
        <v>2.6198679802509373E-4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VARS'!AN24</f>
        <v>8.9381489120113447E-5</v>
      </c>
      <c r="F24" s="16">
        <f>'ALL VARS'!AP24</f>
        <v>-4.778788925778178E-4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VARS'!AN25</f>
        <v>-3.1281771812395991E-2</v>
      </c>
      <c r="F25" s="16">
        <f>'ALL VARS'!AP25</f>
        <v>0.14259823252544054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VARS'!AN26</f>
        <v>-6.1225075935876117E-2</v>
      </c>
      <c r="F26" s="16">
        <f>'ALL VARS'!AP26</f>
        <v>0.24395186695147911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VARS'!AN27</f>
        <v>-2.6997364525625095E-3</v>
      </c>
      <c r="F27" s="16">
        <f>'ALL VARS'!AP27</f>
        <v>1.0225276959520446E-2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VARS'!AN28</f>
        <v>-8.1402878364131015E-3</v>
      </c>
      <c r="F28" s="16">
        <f>'ALL VARS'!AP28</f>
        <v>2.6989199326525163E-2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VARS'!AN29</f>
        <v>6.1397199446457428E-3</v>
      </c>
      <c r="F29" s="16">
        <f>'ALL VARS'!AP29</f>
        <v>-2.0460672059182783E-2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VARS'!AN30</f>
        <v>9.4000512138063682E-4</v>
      </c>
      <c r="F30" s="16">
        <f>'ALL VARS'!AP30</f>
        <v>-2.8533943011915808E-3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VARS'!AN31</f>
        <v>4.8965542750142421E-2</v>
      </c>
      <c r="F31" s="16">
        <f>'ALL VARS'!AP31</f>
        <v>-8.6155338328766012E-2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VARS'!AN32</f>
        <v>-2.0267887700229793E-3</v>
      </c>
      <c r="F32" s="16">
        <f>'ALL VARS'!AP32</f>
        <v>1.3074715860591197E-4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VARS'!AN33</f>
        <v>-2.5985842192130233E-4</v>
      </c>
      <c r="F33" s="16">
        <f>'ALL VARS'!AP33</f>
        <v>-3.1325688130983672E-4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VARS'!AN34</f>
        <v>-4.8921556490696301E-3</v>
      </c>
      <c r="F34" s="16">
        <f>'ALL VARS'!AP34</f>
        <v>-1.5349094250893449E-2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VARS'!AN35</f>
        <v>2.2879510431230682E-2</v>
      </c>
      <c r="F35" s="16">
        <f>'ALL VARS'!AP35</f>
        <v>0.12754163152603937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VARS'!AN36</f>
        <v>-6.1818944325704164E-3</v>
      </c>
      <c r="F36" s="16">
        <f>'ALL VARS'!AP36</f>
        <v>-4.641051981965643E-2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VARS'!AN37</f>
        <v>1.754303456471628E-2</v>
      </c>
      <c r="F37" s="16">
        <f>'ALL VARS'!AP37</f>
        <v>0.16784283909882217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VARS'!AN38</f>
        <v>-2.1440254072444168E-2</v>
      </c>
      <c r="F38" s="16">
        <f>'ALL VARS'!AP38</f>
        <v>-0.23722550864148353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VARS'!AN39</f>
        <v>-7.1727615209948624E-3</v>
      </c>
      <c r="F39" s="16">
        <f>'ALL VARS'!AP39</f>
        <v>-9.109042243217888E-2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VARS'!AN40</f>
        <v>-2.4249151290442516E-3</v>
      </c>
      <c r="F40" s="16">
        <f>'ALL VARS'!AP40</f>
        <v>-3.5460725743766186E-2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VARS'!AN41</f>
        <v>-7.7534703539617722E-2</v>
      </c>
      <c r="F41" s="16">
        <f>'ALL VARS'!AP41</f>
        <v>-1.2973487668434693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VARS'!AN42</f>
        <v>-4.1269149245518721E-2</v>
      </c>
      <c r="F42" s="16">
        <f>'ALL VARS'!AP42</f>
        <v>-0.77055655226305975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VARS'!AN43</f>
        <v>1.5602937225845893E-3</v>
      </c>
      <c r="F43" s="16">
        <f>'ALL VARS'!AP43</f>
        <v>3.2623387858235049E-2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VARS'!AN44</f>
        <v>-1.6716745046733018E-2</v>
      </c>
      <c r="F44" s="16">
        <f>'ALL VARS'!AP44</f>
        <v>-0.39233350387567273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VARS'!AN45</f>
        <v>1.1969880910909085E-2</v>
      </c>
      <c r="F45" s="16">
        <f>'ALL VARS'!AP45</f>
        <v>0.27169823994428427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VARS'!AN46</f>
        <v>-4.4780295580904822E-2</v>
      </c>
      <c r="F46" s="16">
        <f>'ALL VARS'!AP46</f>
        <v>-1.0812422501657608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VARS'!AN47</f>
        <v>-4.2337292064454357E-2</v>
      </c>
      <c r="F47" s="16">
        <f>'ALL VARS'!AP47</f>
        <v>-0.97970575502377577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VARS'!AN48</f>
        <v>1.0839097112257997E-2</v>
      </c>
      <c r="F48" s="16">
        <f>'ALL VARS'!AP48</f>
        <v>0.2352462551431676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VARS'!AR2</f>
        <v>-1.0995213328620782E-2</v>
      </c>
      <c r="F2" s="16">
        <f>'ALL VARS'!AT2</f>
        <v>0.17363100819111082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VARS'!AR3</f>
        <v>-3.794859758094106E-2</v>
      </c>
      <c r="F3" s="16">
        <f>'ALL VARS'!AT3</f>
        <v>0.57387800519291055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VARS'!AR4</f>
        <v>1.3921325823791918E-4</v>
      </c>
      <c r="F4" s="16">
        <f>'ALL VARS'!AT4</f>
        <v>-2.0298001526898456E-3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VARS'!AR5</f>
        <v>-6.9139850899143054E-2</v>
      </c>
      <c r="F5" s="16">
        <f>'ALL VARS'!AT5</f>
        <v>1.0111363657895727</v>
      </c>
      <c r="G5" s="16">
        <f>'ALL VARS'!J5</f>
        <v>30.590000099999997</v>
      </c>
      <c r="I5" s="18" t="s">
        <v>57</v>
      </c>
      <c r="J5" s="18">
        <v>0.47074845925041964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VARS'!AR6</f>
        <v>1.7890084463399868E-2</v>
      </c>
      <c r="F6" s="16">
        <f>'ALL VARS'!AT6</f>
        <v>-0.26179471046800212</v>
      </c>
      <c r="G6" s="16">
        <f>'ALL VARS'!J6</f>
        <v>30.581000099999997</v>
      </c>
      <c r="I6" s="18" t="s">
        <v>58</v>
      </c>
      <c r="J6" s="18">
        <v>0.221604111886644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VARS'!AR7</f>
        <v>-1.196396563690969E-2</v>
      </c>
      <c r="F7" s="16">
        <f>'ALL VARS'!AT7</f>
        <v>0.1751824734856593</v>
      </c>
      <c r="G7" s="16">
        <f>'ALL VARS'!J7</f>
        <v>30.572000099999997</v>
      </c>
      <c r="I7" s="18" t="s">
        <v>58</v>
      </c>
      <c r="J7" s="18">
        <v>0.12366164635203868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VARS'!AR8</f>
        <v>1.6900038817622122E-2</v>
      </c>
      <c r="F8" s="16">
        <f>'ALL VARS'!AT8</f>
        <v>-0.24423106162040462</v>
      </c>
      <c r="G8" s="16">
        <f>'ALL VARS'!J8</f>
        <v>30.763000099999999</v>
      </c>
      <c r="I8" s="18" t="s">
        <v>59</v>
      </c>
      <c r="J8" s="18">
        <v>2.5814036636307169E-2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VARS'!AR9</f>
        <v>1.5146466565282085E-3</v>
      </c>
      <c r="F9" s="16">
        <f>'ALL VARS'!AT9</f>
        <v>-2.0960451409443678E-2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VARS'!AR10</f>
        <v>0.29459082105573497</v>
      </c>
      <c r="F10" s="16">
        <f>'ALL VARS'!AT10</f>
        <v>-3.9859637597466118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VARS'!AR11</f>
        <v>8.3452897586769031E-3</v>
      </c>
      <c r="F11" s="16">
        <f>'ALL VARS'!AT11</f>
        <v>-0.10292670479431808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VARS'!AR12</f>
        <v>-4.4681785963683565E-2</v>
      </c>
      <c r="F12" s="16">
        <f>'ALL VARS'!AT12</f>
        <v>0.54420220150333332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VARS'!AR13</f>
        <v>7.8871721243973542E-2</v>
      </c>
      <c r="F13" s="16">
        <f>'ALL VARS'!AT13</f>
        <v>-0.99256185539855757</v>
      </c>
      <c r="G13" s="16">
        <f>'ALL VARS'!J13</f>
        <v>32.630000399999993</v>
      </c>
      <c r="I13" s="18" t="s">
        <v>62</v>
      </c>
      <c r="J13" s="18">
        <v>5</v>
      </c>
      <c r="K13" s="18">
        <v>7.967799847151933E-3</v>
      </c>
      <c r="L13" s="18">
        <v>1.5935599694303867E-3</v>
      </c>
      <c r="M13" s="18">
        <v>2.3914239120142002</v>
      </c>
      <c r="N13" s="18">
        <v>5.417025562344796E-2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VARS'!AR14</f>
        <v>4.8716392446393718E-2</v>
      </c>
      <c r="F14" s="16">
        <f>'ALL VARS'!AT14</f>
        <v>-0.61048989645833474</v>
      </c>
      <c r="G14" s="16">
        <f>'ALL VARS'!J14</f>
        <v>32.683000299999996</v>
      </c>
      <c r="I14" s="18" t="s">
        <v>63</v>
      </c>
      <c r="J14" s="18">
        <v>42</v>
      </c>
      <c r="K14" s="18">
        <v>2.798730847334557E-2</v>
      </c>
      <c r="L14" s="18">
        <v>6.6636448746060879E-4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VARS'!AR15</f>
        <v>-2.6454948922483507E-3</v>
      </c>
      <c r="F15" s="16">
        <f>'ALL VARS'!AT15</f>
        <v>3.1638818952229898E-2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VARS'!AR16</f>
        <v>1.3179888306233662E-2</v>
      </c>
      <c r="F16" s="16">
        <f>'ALL VARS'!AT16</f>
        <v>-0.14714697652696565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VARS'!AR17</f>
        <v>1.8026310506875309E-2</v>
      </c>
      <c r="F17" s="16">
        <f>'ALL VARS'!AT17</f>
        <v>-0.18333674628944599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VARS'!AR18</f>
        <v>-4.7954920898685659E-2</v>
      </c>
      <c r="F18" s="16">
        <f>'ALL VARS'!AT18</f>
        <v>0.45003336346359346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VARS'!AR19</f>
        <v>-5.3088061077177914E-3</v>
      </c>
      <c r="F19" s="16">
        <f>'ALL VARS'!AT19</f>
        <v>4.3556145441012536E-2</v>
      </c>
      <c r="G19" s="16">
        <f>'ALL VARS'!J19</f>
        <v>37.010000400000003</v>
      </c>
      <c r="I19" s="18" t="s">
        <v>53</v>
      </c>
      <c r="J19" s="18">
        <v>0.3134768857525243</v>
      </c>
      <c r="K19" s="18">
        <v>0.12593755472906223</v>
      </c>
      <c r="L19" s="18">
        <v>2.4891454056490758</v>
      </c>
      <c r="M19" s="18">
        <v>1.6851873344827687E-2</v>
      </c>
      <c r="N19" s="18">
        <v>5.9324610856107129E-2</v>
      </c>
      <c r="O19" s="18">
        <v>0.56762916064894142</v>
      </c>
      <c r="P19" s="18">
        <v>5.9324610856107129E-2</v>
      </c>
      <c r="Q19" s="18">
        <v>0.56762916064894142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VARS'!AR20</f>
        <v>3.609258504372076E-3</v>
      </c>
      <c r="F20" s="16">
        <f>'ALL VARS'!AT20</f>
        <v>-2.6775314944037697E-2</v>
      </c>
      <c r="G20" s="16">
        <f>'ALL VARS'!J20</f>
        <v>37.796000499999998</v>
      </c>
      <c r="I20" s="18" t="s">
        <v>54</v>
      </c>
      <c r="J20" s="18">
        <v>-0.17460496931384473</v>
      </c>
      <c r="K20" s="18">
        <v>0.10098489010043323</v>
      </c>
      <c r="L20" s="18">
        <v>-1.7290207390451542</v>
      </c>
      <c r="M20" s="18">
        <v>9.1150564547920532E-2</v>
      </c>
      <c r="N20" s="18">
        <v>-0.37840072828666066</v>
      </c>
      <c r="O20" s="18">
        <v>2.9190789658971206E-2</v>
      </c>
      <c r="P20" s="18">
        <v>-0.37840072828666066</v>
      </c>
      <c r="Q20" s="18">
        <v>2.9190789658971206E-2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VARS'!AR21</f>
        <v>-2.2304570133900411E-2</v>
      </c>
      <c r="F21" s="16">
        <f>'ALL VARS'!AT21</f>
        <v>0.16332539801600701</v>
      </c>
      <c r="G21" s="16">
        <f>'ALL VARS'!J21</f>
        <v>37.892000799999991</v>
      </c>
      <c r="I21" s="18" t="s">
        <v>14</v>
      </c>
      <c r="J21" s="18">
        <v>2.4490441522060254E-2</v>
      </c>
      <c r="K21" s="18">
        <v>6.0412134089997231E-2</v>
      </c>
      <c r="L21" s="18">
        <v>0.40538944519947478</v>
      </c>
      <c r="M21" s="18">
        <v>0.68724896751876696</v>
      </c>
      <c r="N21" s="18">
        <v>-9.7426180913177646E-2</v>
      </c>
      <c r="O21" s="18">
        <v>0.14640706395729816</v>
      </c>
      <c r="P21" s="18">
        <v>-9.7426180913177646E-2</v>
      </c>
      <c r="Q21" s="18">
        <v>0.14640706395729816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VARS'!AR22</f>
        <v>-7.90261940704437E-2</v>
      </c>
      <c r="F22" s="16">
        <f>'ALL VARS'!AT22</f>
        <v>0.53157035144138753</v>
      </c>
      <c r="G22" s="16">
        <f>'ALL VARS'!J22</f>
        <v>38.488000700000001</v>
      </c>
      <c r="I22" s="18" t="s">
        <v>84</v>
      </c>
      <c r="J22" s="18">
        <v>2.5347161496091742E-3</v>
      </c>
      <c r="K22" s="18">
        <v>4.2512703731657896E-3</v>
      </c>
      <c r="L22" s="18">
        <v>0.59622558132468284</v>
      </c>
      <c r="M22" s="18">
        <v>0.55422457618418952</v>
      </c>
      <c r="N22" s="18">
        <v>-6.0446948042108531E-3</v>
      </c>
      <c r="O22" s="18">
        <v>1.1114127103429201E-2</v>
      </c>
      <c r="P22" s="18">
        <v>-6.0446948042108531E-3</v>
      </c>
      <c r="Q22" s="18">
        <v>1.1114127103429201E-2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VARS'!AR23</f>
        <v>-2.2600957416418328E-2</v>
      </c>
      <c r="F23" s="16">
        <f>'ALL VARS'!AT23</f>
        <v>0.13030600788951222</v>
      </c>
      <c r="G23" s="16">
        <f>'ALL VARS'!J23</f>
        <v>39.449000699999999</v>
      </c>
      <c r="I23" s="22" t="s">
        <v>3</v>
      </c>
      <c r="J23" s="22">
        <v>9.8881613635097451E-5</v>
      </c>
      <c r="K23" s="22">
        <v>9.202922187996256E-5</v>
      </c>
      <c r="L23" s="22">
        <v>1.0744588687718424</v>
      </c>
      <c r="M23" s="22">
        <v>0.28875127438648007</v>
      </c>
      <c r="N23" s="22">
        <v>-8.6840875165474001E-5</v>
      </c>
      <c r="O23" s="22">
        <v>2.8460410243566893E-4</v>
      </c>
      <c r="P23" s="22">
        <v>-8.6840875165474001E-5</v>
      </c>
      <c r="Q23" s="22">
        <v>2.8460410243566893E-4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VARS'!AR24</f>
        <v>8.122242888256425E-4</v>
      </c>
      <c r="F24" s="16">
        <f>'ALL VARS'!AT24</f>
        <v>-4.3425640755123621E-3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VARS'!AR25</f>
        <v>-2.3628627349207838E-3</v>
      </c>
      <c r="F25" s="16">
        <f>'ALL VARS'!AT25</f>
        <v>1.0771130603491375E-2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VARS'!AR26</f>
        <v>-0.13413561915042096</v>
      </c>
      <c r="F26" s="16">
        <f>'ALL VARS'!AT26</f>
        <v>0.53446458360802551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VARS'!AR27</f>
        <v>-2.0094052010291336E-3</v>
      </c>
      <c r="F27" s="16">
        <f>'ALL VARS'!AT27</f>
        <v>7.6106409145683127E-3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VARS'!AR28</f>
        <v>-4.9725657794808205E-2</v>
      </c>
      <c r="F28" s="16">
        <f>'ALL VARS'!AT28</f>
        <v>0.16486587659264093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VARS'!AR29</f>
        <v>9.3626009210135536E-4</v>
      </c>
      <c r="F29" s="16">
        <f>'ALL VARS'!AT29</f>
        <v>-3.1200951964090633E-3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VARS'!AR30</f>
        <v>9.4002607497799728E-4</v>
      </c>
      <c r="F30" s="16">
        <f>'ALL VARS'!AT30</f>
        <v>-2.8534579060315308E-3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VARS'!AR31</f>
        <v>4.1156119388505157E-2</v>
      </c>
      <c r="F31" s="16">
        <f>'ALL VARS'!AT31</f>
        <v>-7.2414583624837589E-2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VARS'!AR32</f>
        <v>-2.0038085440039833E-4</v>
      </c>
      <c r="F32" s="16">
        <f>'ALL VARS'!AT32</f>
        <v>1.2926471539301056E-5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VARS'!AR33</f>
        <v>-3.3576868270774659E-3</v>
      </c>
      <c r="F33" s="16">
        <f>'ALL VARS'!AT33</f>
        <v>-4.0476598606603922E-3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VARS'!AR34</f>
        <v>-6.8141290110918559E-2</v>
      </c>
      <c r="F34" s="16">
        <f>'ALL VARS'!AT34</f>
        <v>-0.21379268349502922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VARS'!AR35</f>
        <v>1.5354289175923748E-2</v>
      </c>
      <c r="F35" s="16">
        <f>'ALL VARS'!AT35</f>
        <v>8.5592351213372719E-2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VARS'!AR36</f>
        <v>-5.3111181019270426E-2</v>
      </c>
      <c r="F36" s="16">
        <f>'ALL VARS'!AT36</f>
        <v>-0.39873173931171513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VARS'!AR37</f>
        <v>1.1151989711088302E-2</v>
      </c>
      <c r="F37" s="16">
        <f>'ALL VARS'!AT37</f>
        <v>0.10669656995800293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VARS'!AR38</f>
        <v>-1.346516961481333E-2</v>
      </c>
      <c r="F38" s="16">
        <f>'ALL VARS'!AT38</f>
        <v>-0.14898525456017583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VARS'!AR39</f>
        <v>-7.915768142660988E-2</v>
      </c>
      <c r="F39" s="16">
        <f>'ALL VARS'!AT39</f>
        <v>-1.0052622854944209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VARS'!AR40</f>
        <v>-4.5692722481173947E-4</v>
      </c>
      <c r="F40" s="16">
        <f>'ALL VARS'!AT40</f>
        <v>-6.6818713817400604E-3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VARS'!AR41</f>
        <v>-0.1742250864856805</v>
      </c>
      <c r="F41" s="16">
        <f>'ALL VARS'!AT41</f>
        <v>-2.9152197762631546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VARS'!AR42</f>
        <v>-5.072805751931835E-3</v>
      </c>
      <c r="F42" s="16">
        <f>'ALL VARS'!AT42</f>
        <v>-9.4716847378026964E-2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VARS'!AR43</f>
        <v>1.5602072386281156E-3</v>
      </c>
      <c r="F43" s="16">
        <f>'ALL VARS'!AT43</f>
        <v>3.2621579609176096E-2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VARS'!AR44</f>
        <v>-7.2400700865069977E-4</v>
      </c>
      <c r="F44" s="16">
        <f>'ALL VARS'!AT44</f>
        <v>-1.6992076252905844E-2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VARS'!AR45</f>
        <v>1.2189264441783614E-3</v>
      </c>
      <c r="F45" s="16">
        <f>'ALL VARS'!AT45</f>
        <v>2.7667791515200067E-2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VARS'!AR46</f>
        <v>-0.14958995009030499</v>
      </c>
      <c r="F46" s="16">
        <f>'ALL VARS'!AT46</f>
        <v>-3.6119228812503756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VARS'!AR47</f>
        <v>-5.0855593038487256E-3</v>
      </c>
      <c r="F47" s="16">
        <f>'ALL VARS'!AT47</f>
        <v>-0.11768234278919311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VARS'!AR48</f>
        <v>3.7028936507562753E-3</v>
      </c>
      <c r="F48" s="16">
        <f>'ALL VARS'!AT48</f>
        <v>8.0365721933490508E-2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VARS'!AV2</f>
        <v>-1.8403209256075696E-2</v>
      </c>
      <c r="F2" s="16">
        <f>'ALL VARS'!AX2</f>
        <v>0.29061444117385093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VARS'!AV3</f>
        <v>-2.7594732918593681E-2</v>
      </c>
      <c r="F3" s="16">
        <f>'ALL VARS'!AX3</f>
        <v>0.41730159454184973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VARS'!AV4</f>
        <v>1.8791680861907644E-3</v>
      </c>
      <c r="F4" s="16">
        <f>'ALL VARS'!AX4</f>
        <v>-2.7399227031674647E-2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VARS'!AV5</f>
        <v>-7.1014753252992016E-2</v>
      </c>
      <c r="F5" s="16">
        <f>'ALL VARS'!AX5</f>
        <v>1.0385558919763822</v>
      </c>
      <c r="G5" s="16">
        <f>'ALL VARS'!J5</f>
        <v>30.590000099999997</v>
      </c>
      <c r="I5" s="18" t="s">
        <v>57</v>
      </c>
      <c r="J5" s="18">
        <v>0.46512864183473374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VARS'!AV6</f>
        <v>6.0613439519532374E-2</v>
      </c>
      <c r="F6" s="16">
        <f>'ALL VARS'!AX6</f>
        <v>-0.88698730751940214</v>
      </c>
      <c r="G6" s="16">
        <f>'ALL VARS'!J6</f>
        <v>30.581000099999997</v>
      </c>
      <c r="I6" s="18" t="s">
        <v>58</v>
      </c>
      <c r="J6" s="18">
        <v>0.21634465345502402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VARS'!AV7</f>
        <v>-0.22142565327130143</v>
      </c>
      <c r="F7" s="16">
        <f>'ALL VARS'!AX7</f>
        <v>3.2422271018210682</v>
      </c>
      <c r="G7" s="16">
        <f>'ALL VARS'!J7</f>
        <v>30.572000099999997</v>
      </c>
      <c r="I7" s="18" t="s">
        <v>58</v>
      </c>
      <c r="J7" s="18">
        <v>0.11790128711740724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VARS'!AV8</f>
        <v>1.7788015681860843E-2</v>
      </c>
      <c r="F8" s="16">
        <f>'ALL VARS'!AX8</f>
        <v>-0.25706366718940737</v>
      </c>
      <c r="G8" s="16">
        <f>'ALL VARS'!J8</f>
        <v>30.763000099999999</v>
      </c>
      <c r="I8" s="18" t="s">
        <v>59</v>
      </c>
      <c r="J8" s="18">
        <v>2.5901099843793001E-2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VARS'!AV9</f>
        <v>6.131797597706537E-2</v>
      </c>
      <c r="F9" s="16">
        <f>'ALL VARS'!AX9</f>
        <v>-0.8485493632810045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VARS'!AV10</f>
        <v>8.7610368130071857E-3</v>
      </c>
      <c r="F10" s="16">
        <f>'ALL VARS'!AX10</f>
        <v>-0.11854128757068673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VARS'!AV11</f>
        <v>0.20764727004212868</v>
      </c>
      <c r="F11" s="16">
        <f>'ALL VARS'!AX11</f>
        <v>-2.5610194352749116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VARS'!AV12</f>
        <v>-4.4738487644284834E-2</v>
      </c>
      <c r="F12" s="16">
        <f>'ALL VARS'!AX12</f>
        <v>0.54489280011631691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VARS'!AV13</f>
        <v>5.2180886369083751E-3</v>
      </c>
      <c r="F13" s="16">
        <f>'ALL VARS'!AX13</f>
        <v>-6.5667081399971947E-2</v>
      </c>
      <c r="G13" s="16">
        <f>'ALL VARS'!J13</f>
        <v>32.630000399999993</v>
      </c>
      <c r="I13" s="18" t="s">
        <v>62</v>
      </c>
      <c r="J13" s="18">
        <v>5</v>
      </c>
      <c r="K13" s="18">
        <v>7.7786954495358829E-3</v>
      </c>
      <c r="L13" s="18">
        <v>1.5557390899071765E-3</v>
      </c>
      <c r="M13" s="18">
        <v>2.318997882212372</v>
      </c>
      <c r="N13" s="18">
        <v>6.056522945085193E-2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VARS'!AV14</f>
        <v>5.0658548950672337E-2</v>
      </c>
      <c r="F14" s="16">
        <f>'ALL VARS'!AX14</f>
        <v>-0.6348280476157222</v>
      </c>
      <c r="G14" s="16">
        <f>'ALL VARS'!J14</f>
        <v>32.683000299999996</v>
      </c>
      <c r="I14" s="18" t="s">
        <v>63</v>
      </c>
      <c r="J14" s="18">
        <v>42</v>
      </c>
      <c r="K14" s="18">
        <v>2.817641287096162E-2</v>
      </c>
      <c r="L14" s="18">
        <v>6.7086697311813381E-4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VARS'!AV15</f>
        <v>-3.9836174196673346E-2</v>
      </c>
      <c r="F15" s="16">
        <f>'ALL VARS'!AX15</f>
        <v>0.47642106845531601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VARS'!AV16</f>
        <v>1.5917473632021156E-3</v>
      </c>
      <c r="F16" s="16">
        <f>'ALL VARS'!AX16</f>
        <v>-1.777107714783761E-2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VARS'!AV17</f>
        <v>4.2871073565977254E-3</v>
      </c>
      <c r="F17" s="16">
        <f>'ALL VARS'!AX17</f>
        <v>-4.3602062299570234E-2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VARS'!AV18</f>
        <v>-4.7807699933113644E-2</v>
      </c>
      <c r="F18" s="16">
        <f>'ALL VARS'!AX18</f>
        <v>0.44865176705873844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VARS'!AV19</f>
        <v>-3.4099239780294166E-3</v>
      </c>
      <c r="F19" s="16">
        <f>'ALL VARS'!AX19</f>
        <v>2.7976750650947034E-2</v>
      </c>
      <c r="G19" s="16">
        <f>'ALL VARS'!J19</f>
        <v>37.010000400000003</v>
      </c>
      <c r="I19" s="18" t="s">
        <v>53</v>
      </c>
      <c r="J19" s="18">
        <v>0.31286132700324376</v>
      </c>
      <c r="K19" s="18">
        <v>0.12630580890034393</v>
      </c>
      <c r="L19" s="18">
        <v>2.477014554810328</v>
      </c>
      <c r="M19" s="18">
        <v>1.7357996117704895E-2</v>
      </c>
      <c r="N19" s="18">
        <v>5.7965885101776415E-2</v>
      </c>
      <c r="O19" s="18">
        <v>0.56775676890471116</v>
      </c>
      <c r="P19" s="18">
        <v>5.7965885101776415E-2</v>
      </c>
      <c r="Q19" s="18">
        <v>0.56775676890471116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VARS'!AV20</f>
        <v>2.633635457388734E-2</v>
      </c>
      <c r="F20" s="16">
        <f>'ALL VARS'!AX20</f>
        <v>-0.19537647063502944</v>
      </c>
      <c r="G20" s="16">
        <f>'ALL VARS'!J20</f>
        <v>37.796000499999998</v>
      </c>
      <c r="I20" s="18" t="s">
        <v>54</v>
      </c>
      <c r="J20" s="18">
        <v>-0.16712753439012992</v>
      </c>
      <c r="K20" s="18">
        <v>0.10806918832000827</v>
      </c>
      <c r="L20" s="18">
        <v>-1.5464864406609724</v>
      </c>
      <c r="M20" s="18">
        <v>0.12948981508770341</v>
      </c>
      <c r="N20" s="18">
        <v>-0.38521998597717955</v>
      </c>
      <c r="O20" s="18">
        <v>5.0964917196919701E-2</v>
      </c>
      <c r="P20" s="18">
        <v>-0.38521998597717955</v>
      </c>
      <c r="Q20" s="18">
        <v>5.0964917196919701E-2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VARS'!AV21</f>
        <v>-3.4533926186746367E-3</v>
      </c>
      <c r="F21" s="16">
        <f>'ALL VARS'!AX21</f>
        <v>2.5287495816533102E-2</v>
      </c>
      <c r="G21" s="16">
        <f>'ALL VARS'!J21</f>
        <v>37.892000799999991</v>
      </c>
      <c r="I21" s="18" t="s">
        <v>15</v>
      </c>
      <c r="J21" s="18">
        <v>1.9410666540187672E-2</v>
      </c>
      <c r="K21" s="18">
        <v>6.2277925924417221E-2</v>
      </c>
      <c r="L21" s="18">
        <v>0.31167811471026141</v>
      </c>
      <c r="M21" s="18">
        <v>0.75682712745560354</v>
      </c>
      <c r="N21" s="18">
        <v>-0.1062712762573613</v>
      </c>
      <c r="O21" s="18">
        <v>0.14509260933773663</v>
      </c>
      <c r="P21" s="18">
        <v>-0.1062712762573613</v>
      </c>
      <c r="Q21" s="18">
        <v>0.14509260933773663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VARS'!AV22</f>
        <v>-2.4350827829411996E-3</v>
      </c>
      <c r="F22" s="16">
        <f>'ALL VARS'!AX22</f>
        <v>1.6379604584817607E-2</v>
      </c>
      <c r="G22" s="16">
        <f>'ALL VARS'!J22</f>
        <v>38.488000700000001</v>
      </c>
      <c r="I22" s="18" t="s">
        <v>85</v>
      </c>
      <c r="J22" s="18">
        <v>1.6739458991377142E-3</v>
      </c>
      <c r="K22" s="18">
        <v>4.9066599843164979E-3</v>
      </c>
      <c r="L22" s="18">
        <v>0.34115791689015851</v>
      </c>
      <c r="M22" s="18">
        <v>0.7346855829171004</v>
      </c>
      <c r="N22" s="18">
        <v>-8.2280948371628547E-3</v>
      </c>
      <c r="O22" s="18">
        <v>1.1575986635438282E-2</v>
      </c>
      <c r="P22" s="18">
        <v>-8.2280948371628547E-3</v>
      </c>
      <c r="Q22" s="18">
        <v>1.1575986635438282E-2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VARS'!AV23</f>
        <v>-1.0334566524224502E-2</v>
      </c>
      <c r="F23" s="16">
        <f>'ALL VARS'!AX23</f>
        <v>5.9584029217364776E-2</v>
      </c>
      <c r="G23" s="16">
        <f>'ALL VARS'!J23</f>
        <v>39.449000699999999</v>
      </c>
      <c r="I23" s="22" t="s">
        <v>3</v>
      </c>
      <c r="J23" s="22">
        <v>9.1597992830395802E-5</v>
      </c>
      <c r="K23" s="22">
        <v>9.3851141719644327E-5</v>
      </c>
      <c r="L23" s="22">
        <v>0.97599231242194984</v>
      </c>
      <c r="M23" s="22">
        <v>0.33465651046017619</v>
      </c>
      <c r="N23" s="22">
        <v>-9.7801279062639337E-5</v>
      </c>
      <c r="O23" s="22">
        <v>2.8099726472343095E-4</v>
      </c>
      <c r="P23" s="22">
        <v>-9.7801279062639337E-5</v>
      </c>
      <c r="Q23" s="22">
        <v>2.8099726472343095E-4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VARS'!AV24</f>
        <v>2.998102294521794E-3</v>
      </c>
      <c r="F24" s="16">
        <f>'ALL VARS'!AX24</f>
        <v>-1.6029379443608792E-2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VARS'!AV25</f>
        <v>-4.6071523721334766E-2</v>
      </c>
      <c r="F25" s="16">
        <f>'ALL VARS'!AX25</f>
        <v>0.21001744695972976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VARS'!AV26</f>
        <v>-0.1995542343921578</v>
      </c>
      <c r="F26" s="16">
        <f>'ALL VARS'!AX26</f>
        <v>0.79512564572441691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VARS'!AV27</f>
        <v>-2.493548067182477E-3</v>
      </c>
      <c r="F27" s="16">
        <f>'ALL VARS'!AX27</f>
        <v>9.4443365294477246E-3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VARS'!AV28</f>
        <v>-0.11971727008879195</v>
      </c>
      <c r="F28" s="16">
        <f>'ALL VARS'!AX28</f>
        <v>0.39692371205851362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VARS'!AV29</f>
        <v>9.7533360602356078E-3</v>
      </c>
      <c r="F29" s="16">
        <f>'ALL VARS'!AX29</f>
        <v>-3.2503080337648371E-2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VARS'!AV30</f>
        <v>2.7321142378851016E-2</v>
      </c>
      <c r="F30" s="16">
        <f>'ALL VARS'!AX30</f>
        <v>-8.2933582161080266E-2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VARS'!AV31</f>
        <v>4.8962695649570925E-2</v>
      </c>
      <c r="F31" s="16">
        <f>'ALL VARS'!AX31</f>
        <v>-8.6150328828223058E-2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VARS'!AV32</f>
        <v>-2.3785872900414697E-3</v>
      </c>
      <c r="F32" s="16">
        <f>'ALL VARS'!AX32</f>
        <v>1.5344151017056032E-4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VARS'!AV33</f>
        <v>-5.643426022473759E-3</v>
      </c>
      <c r="F33" s="16">
        <f>'ALL VARS'!AX33</f>
        <v>-6.803096942681712E-3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VARS'!AV34</f>
        <v>-9.3825945811898862E-2</v>
      </c>
      <c r="F34" s="16">
        <f>'ALL VARS'!AX34</f>
        <v>-0.29437805923446803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VARS'!AV35</f>
        <v>1.5354369866903977E-2</v>
      </c>
      <c r="F35" s="16">
        <f>'ALL VARS'!AX35</f>
        <v>8.5592801024538853E-2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VARS'!AV36</f>
        <v>-0.10047556734432933</v>
      </c>
      <c r="F36" s="16">
        <f>'ALL VARS'!AX36</f>
        <v>-0.75431946638504876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VARS'!AV37</f>
        <v>1.3367409267039266E-2</v>
      </c>
      <c r="F37" s="16">
        <f>'ALL VARS'!AX37</f>
        <v>0.12789257836202989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VARS'!AV38</f>
        <v>-1.9137176105298935E-2</v>
      </c>
      <c r="F38" s="16">
        <f>'ALL VARS'!AX38</f>
        <v>-0.21174312208249169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VARS'!AV39</f>
        <v>-7.1728361990186446E-3</v>
      </c>
      <c r="F39" s="16">
        <f>'ALL VARS'!AX39</f>
        <v>-9.1091370805091151E-2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VARS'!AV40</f>
        <v>-2.4249379151290128E-3</v>
      </c>
      <c r="F40" s="16">
        <f>'ALL VARS'!AX40</f>
        <v>-3.5461058955882689E-2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VARS'!AV41</f>
        <v>-0.12044132644667442</v>
      </c>
      <c r="F41" s="16">
        <f>'ALL VARS'!AX41</f>
        <v>-2.0152834693273038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VARS'!AV42</f>
        <v>-6.2890214855230164E-2</v>
      </c>
      <c r="F42" s="16">
        <f>'ALL VARS'!AX42</f>
        <v>-1.1742540860638502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VARS'!AV43</f>
        <v>1.5601000342658093E-2</v>
      </c>
      <c r="F43" s="16">
        <f>'ALL VARS'!AX43</f>
        <v>0.32619338127690278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VARS'!AV44</f>
        <v>-1.6716709220067533E-2</v>
      </c>
      <c r="F44" s="16">
        <f>'ALL VARS'!AX44</f>
        <v>-0.39233266304205572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VARS'!AV45</f>
        <v>1.555485781773594E-2</v>
      </c>
      <c r="F45" s="16">
        <f>'ALL VARS'!AX45</f>
        <v>0.35307180774127456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VARS'!AV46</f>
        <v>-0.10756176353482122</v>
      </c>
      <c r="F46" s="16">
        <f>'ALL VARS'!AX46</f>
        <v>-2.5971316564015772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VARS'!AV47</f>
        <v>-8.6363244862785862E-2</v>
      </c>
      <c r="F47" s="16">
        <f>'ALL VARS'!AX47</f>
        <v>-1.998487949720251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VARS'!AV48</f>
        <v>2.3359486540013113E-2</v>
      </c>
      <c r="F48" s="16">
        <f>'ALL VARS'!AX48</f>
        <v>0.50698242424553286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VARS'!AZ2</f>
        <v>-1.3136615279900534E-2</v>
      </c>
      <c r="F2" s="16">
        <f>'ALL VARS'!BB2</f>
        <v>0.20744697597913692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VARS'!AZ3</f>
        <v>-3.9793148523069597E-3</v>
      </c>
      <c r="F3" s="16">
        <f>'ALL VARS'!BB3</f>
        <v>6.0177224325764118E-2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VARS'!AZ4</f>
        <v>1.5311548504140444E-3</v>
      </c>
      <c r="F4" s="16">
        <f>'ALL VARS'!BB4</f>
        <v>-2.2325016945229995E-2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VARS'!AZ5</f>
        <v>-3.5602382730395791E-3</v>
      </c>
      <c r="F5" s="16">
        <f>'ALL VARS'!BB5</f>
        <v>5.2066736360156116E-2</v>
      </c>
      <c r="G5" s="16">
        <f>'ALL VARS'!J5</f>
        <v>30.590000099999997</v>
      </c>
      <c r="I5" s="18" t="s">
        <v>57</v>
      </c>
      <c r="J5" s="18">
        <v>0.49065061871190652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VARS'!AZ6</f>
        <v>2.2715361108688798E-3</v>
      </c>
      <c r="F6" s="16">
        <f>'ALL VARS'!BB6</f>
        <v>-3.324054392695229E-2</v>
      </c>
      <c r="G6" s="16">
        <f>'ALL VARS'!J6</f>
        <v>30.581000099999997</v>
      </c>
      <c r="I6" s="18" t="s">
        <v>58</v>
      </c>
      <c r="J6" s="18">
        <v>0.24073802964237667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VARS'!AZ7</f>
        <v>-0.21926329805601888</v>
      </c>
      <c r="F7" s="16">
        <f>'ALL VARS'!BB7</f>
        <v>3.2105647963059831</v>
      </c>
      <c r="G7" s="16">
        <f>'ALL VARS'!J7</f>
        <v>30.572000099999997</v>
      </c>
      <c r="I7" s="18" t="s">
        <v>58</v>
      </c>
      <c r="J7" s="18">
        <v>0.14461784198926969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VARS'!AZ8</f>
        <v>9.4282772560790821E-3</v>
      </c>
      <c r="F8" s="16">
        <f>'ALL VARS'!BB8</f>
        <v>-0.13625283281022088</v>
      </c>
      <c r="G8" s="16">
        <f>'ALL VARS'!J8</f>
        <v>30.763000099999999</v>
      </c>
      <c r="I8" s="18" t="s">
        <v>59</v>
      </c>
      <c r="J8" s="18">
        <v>2.549479236639865E-2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VARS'!AZ9</f>
        <v>1.5144979162469395E-3</v>
      </c>
      <c r="F9" s="16">
        <f>'ALL VARS'!BB9</f>
        <v>-2.0958393065720591E-2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VARS'!AZ10</f>
        <v>8.7596785349484309E-3</v>
      </c>
      <c r="F10" s="16">
        <f>'ALL VARS'!BB10</f>
        <v>-0.11852290937716918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VARS'!AZ11</f>
        <v>8.3453181082705809E-3</v>
      </c>
      <c r="F11" s="16">
        <f>'ALL VARS'!BB11</f>
        <v>-0.10292705444428157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VARS'!AZ12</f>
        <v>-2.8202952723899617E-2</v>
      </c>
      <c r="F12" s="16">
        <f>'ALL VARS'!BB12</f>
        <v>0.3434981084622542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VARS'!AZ13</f>
        <v>5.2182124916950066E-3</v>
      </c>
      <c r="F13" s="16">
        <f>'ALL VARS'!BB13</f>
        <v>-6.5668640051601196E-2</v>
      </c>
      <c r="G13" s="16">
        <f>'ALL VARS'!J13</f>
        <v>32.630000399999993</v>
      </c>
      <c r="I13" s="18" t="s">
        <v>62</v>
      </c>
      <c r="J13" s="18">
        <v>5</v>
      </c>
      <c r="K13" s="18">
        <v>8.6557619326547916E-3</v>
      </c>
      <c r="L13" s="18">
        <v>1.7311523865309584E-3</v>
      </c>
      <c r="M13" s="18">
        <v>2.6633751299877155</v>
      </c>
      <c r="N13" s="18">
        <v>3.5647204685043031E-2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VARS'!AZ14</f>
        <v>2.1353989241585667E-3</v>
      </c>
      <c r="F14" s="16">
        <f>'ALL VARS'!BB14</f>
        <v>-2.6759770226034176E-2</v>
      </c>
      <c r="G14" s="16">
        <f>'ALL VARS'!J14</f>
        <v>32.683000299999996</v>
      </c>
      <c r="I14" s="18" t="s">
        <v>63</v>
      </c>
      <c r="J14" s="18">
        <v>42</v>
      </c>
      <c r="K14" s="18">
        <v>2.7299346387842711E-2</v>
      </c>
      <c r="L14" s="18">
        <v>6.4998443780577887E-4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VARS'!AZ15</f>
        <v>-3.5856215812900882E-2</v>
      </c>
      <c r="F15" s="16">
        <f>'ALL VARS'!BB15</f>
        <v>0.42882272188108816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VARS'!AZ16</f>
        <v>1.5913647093750702E-3</v>
      </c>
      <c r="F16" s="16">
        <f>'ALL VARS'!BB16</f>
        <v>-1.7766805005889365E-2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VARS'!AZ17</f>
        <v>5.7524593295812776E-2</v>
      </c>
      <c r="F17" s="16">
        <f>'ALL VARS'!BB17</f>
        <v>-0.58505437163392715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VARS'!AZ18</f>
        <v>-3.5818343514204738E-3</v>
      </c>
      <c r="F18" s="16">
        <f>'ALL VARS'!BB18</f>
        <v>3.3613754966768689E-2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VARS'!AZ19</f>
        <v>-1.7740851763834208E-3</v>
      </c>
      <c r="F19" s="16">
        <f>'ALL VARS'!BB19</f>
        <v>1.4555497111669678E-2</v>
      </c>
      <c r="G19" s="16">
        <f>'ALL VARS'!J19</f>
        <v>37.010000400000003</v>
      </c>
      <c r="I19" s="18" t="s">
        <v>53</v>
      </c>
      <c r="J19" s="18">
        <v>0.32252668193992301</v>
      </c>
      <c r="K19" s="18">
        <v>0.12428426463753245</v>
      </c>
      <c r="L19" s="18">
        <v>2.5950725369824781</v>
      </c>
      <c r="M19" s="18">
        <v>1.2970974264925198E-2</v>
      </c>
      <c r="N19" s="18">
        <v>7.1710881526673154E-2</v>
      </c>
      <c r="O19" s="18">
        <v>0.57334248235317287</v>
      </c>
      <c r="P19" s="18">
        <v>7.1710881526673154E-2</v>
      </c>
      <c r="Q19" s="18">
        <v>0.57334248235317287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VARS'!AZ20</f>
        <v>4.6652164569905376E-2</v>
      </c>
      <c r="F20" s="16">
        <f>'ALL VARS'!BB20</f>
        <v>-0.34608948006000784</v>
      </c>
      <c r="G20" s="16">
        <f>'ALL VARS'!J20</f>
        <v>37.796000499999998</v>
      </c>
      <c r="I20" s="18" t="s">
        <v>54</v>
      </c>
      <c r="J20" s="18">
        <v>-0.2102876080508638</v>
      </c>
      <c r="K20" s="18">
        <v>0.1024005655344174</v>
      </c>
      <c r="L20" s="18">
        <v>-2.053578580873999</v>
      </c>
      <c r="M20" s="18">
        <v>4.6277199024942671E-2</v>
      </c>
      <c r="N20" s="18">
        <v>-0.41694031571413276</v>
      </c>
      <c r="O20" s="18">
        <v>-3.6349003875948416E-3</v>
      </c>
      <c r="P20" s="18">
        <v>-0.41694031571413276</v>
      </c>
      <c r="Q20" s="18">
        <v>-3.6349003875948416E-3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VARS'!AZ21</f>
        <v>-3.0383161021022721E-2</v>
      </c>
      <c r="F21" s="16">
        <f>'ALL VARS'!BB21</f>
        <v>0.22248094614478897</v>
      </c>
      <c r="G21" s="16">
        <f>'ALL VARS'!J21</f>
        <v>37.892000799999991</v>
      </c>
      <c r="I21" s="18" t="s">
        <v>16</v>
      </c>
      <c r="J21" s="18">
        <v>-0.10672174472784809</v>
      </c>
      <c r="K21" s="18">
        <v>9.4752617633157218E-2</v>
      </c>
      <c r="L21" s="18">
        <v>-1.1263197513026011</v>
      </c>
      <c r="M21" s="18">
        <v>0.26642477342055704</v>
      </c>
      <c r="N21" s="18">
        <v>-0.29794026866747514</v>
      </c>
      <c r="O21" s="18">
        <v>8.449677921177895E-2</v>
      </c>
      <c r="P21" s="18">
        <v>-0.29794026866747514</v>
      </c>
      <c r="Q21" s="18">
        <v>8.449677921177895E-2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VARS'!AZ22</f>
        <v>-2.1266942193614767E-2</v>
      </c>
      <c r="F22" s="16">
        <f>'ALL VARS'!BB22</f>
        <v>0.14305226347945271</v>
      </c>
      <c r="G22" s="16">
        <f>'ALL VARS'!J22</f>
        <v>38.488000700000001</v>
      </c>
      <c r="I22" s="18" t="s">
        <v>86</v>
      </c>
      <c r="J22" s="18">
        <v>-5.1593105639265403E-3</v>
      </c>
      <c r="K22" s="18">
        <v>6.1790376349764014E-3</v>
      </c>
      <c r="L22" s="18">
        <v>-0.83496992067539733</v>
      </c>
      <c r="M22" s="18">
        <v>0.40845921908283711</v>
      </c>
      <c r="N22" s="18">
        <v>-1.7629113356098982E-2</v>
      </c>
      <c r="O22" s="18">
        <v>7.3104922282459005E-3</v>
      </c>
      <c r="P22" s="18">
        <v>-1.7629113356098982E-2</v>
      </c>
      <c r="Q22" s="18">
        <v>7.3104922282459005E-3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VARS'!AZ23</f>
        <v>-2.4755316678171657E-2</v>
      </c>
      <c r="F23" s="16">
        <f>'ALL VARS'!BB23</f>
        <v>0.14272698412456947</v>
      </c>
      <c r="G23" s="16">
        <f>'ALL VARS'!J23</f>
        <v>39.449000699999999</v>
      </c>
      <c r="I23" s="22" t="s">
        <v>3</v>
      </c>
      <c r="J23" s="22">
        <v>3.5963616118751356E-5</v>
      </c>
      <c r="K23" s="22">
        <v>9.118847073116559E-5</v>
      </c>
      <c r="L23" s="22">
        <v>0.39438775352178407</v>
      </c>
      <c r="M23" s="22">
        <v>0.69529032497188004</v>
      </c>
      <c r="N23" s="22">
        <v>-1.4806216817180932E-4</v>
      </c>
      <c r="O23" s="22">
        <v>2.1998940040931204E-4</v>
      </c>
      <c r="P23" s="22">
        <v>-1.4806216817180932E-4</v>
      </c>
      <c r="Q23" s="22">
        <v>2.1998940040931204E-4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VARS'!AZ24</f>
        <v>8.9372420664605916E-5</v>
      </c>
      <c r="F24" s="16">
        <f>'ALL VARS'!BB24</f>
        <v>-4.7783040800323764E-4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VARS'!AZ25</f>
        <v>-2.6762421446872998E-2</v>
      </c>
      <c r="F25" s="16">
        <f>'ALL VARS'!BB25</f>
        <v>0.12199673405049143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VARS'!AZ26</f>
        <v>-6.3262697982867152E-3</v>
      </c>
      <c r="F26" s="16">
        <f>'ALL VARS'!BB26</f>
        <v>2.5207079036491147E-2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VARS'!AZ27</f>
        <v>-3.5751277338171845E-3</v>
      </c>
      <c r="F27" s="16">
        <f>'ALL VARS'!BB27</f>
        <v>1.3540829590697603E-2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VARS'!AZ28</f>
        <v>-7.1160182191305141E-2</v>
      </c>
      <c r="F28" s="16">
        <f>'ALL VARS'!BB28</f>
        <v>0.23593223972768582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VARS'!AZ29</f>
        <v>5.8401204160221654E-3</v>
      </c>
      <c r="F29" s="16">
        <f>'ALL VARS'!BB29</f>
        <v>-1.9462253929444055E-2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VARS'!AZ30</f>
        <v>9.3997355234824015E-4</v>
      </c>
      <c r="F30" s="16">
        <f>'ALL VARS'!BB30</f>
        <v>-2.8532984730997055E-3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VARS'!AZ31</f>
        <v>5.5845793814444837E-3</v>
      </c>
      <c r="F31" s="16">
        <f>'ALL VARS'!BB31</f>
        <v>-9.8261205535355965E-3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VARS'!AZ32</f>
        <v>-2.2423216333695172E-3</v>
      </c>
      <c r="F32" s="16">
        <f>'ALL VARS'!BB32</f>
        <v>1.4465107887898349E-4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VARS'!AZ33</f>
        <v>-1.9692996135975758E-3</v>
      </c>
      <c r="F33" s="16">
        <f>'ALL VARS'!BB33</f>
        <v>-2.3739721451362817E-3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VARS'!AZ34</f>
        <v>-4.8921747672897725E-3</v>
      </c>
      <c r="F34" s="16">
        <f>'ALL VARS'!BB34</f>
        <v>-1.5349154234136813E-2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VARS'!AZ35</f>
        <v>1.8605836542548403E-2</v>
      </c>
      <c r="F35" s="16">
        <f>'ALL VARS'!BB35</f>
        <v>0.1037180736745241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VARS'!AZ36</f>
        <v>-1.9870423292422858E-2</v>
      </c>
      <c r="F36" s="16">
        <f>'ALL VARS'!BB36</f>
        <v>-0.14917703369038393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VARS'!AZ37</f>
        <v>3.2570272732499578E-3</v>
      </c>
      <c r="F37" s="16">
        <f>'ALL VARS'!BB37</f>
        <v>3.1161581683482781E-2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VARS'!AZ38</f>
        <v>-1.0593265496713111E-2</v>
      </c>
      <c r="F38" s="16">
        <f>'ALL VARS'!BB38</f>
        <v>-0.11720909589694833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VARS'!AZ39</f>
        <v>-7.7159060828370499E-2</v>
      </c>
      <c r="F39" s="16">
        <f>'ALL VARS'!BB39</f>
        <v>-0.97988082062312976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VARS'!AZ40</f>
        <v>-4.188052424567771E-3</v>
      </c>
      <c r="F40" s="16">
        <f>'ALL VARS'!BB40</f>
        <v>-6.1243948973441625E-2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VARS'!AZ41</f>
        <v>-8.8871063289103769E-3</v>
      </c>
      <c r="F41" s="16">
        <f>'ALL VARS'!BB41</f>
        <v>-0.14870343098335803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VARS'!AZ42</f>
        <v>-0.12922235853609865</v>
      </c>
      <c r="F42" s="16">
        <f>'ALL VARS'!BB42</f>
        <v>-2.4127741155141318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VARS'!AZ43</f>
        <v>2.5741525247241121E-2</v>
      </c>
      <c r="F43" s="16">
        <f>'ALL VARS'!BB43</f>
        <v>0.53821645889353986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VARS'!AZ44</f>
        <v>-7.2403150596203885E-4</v>
      </c>
      <c r="F44" s="16">
        <f>'ALL VARS'!BB44</f>
        <v>-1.6992651192343295E-2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VARS'!AZ45</f>
        <v>1.2185984954640871E-3</v>
      </c>
      <c r="F45" s="16">
        <f>'ALL VARS'!BB45</f>
        <v>2.7660347574101279E-2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VARS'!AZ46</f>
        <v>-3.7731349931210585E-2</v>
      </c>
      <c r="F46" s="16">
        <f>'ALL VARS'!BB46</f>
        <v>-0.91104199229114424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VARS'!AZ47</f>
        <v>-4.0847629201295664E-2</v>
      </c>
      <c r="F47" s="16">
        <f>'ALL VARS'!BB47</f>
        <v>-0.94523422392396128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VARS'!AZ48</f>
        <v>8.240900896687036E-3</v>
      </c>
      <c r="F48" s="16">
        <f>'ALL VARS'!BB48</f>
        <v>0.1788563249201981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VARS'!BD2</f>
        <v>-5.3754327257803909E-3</v>
      </c>
      <c r="F2" s="16">
        <f>'ALL VARS'!BF2</f>
        <v>8.488619326841354E-2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VARS'!BD3</f>
        <v>-3.9796520318904297E-3</v>
      </c>
      <c r="F3" s="16">
        <f>'ALL VARS'!BF3</f>
        <v>6.0182323327020774E-2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VARS'!BD4</f>
        <v>1.3920829602683825E-4</v>
      </c>
      <c r="F4" s="16">
        <f>'ALL VARS'!BF4</f>
        <v>-2.0297278011269467E-3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VARS'!BD5</f>
        <v>-3.5602186601439139E-3</v>
      </c>
      <c r="F5" s="16">
        <f>'ALL VARS'!BF5</f>
        <v>5.2066449531188629E-2</v>
      </c>
      <c r="G5" s="16">
        <f>'ALL VARS'!J5</f>
        <v>30.590000099999997</v>
      </c>
      <c r="I5" s="18" t="s">
        <v>57</v>
      </c>
      <c r="J5" s="18">
        <v>0.4640527401645238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VARS'!BD6</f>
        <v>5.1086517628979589E-3</v>
      </c>
      <c r="F6" s="16">
        <f>'ALL VARS'!BF6</f>
        <v>-7.4757501111068214E-2</v>
      </c>
      <c r="G6" s="16">
        <f>'ALL VARS'!J6</f>
        <v>30.581000099999997</v>
      </c>
      <c r="I6" s="18" t="s">
        <v>58</v>
      </c>
      <c r="J6" s="18">
        <v>0.21534494565420306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VARS'!BD7</f>
        <v>-1.1964375535987065E-2</v>
      </c>
      <c r="F7" s="16">
        <f>'ALL VARS'!BF7</f>
        <v>0.17518847543655361</v>
      </c>
      <c r="G7" s="16">
        <f>'ALL VARS'!J7</f>
        <v>30.572000099999997</v>
      </c>
      <c r="I7" s="18" t="s">
        <v>58</v>
      </c>
      <c r="J7" s="18">
        <v>0.11680636904984147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VARS'!BD8</f>
        <v>7.4226306874589608E-4</v>
      </c>
      <c r="F8" s="16">
        <f>'ALL VARS'!BF8</f>
        <v>-1.0726821354540336E-2</v>
      </c>
      <c r="G8" s="16">
        <f>'ALL VARS'!J8</f>
        <v>30.763000099999999</v>
      </c>
      <c r="I8" s="18" t="s">
        <v>59</v>
      </c>
      <c r="J8" s="18">
        <v>2.5917615572842393E-2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VARS'!BD9</f>
        <v>1.5858909099991488E-2</v>
      </c>
      <c r="F9" s="16">
        <f>'ALL VARS'!BF9</f>
        <v>-0.21946365653299488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VARS'!BD10</f>
        <v>8.7598101606754693E-3</v>
      </c>
      <c r="F10" s="16">
        <f>'ALL VARS'!BF10</f>
        <v>-0.11852469034025535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VARS'!BD11</f>
        <v>8.3448581924290572E-3</v>
      </c>
      <c r="F11" s="16">
        <f>'ALL VARS'!BF11</f>
        <v>-0.10292138206819643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VARS'!BD12</f>
        <v>-2.8211159628678006E-3</v>
      </c>
      <c r="F12" s="16">
        <f>'ALL VARS'!BF12</f>
        <v>3.4359806453051783E-2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VARS'!BD13</f>
        <v>5.2178061128379328E-3</v>
      </c>
      <c r="F13" s="16">
        <f>'ALL VARS'!BF13</f>
        <v>-6.5663525973373785E-2</v>
      </c>
      <c r="G13" s="16">
        <f>'ALL VARS'!J13</f>
        <v>32.630000399999993</v>
      </c>
      <c r="I13" s="18" t="s">
        <v>62</v>
      </c>
      <c r="J13" s="18">
        <v>5</v>
      </c>
      <c r="K13" s="18">
        <v>7.7427508472685189E-3</v>
      </c>
      <c r="L13" s="18">
        <v>1.5485501694537038E-3</v>
      </c>
      <c r="M13" s="18">
        <v>2.3053410966726862</v>
      </c>
      <c r="N13" s="18">
        <v>6.1853124259012349E-2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VARS'!BD14</f>
        <v>2.1353122868791098E-3</v>
      </c>
      <c r="F14" s="16">
        <f>'ALL VARS'!BF14</f>
        <v>-2.6758684530211702E-2</v>
      </c>
      <c r="G14" s="16">
        <f>'ALL VARS'!J14</f>
        <v>32.683000299999996</v>
      </c>
      <c r="I14" s="18" t="s">
        <v>63</v>
      </c>
      <c r="J14" s="18">
        <v>42</v>
      </c>
      <c r="K14" s="18">
        <v>2.8212357473228984E-2</v>
      </c>
      <c r="L14" s="18">
        <v>6.717227969816425E-4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VARS'!BD15</f>
        <v>-1.335816749164582E-2</v>
      </c>
      <c r="F15" s="16">
        <f>'ALL VARS'!BF15</f>
        <v>0.15975711918406127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VARS'!BD16</f>
        <v>1.5914589179289761E-3</v>
      </c>
      <c r="F16" s="16">
        <f>'ALL VARS'!BF16</f>
        <v>-1.7767856798100966E-2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VARS'!BD17</f>
        <v>4.2874252555701571E-3</v>
      </c>
      <c r="F17" s="16">
        <f>'ALL VARS'!BF17</f>
        <v>-4.360529549380774E-2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VARS'!BD18</f>
        <v>-5.3106706276788151E-2</v>
      </c>
      <c r="F18" s="16">
        <f>'ALL VARS'!BF18</f>
        <v>0.49838033720687769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VARS'!BD19</f>
        <v>-2.7385825814341918E-3</v>
      </c>
      <c r="F19" s="16">
        <f>'ALL VARS'!BF19</f>
        <v>2.2468724379623189E-2</v>
      </c>
      <c r="G19" s="16">
        <f>'ALL VARS'!J19</f>
        <v>37.010000400000003</v>
      </c>
      <c r="I19" s="18" t="s">
        <v>53</v>
      </c>
      <c r="J19" s="18">
        <v>0.3143587729326015</v>
      </c>
      <c r="K19" s="18">
        <v>0.12942585730571668</v>
      </c>
      <c r="L19" s="18">
        <v>2.428871474963886</v>
      </c>
      <c r="M19" s="18">
        <v>1.9505548502920612E-2</v>
      </c>
      <c r="N19" s="18">
        <v>5.3166818432343554E-2</v>
      </c>
      <c r="O19" s="18">
        <v>0.57555072743285951</v>
      </c>
      <c r="P19" s="18">
        <v>5.3166818432343554E-2</v>
      </c>
      <c r="Q19" s="18">
        <v>0.57555072743285951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VARS'!BD20</f>
        <v>2.0555600679378824E-2</v>
      </c>
      <c r="F20" s="16">
        <f>'ALL VARS'!BF20</f>
        <v>-0.15249189865107668</v>
      </c>
      <c r="G20" s="16">
        <f>'ALL VARS'!J20</f>
        <v>37.796000499999998</v>
      </c>
      <c r="I20" s="18" t="s">
        <v>54</v>
      </c>
      <c r="J20" s="18">
        <v>-0.1805303870056591</v>
      </c>
      <c r="K20" s="18">
        <v>0.10114111832589721</v>
      </c>
      <c r="L20" s="18">
        <v>-1.7849356423364189</v>
      </c>
      <c r="M20" s="18">
        <v>8.1495465547872056E-2</v>
      </c>
      <c r="N20" s="18">
        <v>-0.38464142730174766</v>
      </c>
      <c r="O20" s="18">
        <v>2.3580653290429493E-2</v>
      </c>
      <c r="P20" s="18">
        <v>-0.38464142730174766</v>
      </c>
      <c r="Q20" s="18">
        <v>2.3580653290429493E-2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VARS'!BD21</f>
        <v>-3.4537293494067284E-3</v>
      </c>
      <c r="F21" s="16">
        <f>'ALL VARS'!BF21</f>
        <v>2.528996153008476E-2</v>
      </c>
      <c r="G21" s="16">
        <f>'ALL VARS'!J21</f>
        <v>37.892000799999991</v>
      </c>
      <c r="I21" s="18" t="s">
        <v>17</v>
      </c>
      <c r="J21" s="18">
        <v>3.6651238254482292E-2</v>
      </c>
      <c r="K21" s="18">
        <v>0.20409031815974524</v>
      </c>
      <c r="L21" s="18">
        <v>0.17958342455909493</v>
      </c>
      <c r="M21" s="18">
        <v>0.85834322737352386</v>
      </c>
      <c r="N21" s="18">
        <v>-0.37521969854609483</v>
      </c>
      <c r="O21" s="18">
        <v>0.44852217505505942</v>
      </c>
      <c r="P21" s="18">
        <v>-0.37521969854609483</v>
      </c>
      <c r="Q21" s="18">
        <v>0.44852217505505942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VARS'!BD22</f>
        <v>-2.0513555669253079E-2</v>
      </c>
      <c r="F22" s="16">
        <f>'ALL VARS'!BF22</f>
        <v>0.13798460275965185</v>
      </c>
      <c r="G22" s="16">
        <f>'ALL VARS'!J22</f>
        <v>38.488000700000001</v>
      </c>
      <c r="I22" s="18" t="s">
        <v>87</v>
      </c>
      <c r="J22" s="18">
        <v>1.4047367911670986E-3</v>
      </c>
      <c r="K22" s="18">
        <v>1.4794603044663825E-2</v>
      </c>
      <c r="L22" s="18">
        <v>9.4949272172176635E-2</v>
      </c>
      <c r="M22" s="18">
        <v>0.92480668659723142</v>
      </c>
      <c r="N22" s="18">
        <v>-2.845198091373104E-2</v>
      </c>
      <c r="O22" s="18">
        <v>3.1261454496065239E-2</v>
      </c>
      <c r="P22" s="18">
        <v>-2.845198091373104E-2</v>
      </c>
      <c r="Q22" s="18">
        <v>3.1261454496065239E-2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VARS'!BD23</f>
        <v>-4.2614824507283683E-3</v>
      </c>
      <c r="F23" s="16">
        <f>'ALL VARS'!BF23</f>
        <v>2.4569612499788909E-2</v>
      </c>
      <c r="G23" s="16">
        <f>'ALL VARS'!J23</f>
        <v>39.449000699999999</v>
      </c>
      <c r="I23" s="22" t="s">
        <v>3</v>
      </c>
      <c r="J23" s="22">
        <v>8.4944202072229655E-5</v>
      </c>
      <c r="K23" s="22">
        <v>8.9546128621869475E-5</v>
      </c>
      <c r="L23" s="22">
        <v>0.94860831372093612</v>
      </c>
      <c r="M23" s="22">
        <v>0.34824645273891808</v>
      </c>
      <c r="N23" s="22">
        <v>-9.5767201657792291E-5</v>
      </c>
      <c r="O23" s="22">
        <v>2.6565560580225163E-4</v>
      </c>
      <c r="P23" s="22">
        <v>-9.5767201657792291E-5</v>
      </c>
      <c r="Q23" s="22">
        <v>2.6565560580225163E-4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VARS'!BD24</f>
        <v>8.9372199608673595E-5</v>
      </c>
      <c r="F24" s="16">
        <f>'ALL VARS'!BF24</f>
        <v>-4.7782922612581342E-4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VARS'!BD25</f>
        <v>-1.545793392282597E-2</v>
      </c>
      <c r="F25" s="16">
        <f>'ALL VARS'!BF25</f>
        <v>7.0465128033973701E-2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VARS'!BD26</f>
        <v>-6.3264195949767855E-3</v>
      </c>
      <c r="F26" s="16">
        <f>'ALL VARS'!BF26</f>
        <v>2.5207675902753003E-2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VARS'!BD27</f>
        <v>-4.5491056290673619E-3</v>
      </c>
      <c r="F27" s="16">
        <f>'ALL VARS'!BF27</f>
        <v>1.7229779940621904E-2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VARS'!BD28</f>
        <v>-8.140650392919108E-3</v>
      </c>
      <c r="F28" s="16">
        <f>'ALL VARS'!BF28</f>
        <v>2.6990401385961437E-2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VARS'!BD29</f>
        <v>4.9697058157848186E-3</v>
      </c>
      <c r="F29" s="16">
        <f>'ALL VARS'!BF29</f>
        <v>-1.6561589428205375E-2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VARS'!BD30</f>
        <v>1.3251235387729895E-2</v>
      </c>
      <c r="F30" s="16">
        <f>'ALL VARS'!BF30</f>
        <v>-4.0224248441925091E-2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VARS'!BD31</f>
        <v>6.160744642198155E-2</v>
      </c>
      <c r="F31" s="16">
        <f>'ALL VARS'!BF31</f>
        <v>-0.10839888811488171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VARS'!BD32</f>
        <v>-2.5340185514325002E-3</v>
      </c>
      <c r="F32" s="16">
        <f>'ALL VARS'!BF32</f>
        <v>1.6346830530875305E-4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VARS'!BD33</f>
        <v>-4.6637090889452179E-4</v>
      </c>
      <c r="F33" s="16">
        <f>'ALL VARS'!BF33</f>
        <v>-5.622057402402611E-4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VARS'!BD34</f>
        <v>-4.892276269837903E-3</v>
      </c>
      <c r="F34" s="16">
        <f>'ALL VARS'!BF34</f>
        <v>-1.5349472697466626E-2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VARS'!BD35</f>
        <v>1.6972422084757979E-3</v>
      </c>
      <c r="F35" s="16">
        <f>'ALL VARS'!BF35</f>
        <v>9.4612619013202236E-3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VARS'!BD36</f>
        <v>-6.1823648810083627E-3</v>
      </c>
      <c r="F36" s="16">
        <f>'ALL VARS'!BF36</f>
        <v>-4.6414051707298898E-2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VARS'!BD37</f>
        <v>1.3995297573664355E-3</v>
      </c>
      <c r="F37" s="16">
        <f>'ALL VARS'!BF37</f>
        <v>1.3389989457816887E-2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VARS'!BD38</f>
        <v>-1.2298260361468369E-3</v>
      </c>
      <c r="F38" s="16">
        <f>'ALL VARS'!BF38</f>
        <v>-1.3607399706164683E-2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VARS'!BD39</f>
        <v>-7.6309448321582957E-2</v>
      </c>
      <c r="F39" s="16">
        <f>'ALL VARS'!BF39</f>
        <v>-0.96909117399673461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VARS'!BD40</f>
        <v>-6.0566925067360123E-3</v>
      </c>
      <c r="F40" s="16">
        <f>'ALL VARS'!BF40</f>
        <v>-8.8569991305361737E-2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VARS'!BD41</f>
        <v>-0.10159212809198306</v>
      </c>
      <c r="F41" s="16">
        <f>'ALL VARS'!BF41</f>
        <v>-1.6998894183401665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VARS'!BD42</f>
        <v>-5.0730612500434714E-3</v>
      </c>
      <c r="F42" s="16">
        <f>'ALL VARS'!BF42</f>
        <v>-9.4721617908740854E-2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VARS'!BD43</f>
        <v>1.3260906871456596E-2</v>
      </c>
      <c r="F43" s="16">
        <f>'ALL VARS'!BF43</f>
        <v>0.27726555709193346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VARS'!BD44</f>
        <v>-6.0880198536122808E-3</v>
      </c>
      <c r="F44" s="16">
        <f>'ALL VARS'!BF44</f>
        <v>-0.14288272951193698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VARS'!BD45</f>
        <v>1.218634387890933E-3</v>
      </c>
      <c r="F45" s="16">
        <f>'ALL VARS'!BF45</f>
        <v>2.7661162278046453E-2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VARS'!BD46</f>
        <v>-1.5103702282393836E-2</v>
      </c>
      <c r="F46" s="16">
        <f>'ALL VARS'!BF46</f>
        <v>-0.36468631637645993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VARS'!BD47</f>
        <v>-4.4819921989731761E-2</v>
      </c>
      <c r="F47" s="16">
        <f>'ALL VARS'!BF47</f>
        <v>-1.0371550321689853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VARS'!BD48</f>
        <v>7.074244223783892E-3</v>
      </c>
      <c r="F48" s="16">
        <f>'ALL VARS'!BF48</f>
        <v>0.15353580140280354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34.85546875" style="16" bestFit="1" customWidth="1"/>
    <col min="7" max="7" width="11" style="16" bestFit="1" customWidth="1"/>
    <col min="8" max="8" width="11" style="16" customWidth="1"/>
    <col min="9" max="9" width="35.425781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VARS'!M1</f>
        <v>Sent_t</v>
      </c>
      <c r="F1" s="16" t="str">
        <f>'ALL VARS'!Q1</f>
        <v>Sent_t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VARS'!M2</f>
        <v>-0.24457772169262171</v>
      </c>
      <c r="F2" s="16">
        <f>'ALL VARS'!Q2</f>
        <v>3.862251247825649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VARS'!M3</f>
        <v>6.2640197575092316E-3</v>
      </c>
      <c r="F3" s="16">
        <f>'ALL VARS'!Q3</f>
        <v>-9.4727694620625108E-2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VARS'!M4</f>
        <v>-0.23609326717754206</v>
      </c>
      <c r="F4" s="16">
        <f>'ALL VARS'!Q4</f>
        <v>3.4423599866258132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VARS'!M5</f>
        <v>0.13119693499590671</v>
      </c>
      <c r="F5" s="16">
        <f>'ALL VARS'!Q5</f>
        <v>-1.9186907453417161</v>
      </c>
      <c r="G5" s="16">
        <f>'ALL VARS'!J5</f>
        <v>30.590000099999997</v>
      </c>
      <c r="I5" s="18" t="s">
        <v>57</v>
      </c>
      <c r="J5" s="18">
        <v>0.56210863748757067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VARS'!M6</f>
        <v>-0.66873623467981813</v>
      </c>
      <c r="F6" s="16">
        <f>'ALL VARS'!Q6</f>
        <v>9.7859576513253614</v>
      </c>
      <c r="G6" s="16">
        <f>'ALL VARS'!J6</f>
        <v>30.581000099999997</v>
      </c>
      <c r="I6" s="18" t="s">
        <v>58</v>
      </c>
      <c r="J6" s="18">
        <v>0.31596612033813309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VARS'!M7</f>
        <v>5.5399095018704735E-2</v>
      </c>
      <c r="F7" s="16">
        <f>'ALL VARS'!Q7</f>
        <v>-0.81118174264085952</v>
      </c>
      <c r="G7" s="16">
        <f>'ALL VARS'!J7</f>
        <v>30.572000099999997</v>
      </c>
      <c r="I7" s="18" t="s">
        <v>58</v>
      </c>
      <c r="J7" s="18">
        <v>0.22701051275128864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VARS'!M8</f>
        <v>9.735283938546975E-2</v>
      </c>
      <c r="F8" s="16">
        <f>'ALL VARS'!Q8</f>
        <v>-1.4068954261857396</v>
      </c>
      <c r="G8" s="16">
        <f>'ALL VARS'!J8</f>
        <v>30.763000099999999</v>
      </c>
      <c r="I8" s="18" t="s">
        <v>59</v>
      </c>
      <c r="J8" s="18">
        <v>2.419883519340223E-2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VARS'!M9</f>
        <v>0.49790565359095734</v>
      </c>
      <c r="F9" s="16">
        <f>'ALL VARS'!Q9</f>
        <v>-6.8902718753574819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VARS'!M10</f>
        <v>0.48645331314764917</v>
      </c>
      <c r="F10" s="16">
        <f>'ALL VARS'!Q10</f>
        <v>-6.5819609384514877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VARS'!M11</f>
        <v>-0.19248065624672633</v>
      </c>
      <c r="F11" s="16">
        <f>'ALL VARS'!Q11</f>
        <v>2.373961870350251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VARS'!M12</f>
        <v>0.27620824612677097</v>
      </c>
      <c r="F12" s="16">
        <f>'ALL VARS'!Q12</f>
        <v>-3.3640807405893476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VARS'!M13</f>
        <v>0.1164589305408299</v>
      </c>
      <c r="F13" s="16">
        <f>'ALL VARS'!Q13</f>
        <v>-1.4655784145723854</v>
      </c>
      <c r="G13" s="16">
        <f>'ALL VARS'!J13</f>
        <v>32.630000399999993</v>
      </c>
      <c r="I13" s="18" t="s">
        <v>62</v>
      </c>
      <c r="J13" s="18">
        <v>5</v>
      </c>
      <c r="K13" s="18">
        <v>1.1360596082364924E-2</v>
      </c>
      <c r="L13" s="18">
        <v>2.2721192164729849E-3</v>
      </c>
      <c r="M13" s="18">
        <v>3.8800935008545276</v>
      </c>
      <c r="N13" s="18">
        <v>5.6966737670971924E-3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VARS'!M14</f>
        <v>-0.15498585706915369</v>
      </c>
      <c r="F14" s="16">
        <f>'ALL VARS'!Q14</f>
        <v>1.9422066184142921</v>
      </c>
      <c r="G14" s="16">
        <f>'ALL VARS'!J14</f>
        <v>32.683000299999996</v>
      </c>
      <c r="I14" s="18" t="s">
        <v>63</v>
      </c>
      <c r="J14" s="18">
        <v>42</v>
      </c>
      <c r="K14" s="18">
        <v>2.4594512238132579E-2</v>
      </c>
      <c r="L14" s="18">
        <v>5.8558362471744236E-4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VARS'!M15</f>
        <v>9.5311682671308517E-2</v>
      </c>
      <c r="F15" s="16">
        <f>'ALL VARS'!Q15</f>
        <v>-1.1398808899256903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VARS'!M16</f>
        <v>0.29172629743282286</v>
      </c>
      <c r="F16" s="16">
        <f>'ALL VARS'!Q16</f>
        <v>-3.256980760629304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VARS'!M17</f>
        <v>-0.23442382345508253</v>
      </c>
      <c r="F17" s="16">
        <f>'ALL VARS'!Q17</f>
        <v>2.3842095157849506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VARS'!M18</f>
        <v>-2.1146204477796953E-2</v>
      </c>
      <c r="F18" s="16">
        <f>'ALL VARS'!Q18</f>
        <v>0.19844673596141185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VARS'!M19</f>
        <v>0.23377028697480759</v>
      </c>
      <c r="F19" s="16">
        <f>'ALL VARS'!Q19</f>
        <v>-1.917970333190256</v>
      </c>
      <c r="G19" s="16">
        <f>'ALL VARS'!J19</f>
        <v>37.010000400000003</v>
      </c>
      <c r="I19" s="18" t="s">
        <v>53</v>
      </c>
      <c r="J19" s="18">
        <v>0.32538095496002745</v>
      </c>
      <c r="K19" s="18">
        <v>0.11769752713970126</v>
      </c>
      <c r="L19" s="18">
        <v>2.7645521776665367</v>
      </c>
      <c r="M19" s="18">
        <v>8.4300905082701095E-3</v>
      </c>
      <c r="N19" s="18">
        <v>8.7857728972418864E-2</v>
      </c>
      <c r="O19" s="18">
        <v>0.56290418094763606</v>
      </c>
      <c r="P19" s="18">
        <v>8.7857728972418864E-2</v>
      </c>
      <c r="Q19" s="18">
        <v>0.56290418094763606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VARS'!M20</f>
        <v>-0.15081174378948553</v>
      </c>
      <c r="F20" s="16">
        <f>'ALL VARS'!Q20</f>
        <v>1.1187982053187726</v>
      </c>
      <c r="G20" s="16">
        <f>'ALL VARS'!J20</f>
        <v>37.796000499999998</v>
      </c>
      <c r="I20" s="18" t="s">
        <v>54</v>
      </c>
      <c r="J20" s="18">
        <v>-0.19510458960043436</v>
      </c>
      <c r="K20" s="18">
        <v>9.4564432595311804E-2</v>
      </c>
      <c r="L20" s="18">
        <v>-2.0631920929022423</v>
      </c>
      <c r="M20" s="18">
        <v>4.5311516167639648E-2</v>
      </c>
      <c r="N20" s="18">
        <v>-0.38594334075844139</v>
      </c>
      <c r="O20" s="18">
        <v>-4.2658384424273388E-3</v>
      </c>
      <c r="P20" s="18">
        <v>-0.38594334075844139</v>
      </c>
      <c r="Q20" s="18">
        <v>-4.2658384424273388E-3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VARS'!M21</f>
        <v>-0.15819044224917889</v>
      </c>
      <c r="F21" s="16">
        <f>'ALL VARS'!Q21</f>
        <v>1.1583508127514524</v>
      </c>
      <c r="G21" s="16">
        <f>'ALL VARS'!J21</f>
        <v>37.892000799999991</v>
      </c>
      <c r="I21" s="18" t="s">
        <v>19</v>
      </c>
      <c r="J21" s="18">
        <v>-3.4827270473344135E-2</v>
      </c>
      <c r="K21" s="18">
        <v>1.4242803109234738E-2</v>
      </c>
      <c r="L21" s="18">
        <v>-2.4452539437804104</v>
      </c>
      <c r="M21" s="18">
        <v>1.874915483829525E-2</v>
      </c>
      <c r="N21" s="18">
        <v>-6.3570410824936432E-2</v>
      </c>
      <c r="O21" s="18">
        <v>-6.0841301217518379E-3</v>
      </c>
      <c r="P21" s="18">
        <v>-6.3570410824936432E-2</v>
      </c>
      <c r="Q21" s="18">
        <v>-6.0841301217518379E-3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VARS'!M22</f>
        <v>-0.11695043928921223</v>
      </c>
      <c r="F22" s="16">
        <f>'ALL VARS'!Q22</f>
        <v>0.78666810220893835</v>
      </c>
      <c r="G22" s="16">
        <f>'ALL VARS'!J22</f>
        <v>38.488000700000001</v>
      </c>
      <c r="I22" s="18" t="s">
        <v>30</v>
      </c>
      <c r="J22" s="18">
        <v>-1.0562969325975573E-3</v>
      </c>
      <c r="K22" s="18">
        <v>1.0569005134540973E-3</v>
      </c>
      <c r="L22" s="18">
        <v>-0.99942891421769919</v>
      </c>
      <c r="M22" s="18">
        <v>0.32331047993740736</v>
      </c>
      <c r="N22" s="18">
        <v>-3.1892085204986921E-3</v>
      </c>
      <c r="O22" s="18">
        <v>1.0766146553035775E-3</v>
      </c>
      <c r="P22" s="18">
        <v>-3.1892085204986921E-3</v>
      </c>
      <c r="Q22" s="18">
        <v>1.0766146553035775E-3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VARS'!M23</f>
        <v>6.6089130705222487E-3</v>
      </c>
      <c r="F23" s="16">
        <f>'ALL VARS'!Q23</f>
        <v>-3.8103743254830999E-2</v>
      </c>
      <c r="G23" s="16">
        <f>'ALL VARS'!J23</f>
        <v>39.449000699999999</v>
      </c>
      <c r="I23" s="22" t="s">
        <v>3</v>
      </c>
      <c r="J23" s="22">
        <v>-1.5153051652694092E-5</v>
      </c>
      <c r="K23" s="22">
        <v>8.9906928588589136E-5</v>
      </c>
      <c r="L23" s="22">
        <v>-0.16854153390150731</v>
      </c>
      <c r="M23" s="22">
        <v>0.86696632274204877</v>
      </c>
      <c r="N23" s="22">
        <v>-1.9659257919393049E-4</v>
      </c>
      <c r="O23" s="22">
        <v>1.662864758885423E-4</v>
      </c>
      <c r="P23" s="22">
        <v>-1.9659257919393049E-4</v>
      </c>
      <c r="Q23" s="22">
        <v>1.662864758885423E-4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VARS'!M24</f>
        <v>-0.16266929442062975</v>
      </c>
      <c r="F24" s="16">
        <f>'ALL VARS'!Q24</f>
        <v>0.86971276759197136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VARS'!M25</f>
        <v>-0.43920171571274597</v>
      </c>
      <c r="F25" s="16">
        <f>'ALL VARS'!Q25</f>
        <v>2.0021048922158724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VARS'!M26</f>
        <v>-2.0552382688038051E-2</v>
      </c>
      <c r="F26" s="16">
        <f>'ALL VARS'!Q26</f>
        <v>8.1891154080385622E-2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VARS'!M27</f>
        <v>-0.44359970150981098</v>
      </c>
      <c r="F27" s="16">
        <f>'ALL VARS'!Q27</f>
        <v>1.6801380011715765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VARS'!M28</f>
        <v>7.0537303773952384E-2</v>
      </c>
      <c r="F28" s="16">
        <f>'ALL VARS'!Q28</f>
        <v>-0.23386708059572917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VARS'!M29</f>
        <v>6.1557356500998139E-2</v>
      </c>
      <c r="F29" s="16">
        <f>'ALL VARS'!Q29</f>
        <v>-0.20514044541974608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VARS'!M30</f>
        <v>0.33201583579648286</v>
      </c>
      <c r="F30" s="16">
        <f>'ALL VARS'!Q30</f>
        <v>-1.007837161967359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VARS'!M31</f>
        <v>-1.0891216807067394E-2</v>
      </c>
      <c r="F31" s="16">
        <f>'ALL VARS'!Q31</f>
        <v>1.9163199591453621E-2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VARS'!M32</f>
        <v>-1.8410735170949589E-2</v>
      </c>
      <c r="F32" s="16">
        <f>'ALL VARS'!Q32</f>
        <v>1.1876675789062598E-3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VARS'!M33</f>
        <v>-0.32017184949169558</v>
      </c>
      <c r="F33" s="16">
        <f>'ALL VARS'!Q33</f>
        <v>-0.38596415045322435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VARS'!M34</f>
        <v>0.10925812500395946</v>
      </c>
      <c r="F34" s="16">
        <f>'ALL VARS'!Q34</f>
        <v>0.34279638234335397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VARS'!M35</f>
        <v>-0.32851240194092196</v>
      </c>
      <c r="F35" s="16">
        <f>'ALL VARS'!Q35</f>
        <v>-1.831289521951081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VARS'!M36</f>
        <v>8.9164984819944948E-2</v>
      </c>
      <c r="F36" s="16">
        <f>'ALL VARS'!Q36</f>
        <v>0.66940536438192932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VARS'!M37</f>
        <v>-7.3048542439937594E-2</v>
      </c>
      <c r="F37" s="16">
        <f>'ALL VARS'!Q37</f>
        <v>-0.69889132977081481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VARS'!M38</f>
        <v>-0.50390593466969824</v>
      </c>
      <c r="F38" s="16">
        <f>'ALL VARS'!Q38</f>
        <v>-5.5754629238800799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VARS'!M39</f>
        <v>-2.5256967595355076E-2</v>
      </c>
      <c r="F39" s="16">
        <f>'ALL VARS'!Q39</f>
        <v>-0.32075063988711061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VARS'!M40</f>
        <v>-0.62750590592622757</v>
      </c>
      <c r="F40" s="16">
        <f>'ALL VARS'!Q40</f>
        <v>-9.1763272727049063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VARS'!M41</f>
        <v>-0.28957627939858605</v>
      </c>
      <c r="F41" s="16">
        <f>'ALL VARS'!Q41</f>
        <v>-4.845332629574246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VARS'!M42</f>
        <v>7.8005850501358512E-2</v>
      </c>
      <c r="F42" s="16">
        <f>'ALL VARS'!Q42</f>
        <v>1.4564855422892296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VARS'!M43</f>
        <v>-5.0065291579812765E-2</v>
      </c>
      <c r="F43" s="16">
        <f>'ALL VARS'!Q43</f>
        <v>-1.046789717732338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VARS'!M44</f>
        <v>6.451272894628346E-2</v>
      </c>
      <c r="F44" s="16">
        <f>'ALL VARS'!Q44</f>
        <v>1.5140809362898908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VARS'!M45</f>
        <v>-0.43549962999531999</v>
      </c>
      <c r="F45" s="16">
        <f>'ALL VARS'!Q45</f>
        <v>-9.8851846435896569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VARS'!M46</f>
        <v>-0.35762683051871136</v>
      </c>
      <c r="F46" s="16">
        <f>'ALL VARS'!Q46</f>
        <v>-8.6350756272048574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VARS'!M47</f>
        <v>6.999037426430732E-2</v>
      </c>
      <c r="F47" s="16">
        <f>'ALL VARS'!Q47</f>
        <v>1.6196116737607784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VARS'!M48</f>
        <v>-0.11966689694672823</v>
      </c>
      <c r="F48" s="16">
        <f>'ALL VARS'!Q48</f>
        <v>-2.5971895149352275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VARS'!S1</f>
        <v>Sent_t_k, k=0</v>
      </c>
      <c r="F1" s="16" t="str">
        <f>'ALL VARS'!U1</f>
        <v>Sent_t_k, k=0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VARS'!S2</f>
        <v>-4.0665114527942831E-2</v>
      </c>
      <c r="F2" s="16">
        <f>'ALL VARS'!U2</f>
        <v>0.64216351449175435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VARS'!S3</f>
        <v>1.3925055326792781E-4</v>
      </c>
      <c r="F3" s="16">
        <f>'ALL VARS'!U3</f>
        <v>-2.1058177330785526E-3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VARS'!S4</f>
        <v>-3.5602666505929132E-3</v>
      </c>
      <c r="F4" s="16">
        <f>'ALL VARS'!U4</f>
        <v>5.1910499635311719E-2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VARS'!S5</f>
        <v>2.2716123014224466E-3</v>
      </c>
      <c r="F5" s="16">
        <f>'ALL VARS'!U5</f>
        <v>-3.3221214351384268E-2</v>
      </c>
      <c r="G5" s="16">
        <f>'ALL VARS'!J5</f>
        <v>30.590000099999997</v>
      </c>
      <c r="I5" s="18" t="s">
        <v>57</v>
      </c>
      <c r="J5" s="18">
        <v>0.58020508784770908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VARS'!S6</f>
        <v>-1.1965291788171723E-2</v>
      </c>
      <c r="F6" s="16">
        <f>'ALL VARS'!U6</f>
        <v>0.17509420404124143</v>
      </c>
      <c r="G6" s="16">
        <f>'ALL VARS'!J6</f>
        <v>30.581000099999997</v>
      </c>
      <c r="I6" s="18" t="s">
        <v>58</v>
      </c>
      <c r="J6" s="18">
        <v>0.33663794396436786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VARS'!S7</f>
        <v>7.422496670563565E-4</v>
      </c>
      <c r="F7" s="16">
        <f>'ALL VARS'!U7</f>
        <v>-1.0868397366312257E-2</v>
      </c>
      <c r="G7" s="16">
        <f>'ALL VARS'!J7</f>
        <v>30.572000099999997</v>
      </c>
      <c r="I7" s="18" t="s">
        <v>58</v>
      </c>
      <c r="J7" s="18">
        <v>0.24965108148478385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VARS'!S8</f>
        <v>1.5144547309495519E-3</v>
      </c>
      <c r="F8" s="16">
        <f>'ALL VARS'!U8</f>
        <v>-2.1886156044220017E-2</v>
      </c>
      <c r="G8" s="16">
        <f>'ALL VARS'!J8</f>
        <v>30.763000099999999</v>
      </c>
      <c r="I8" s="18" t="s">
        <v>59</v>
      </c>
      <c r="J8" s="18">
        <v>2.3830380060349283E-2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VARS'!S9</f>
        <v>8.7608269336477695E-3</v>
      </c>
      <c r="F9" s="16">
        <f>'ALL VARS'!U9</f>
        <v>-0.1212367824916858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VARS'!S10</f>
        <v>8.3449585057469022E-3</v>
      </c>
      <c r="F10" s="16">
        <f>'ALL VARS'!U10</f>
        <v>-0.11291153628375702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VARS'!S11</f>
        <v>-1.5775973530628956E-2</v>
      </c>
      <c r="F11" s="16">
        <f>'ALL VARS'!U11</f>
        <v>0.19457310858999599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VARS'!S12</f>
        <v>5.2182364343557929E-3</v>
      </c>
      <c r="F12" s="16">
        <f>'ALL VARS'!U12</f>
        <v>-6.3555556124131607E-2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VARS'!S13</f>
        <v>2.135158897815472E-3</v>
      </c>
      <c r="F13" s="16">
        <f>'ALL VARS'!U13</f>
        <v>-2.6869925541892423E-2</v>
      </c>
      <c r="G13" s="16">
        <f>'ALL VARS'!J13</f>
        <v>32.630000399999993</v>
      </c>
      <c r="I13" s="18" t="s">
        <v>62</v>
      </c>
      <c r="J13" s="18">
        <v>5</v>
      </c>
      <c r="K13" s="18">
        <v>1.2103853740028415E-2</v>
      </c>
      <c r="L13" s="18">
        <v>2.420770748005683E-3</v>
      </c>
      <c r="M13" s="18">
        <v>4.2627682780047316</v>
      </c>
      <c r="N13" s="18">
        <v>3.2620157063840234E-3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VARS'!S14</f>
        <v>-2.6453926531445223E-3</v>
      </c>
      <c r="F14" s="16">
        <f>'ALL VARS'!U14</f>
        <v>3.3150761084924915E-2</v>
      </c>
      <c r="G14" s="16">
        <f>'ALL VARS'!J14</f>
        <v>32.683000299999996</v>
      </c>
      <c r="I14" s="18" t="s">
        <v>63</v>
      </c>
      <c r="J14" s="18">
        <v>42</v>
      </c>
      <c r="K14" s="18">
        <v>2.3851254580469088E-2</v>
      </c>
      <c r="L14" s="18">
        <v>5.6788701382069263E-4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VARS'!S15</f>
        <v>1.5914759434505219E-3</v>
      </c>
      <c r="F15" s="16">
        <f>'ALL VARS'!U15</f>
        <v>-1.9033270254726089E-2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VARS'!S16</f>
        <v>4.0751832722028182E-2</v>
      </c>
      <c r="F16" s="16">
        <f>'ALL VARS'!U16</f>
        <v>-0.45497418746279933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VARS'!S17</f>
        <v>-3.5818737551425602E-3</v>
      </c>
      <c r="F17" s="16">
        <f>'ALL VARS'!U17</f>
        <v>3.6429477881063509E-2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VARS'!S18</f>
        <v>-3.8910877398021015E-4</v>
      </c>
      <c r="F18" s="16">
        <f>'ALL VARS'!U18</f>
        <v>3.6515946023030267E-3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VARS'!S19</f>
        <v>3.6088494894241986E-3</v>
      </c>
      <c r="F19" s="16">
        <f>'ALL VARS'!U19</f>
        <v>-2.9608836722736852E-2</v>
      </c>
      <c r="G19" s="16">
        <f>'ALL VARS'!J19</f>
        <v>37.010000400000003</v>
      </c>
      <c r="I19" s="18" t="s">
        <v>53</v>
      </c>
      <c r="J19" s="18">
        <v>0.35193526684263365</v>
      </c>
      <c r="K19" s="18">
        <v>0.11691974573122428</v>
      </c>
      <c r="L19" s="18">
        <v>3.0100584348828834</v>
      </c>
      <c r="M19" s="18">
        <v>4.4050553253069938E-3</v>
      </c>
      <c r="N19" s="18">
        <v>0.11598166728426482</v>
      </c>
      <c r="O19" s="18">
        <v>0.58788886640100246</v>
      </c>
      <c r="P19" s="18">
        <v>0.11598166728426482</v>
      </c>
      <c r="Q19" s="18">
        <v>0.58788886640100246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VARS'!S20</f>
        <v>-3.4534087849418436E-3</v>
      </c>
      <c r="F20" s="16">
        <f>'ALL VARS'!U20</f>
        <v>2.5619142473534542E-2</v>
      </c>
      <c r="G20" s="16">
        <f>'ALL VARS'!J20</f>
        <v>37.796000499999998</v>
      </c>
      <c r="I20" s="18" t="s">
        <v>54</v>
      </c>
      <c r="J20" s="18">
        <v>-0.16640699547025631</v>
      </c>
      <c r="K20" s="18">
        <v>9.2867010123427907E-2</v>
      </c>
      <c r="L20" s="18">
        <v>-1.7918849250028368</v>
      </c>
      <c r="M20" s="18">
        <v>8.0357815746443656E-2</v>
      </c>
      <c r="N20" s="18">
        <v>-0.35382020939580161</v>
      </c>
      <c r="O20" s="18">
        <v>2.1006218455288966E-2</v>
      </c>
      <c r="P20" s="18">
        <v>-0.35382020939580161</v>
      </c>
      <c r="Q20" s="18">
        <v>2.1006218455288966E-2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VARS'!S21</f>
        <v>-2.4350381749567275E-3</v>
      </c>
      <c r="F21" s="16">
        <f>'ALL VARS'!U21</f>
        <v>1.7830587037609598E-2</v>
      </c>
      <c r="G21" s="16">
        <f>'ALL VARS'!J21</f>
        <v>37.892000799999991</v>
      </c>
      <c r="I21" s="18" t="s">
        <v>20</v>
      </c>
      <c r="J21" s="18">
        <v>-0.92810614110893541</v>
      </c>
      <c r="K21" s="18">
        <v>0.33336726343510953</v>
      </c>
      <c r="L21" s="18">
        <v>-2.7840350355504921</v>
      </c>
      <c r="M21" s="18">
        <v>8.0152703953494976E-3</v>
      </c>
      <c r="N21" s="18">
        <v>-1.6008685157659868</v>
      </c>
      <c r="O21" s="18">
        <v>-0.25534376645188406</v>
      </c>
      <c r="P21" s="18">
        <v>-1.6008685157659868</v>
      </c>
      <c r="Q21" s="18">
        <v>-0.25534376645188406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VARS'!S22</f>
        <v>-2.0812126079932354E-3</v>
      </c>
      <c r="F22" s="16">
        <f>'ALL VARS'!U22</f>
        <v>1.3999293910941084E-2</v>
      </c>
      <c r="G22" s="16">
        <f>'ALL VARS'!J22</f>
        <v>38.488000700000001</v>
      </c>
      <c r="I22" s="18" t="s">
        <v>88</v>
      </c>
      <c r="J22" s="18">
        <v>-3.7577056669429364E-2</v>
      </c>
      <c r="K22" s="18">
        <v>2.9457957478889102E-2</v>
      </c>
      <c r="L22" s="18">
        <v>-1.275616501801212</v>
      </c>
      <c r="M22" s="18">
        <v>0.20910144552159499</v>
      </c>
      <c r="N22" s="18">
        <v>-9.7025621659979272E-2</v>
      </c>
      <c r="O22" s="18">
        <v>2.1871508321120538E-2</v>
      </c>
      <c r="P22" s="18">
        <v>-9.7025621659979272E-2</v>
      </c>
      <c r="Q22" s="18">
        <v>2.1871508321120538E-2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VARS'!S23</f>
        <v>8.937230388307014E-5</v>
      </c>
      <c r="F23" s="16">
        <f>'ALL VARS'!U23</f>
        <v>-5.1527676108230878E-4</v>
      </c>
      <c r="G23" s="16">
        <f>'ALL VARS'!J23</f>
        <v>39.449000699999999</v>
      </c>
      <c r="I23" s="22" t="s">
        <v>3</v>
      </c>
      <c r="J23" s="22">
        <v>3.6123554986272843E-6</v>
      </c>
      <c r="K23" s="22">
        <v>8.4701147545641247E-5</v>
      </c>
      <c r="L23" s="22">
        <v>4.2648247435853985E-2</v>
      </c>
      <c r="M23" s="22">
        <v>0.96618404647067702</v>
      </c>
      <c r="N23" s="22">
        <v>-1.6732148057095684E-4</v>
      </c>
      <c r="O23" s="22">
        <v>1.7454619156821141E-4</v>
      </c>
      <c r="P23" s="22">
        <v>-1.6732148057095684E-4</v>
      </c>
      <c r="Q23" s="22">
        <v>1.7454619156821141E-4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VARS'!S24</f>
        <v>-2.3627441199868299E-3</v>
      </c>
      <c r="F24" s="16">
        <f>'ALL VARS'!U24</f>
        <v>1.263243155399584E-2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VARS'!S25</f>
        <v>-6.3264485000512896E-3</v>
      </c>
      <c r="F25" s="16">
        <f>'ALL VARS'!U25</f>
        <v>2.8839171249022674E-2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VARS'!S26</f>
        <v>-3.9553487503764956E-4</v>
      </c>
      <c r="F26" s="16">
        <f>'ALL VARS'!U26</f>
        <v>1.5760122749527436E-3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VARS'!S27</f>
        <v>-8.1406529490503053E-3</v>
      </c>
      <c r="F27" s="16">
        <f>'ALL VARS'!U27</f>
        <v>3.0832798866854919E-2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VARS'!S28</f>
        <v>9.3619015445122074E-4</v>
      </c>
      <c r="F28" s="16">
        <f>'ALL VARS'!U28</f>
        <v>-3.1039470831719287E-3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VARS'!S29</f>
        <v>9.3990532947466456E-4</v>
      </c>
      <c r="F29" s="16">
        <f>'ALL VARS'!U29</f>
        <v>-3.1322429828139135E-3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VARS'!S30</f>
        <v>3.3249417438323624E-2</v>
      </c>
      <c r="F30" s="16">
        <f>'ALL VARS'!U30</f>
        <v>-0.10092891632027112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VARS'!S31</f>
        <v>-2.0033672346562136E-4</v>
      </c>
      <c r="F31" s="16">
        <f>'ALL VARS'!U31</f>
        <v>3.5249437094837154E-4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VARS'!S32</f>
        <v>-1.7813606538020022E-3</v>
      </c>
      <c r="F32" s="16">
        <f>'ALL VARS'!U32</f>
        <v>1.14914710097955E-4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VARS'!S33</f>
        <v>-4.8918311083505656E-3</v>
      </c>
      <c r="F33" s="16">
        <f>'ALL VARS'!U33</f>
        <v>-5.8970563492470708E-3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VARS'!S34</f>
        <v>1.6972291644065604E-3</v>
      </c>
      <c r="F34" s="16">
        <f>'ALL VARS'!U34</f>
        <v>5.3250412044423987E-3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VARS'!S35</f>
        <v>-4.2681083364169078E-2</v>
      </c>
      <c r="F35" s="16">
        <f>'ALL VARS'!U35</f>
        <v>-0.23792532728910365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VARS'!S36</f>
        <v>1.3995175667343648E-3</v>
      </c>
      <c r="F36" s="16">
        <f>'ALL VARS'!U36</f>
        <v>1.0506866216716605E-2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VARS'!S37</f>
        <v>-1.2297182185778876E-3</v>
      </c>
      <c r="F37" s="16">
        <f>'ALL VARS'!U37</f>
        <v>-1.1765318955295387E-2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VARS'!S38</f>
        <v>-7.172374970462434E-3</v>
      </c>
      <c r="F38" s="16">
        <f>'ALL VARS'!U38</f>
        <v>-7.9358681794829605E-2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VARS'!S39</f>
        <v>-1.9875074046811075E-3</v>
      </c>
      <c r="F39" s="16">
        <f>'ALL VARS'!U39</f>
        <v>-2.5240332966538517E-2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VARS'!S40</f>
        <v>-8.8852928190003358E-3</v>
      </c>
      <c r="F40" s="16">
        <f>'ALL VARS'!U40</f>
        <v>-0.12993400388895684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VARS'!S41</f>
        <v>-5.0728967861617107E-3</v>
      </c>
      <c r="F41" s="16">
        <f>'ALL VARS'!U41</f>
        <v>-8.4882202283629749E-2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VARS'!S42</f>
        <v>1.5602424550421763E-3</v>
      </c>
      <c r="F42" s="16">
        <f>'ALL VARS'!U42</f>
        <v>2.9132053091264057E-2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VARS'!S43</f>
        <v>-7.2399917498845148E-4</v>
      </c>
      <c r="F43" s="16">
        <f>'ALL VARS'!U43</f>
        <v>-1.5137730513691758E-2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VARS'!S44</f>
        <v>1.2186557736812251E-3</v>
      </c>
      <c r="F44" s="16">
        <f>'ALL VARS'!U44</f>
        <v>2.8601231182867955E-2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VARS'!S45</f>
        <v>-1.1348225235603708E-2</v>
      </c>
      <c r="F45" s="16">
        <f>'ALL VARS'!U45</f>
        <v>-0.25758759389116337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VARS'!S46</f>
        <v>-5.0848837216479351E-3</v>
      </c>
      <c r="F46" s="16">
        <f>'ALL VARS'!U46</f>
        <v>-0.12277701711666035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VARS'!S47</f>
        <v>1.2419562592091457E-3</v>
      </c>
      <c r="F47" s="16">
        <f>'ALL VARS'!U47</f>
        <v>2.8739478490561361E-2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VARS'!S48</f>
        <v>-6.9170544564514224E-3</v>
      </c>
      <c r="F48" s="16">
        <f>'ALL VARS'!U48</f>
        <v>-0.15012423457866556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VARS'!W2</f>
        <v>-3.9796701988386524E-3</v>
      </c>
      <c r="F2" s="16">
        <f>'ALL VARS'!Y2</f>
        <v>6.2844997021913235E-2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VARS'!W3</f>
        <v>1.3920669668449529E-4</v>
      </c>
      <c r="F3" s="16">
        <f>'ALL VARS'!Y3</f>
        <v>-2.1051545115046552E-3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VARS'!W4</f>
        <v>-3.5609529572036467E-3</v>
      </c>
      <c r="F4" s="16">
        <f>'ALL VARS'!Y4</f>
        <v>5.1920506334967281E-2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VARS'!W5</f>
        <v>2.2717113236016386E-3</v>
      </c>
      <c r="F5" s="16">
        <f>'ALL VARS'!Y5</f>
        <v>-3.3222662502126549E-2</v>
      </c>
      <c r="G5" s="16">
        <f>'ALL VARS'!J5</f>
        <v>30.590000099999997</v>
      </c>
      <c r="I5" s="18" t="s">
        <v>57</v>
      </c>
      <c r="J5" s="18">
        <v>0.52254427845945584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VARS'!W6</f>
        <v>-1.1963390519316018E-2</v>
      </c>
      <c r="F6" s="16">
        <f>'ALL VARS'!Y6</f>
        <v>0.1750663818064935</v>
      </c>
      <c r="G6" s="16">
        <f>'ALL VARS'!J6</f>
        <v>30.581000099999997</v>
      </c>
      <c r="I6" s="18" t="s">
        <v>58</v>
      </c>
      <c r="J6" s="18">
        <v>0.27305252295071331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VARS'!W7</f>
        <v>7.4224151691076282E-4</v>
      </c>
      <c r="F7" s="16">
        <f>'ALL VARS'!Y7</f>
        <v>-1.086827802773275E-2</v>
      </c>
      <c r="G7" s="16">
        <f>'ALL VARS'!J7</f>
        <v>30.572000099999997</v>
      </c>
      <c r="I7" s="18" t="s">
        <v>58</v>
      </c>
      <c r="J7" s="18">
        <v>0.18000990608887649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VARS'!W8</f>
        <v>1.5145366119592391E-3</v>
      </c>
      <c r="F8" s="16">
        <f>'ALL VARS'!Y8</f>
        <v>-2.1887339348361401E-2</v>
      </c>
      <c r="G8" s="16">
        <f>'ALL VARS'!J8</f>
        <v>30.763000099999999</v>
      </c>
      <c r="I8" s="18" t="s">
        <v>59</v>
      </c>
      <c r="J8" s="18">
        <v>2.4946359253701717E-2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VARS'!W9</f>
        <v>8.7604672078830364E-3</v>
      </c>
      <c r="F9" s="16">
        <f>'ALL VARS'!Y9</f>
        <v>-0.12123180442344797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VARS'!W10</f>
        <v>8.3455874052259706E-3</v>
      </c>
      <c r="F10" s="16">
        <f>'ALL VARS'!Y10</f>
        <v>-0.11292004561382747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VARS'!W11</f>
        <v>-7.4675970629340827E-3</v>
      </c>
      <c r="F11" s="16">
        <f>'ALL VARS'!Y11</f>
        <v>9.2101674195359806E-2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VARS'!W12</f>
        <v>5.2177766315999914E-3</v>
      </c>
      <c r="F12" s="16">
        <f>'ALL VARS'!Y12</f>
        <v>-6.3549955952460588E-2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VARS'!W13</f>
        <v>2.1353922332834766E-3</v>
      </c>
      <c r="F13" s="16">
        <f>'ALL VARS'!Y13</f>
        <v>-2.6872861954099488E-2</v>
      </c>
      <c r="G13" s="16">
        <f>'ALL VARS'!J13</f>
        <v>32.630000399999993</v>
      </c>
      <c r="I13" s="18" t="s">
        <v>62</v>
      </c>
      <c r="J13" s="18">
        <v>5</v>
      </c>
      <c r="K13" s="18">
        <v>9.8176330398780272E-3</v>
      </c>
      <c r="L13" s="18">
        <v>1.9635266079756054E-3</v>
      </c>
      <c r="M13" s="18">
        <v>3.1551676912010027</v>
      </c>
      <c r="N13" s="18">
        <v>1.6825063396764435E-2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VARS'!W14</f>
        <v>-1.1690442426449081E-2</v>
      </c>
      <c r="F14" s="16">
        <f>'ALL VARS'!Y14</f>
        <v>0.14649888113797185</v>
      </c>
      <c r="G14" s="16">
        <f>'ALL VARS'!J14</f>
        <v>32.683000299999996</v>
      </c>
      <c r="I14" s="18" t="s">
        <v>63</v>
      </c>
      <c r="J14" s="18">
        <v>42</v>
      </c>
      <c r="K14" s="18">
        <v>2.6137475280619476E-2</v>
      </c>
      <c r="L14" s="18">
        <v>6.2232084001474937E-4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VARS'!W15</f>
        <v>1.5915756643559884E-3</v>
      </c>
      <c r="F15" s="16">
        <f>'ALL VARS'!Y15</f>
        <v>-1.9034462867754016E-2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VARS'!W16</f>
        <v>4.2867611724490213E-3</v>
      </c>
      <c r="F16" s="16">
        <f>'ALL VARS'!Y16</f>
        <v>-4.785958203611812E-2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VARS'!W17</f>
        <v>-3.5819131495890924E-3</v>
      </c>
      <c r="F17" s="16">
        <f>'ALL VARS'!Y17</f>
        <v>3.6429878542621308E-2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VARS'!W18</f>
        <v>-3.8911296934307027E-4</v>
      </c>
      <c r="F18" s="16">
        <f>'ALL VARS'!Y18</f>
        <v>3.6516339737215071E-3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VARS'!W19</f>
        <v>3.6088050963376506E-3</v>
      </c>
      <c r="F19" s="16">
        <f>'ALL VARS'!Y19</f>
        <v>-2.9608472499275864E-2</v>
      </c>
      <c r="G19" s="16">
        <f>'ALL VARS'!J19</f>
        <v>37.010000400000003</v>
      </c>
      <c r="I19" s="18" t="s">
        <v>53</v>
      </c>
      <c r="J19" s="18">
        <v>0.32256613204130447</v>
      </c>
      <c r="K19" s="18">
        <v>0.12315802235350901</v>
      </c>
      <c r="L19" s="18">
        <v>2.6191239992098976</v>
      </c>
      <c r="M19" s="18">
        <v>1.2212466046761692E-2</v>
      </c>
      <c r="N19" s="18">
        <v>7.4023180574382758E-2</v>
      </c>
      <c r="O19" s="18">
        <v>0.5711090835082262</v>
      </c>
      <c r="P19" s="18">
        <v>7.4023180574382758E-2</v>
      </c>
      <c r="Q19" s="18">
        <v>0.5711090835082262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VARS'!W20</f>
        <v>-3.4532711014385658E-3</v>
      </c>
      <c r="F20" s="16">
        <f>'ALL VARS'!Y20</f>
        <v>2.5618121067293234E-2</v>
      </c>
      <c r="G20" s="16">
        <f>'ALL VARS'!J20</f>
        <v>37.796000499999998</v>
      </c>
      <c r="I20" s="18" t="s">
        <v>54</v>
      </c>
      <c r="J20" s="18">
        <v>-0.17121479641877413</v>
      </c>
      <c r="K20" s="18">
        <v>9.7244575890532009E-2</v>
      </c>
      <c r="L20" s="18">
        <v>-1.7606616600550578</v>
      </c>
      <c r="M20" s="18">
        <v>8.5576045988346838E-2</v>
      </c>
      <c r="N20" s="18">
        <v>-0.36746229572179656</v>
      </c>
      <c r="O20" s="18">
        <v>2.5032702884248331E-2</v>
      </c>
      <c r="P20" s="18">
        <v>-0.36746229572179656</v>
      </c>
      <c r="Q20" s="18">
        <v>2.5032702884248331E-2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VARS'!W21</f>
        <v>-2.434916385736674E-3</v>
      </c>
      <c r="F21" s="16">
        <f>'ALL VARS'!Y21</f>
        <v>1.7829695235045375E-2</v>
      </c>
      <c r="G21" s="16">
        <f>'ALL VARS'!J21</f>
        <v>37.892000799999991</v>
      </c>
      <c r="I21" s="18" t="s">
        <v>21</v>
      </c>
      <c r="J21" s="18">
        <v>-1.113975606203345</v>
      </c>
      <c r="K21" s="18">
        <v>0.60571394008085511</v>
      </c>
      <c r="L21" s="18">
        <v>-1.8391117200549214</v>
      </c>
      <c r="M21" s="18">
        <v>7.2975430453112056E-2</v>
      </c>
      <c r="N21" s="18">
        <v>-2.3363558258225874</v>
      </c>
      <c r="O21" s="18">
        <v>0.10840461341589736</v>
      </c>
      <c r="P21" s="18">
        <v>-2.3363558258225874</v>
      </c>
      <c r="Q21" s="18">
        <v>0.10840461341589736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VARS'!W22</f>
        <v>-6.257889059890118E-3</v>
      </c>
      <c r="F22" s="16">
        <f>'ALL VARS'!Y22</f>
        <v>4.2093742789659917E-2</v>
      </c>
      <c r="G22" s="16">
        <f>'ALL VARS'!J22</f>
        <v>38.488000700000001</v>
      </c>
      <c r="I22" s="18" t="s">
        <v>89</v>
      </c>
      <c r="J22" s="18">
        <v>1.7347215984228267E-2</v>
      </c>
      <c r="K22" s="18">
        <v>4.3629371391556988E-2</v>
      </c>
      <c r="L22" s="18">
        <v>0.39760407796260944</v>
      </c>
      <c r="M22" s="18">
        <v>0.69293572235230982</v>
      </c>
      <c r="N22" s="18">
        <v>-7.0700420126543456E-2</v>
      </c>
      <c r="O22" s="18">
        <v>0.10539485209499999</v>
      </c>
      <c r="P22" s="18">
        <v>-7.0700420126543456E-2</v>
      </c>
      <c r="Q22" s="18">
        <v>0.10539485209499999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VARS'!W23</f>
        <v>8.9372641890552197E-5</v>
      </c>
      <c r="F23" s="16">
        <f>'ALL VARS'!Y23</f>
        <v>-5.1527870986725675E-4</v>
      </c>
      <c r="G23" s="16">
        <f>'ALL VARS'!J23</f>
        <v>39.449000699999999</v>
      </c>
      <c r="I23" s="22" t="s">
        <v>3</v>
      </c>
      <c r="J23" s="22">
        <v>6.2275306495255387E-5</v>
      </c>
      <c r="K23" s="22">
        <v>8.3403883217159972E-5</v>
      </c>
      <c r="L23" s="22">
        <v>0.74667154685241954</v>
      </c>
      <c r="M23" s="22">
        <v>0.45942137725252152</v>
      </c>
      <c r="N23" s="22">
        <v>-1.0604054416930163E-4</v>
      </c>
      <c r="O23" s="22">
        <v>2.3059115715981239E-4</v>
      </c>
      <c r="P23" s="22">
        <v>-1.0604054416930163E-4</v>
      </c>
      <c r="Q23" s="22">
        <v>2.3059115715981239E-4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VARS'!W24</f>
        <v>-2.3627544575136358E-3</v>
      </c>
      <c r="F24" s="16">
        <f>'ALL VARS'!Y24</f>
        <v>1.2632486823670921E-2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VARS'!W25</f>
        <v>-6.3268426066481207E-3</v>
      </c>
      <c r="F25" s="16">
        <f>'ALL VARS'!Y25</f>
        <v>2.8840967787417997E-2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VARS'!W26</f>
        <v>-1.4570747688227757E-3</v>
      </c>
      <c r="F26" s="16">
        <f>'ALL VARS'!Y26</f>
        <v>5.8057275504973934E-3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VARS'!W27</f>
        <v>-8.1397416950628222E-3</v>
      </c>
      <c r="F27" s="16">
        <f>'ALL VARS'!Y27</f>
        <v>3.0829347483889873E-2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VARS'!W28</f>
        <v>6.2544682571715783E-3</v>
      </c>
      <c r="F28" s="16">
        <f>'ALL VARS'!Y28</f>
        <v>-2.0736747135542175E-2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VARS'!W29</f>
        <v>9.399022068945043E-4</v>
      </c>
      <c r="F29" s="16">
        <f>'ALL VARS'!Y29</f>
        <v>-3.1322325767873826E-3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VARS'!W30</f>
        <v>1.5092006869835773E-2</v>
      </c>
      <c r="F30" s="16">
        <f>'ALL VARS'!Y30</f>
        <v>-4.5811927420867607E-2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VARS'!W31</f>
        <v>-2.0035314346432759E-4</v>
      </c>
      <c r="F31" s="16">
        <f>'ALL VARS'!Y31</f>
        <v>3.5252326209231556E-4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VARS'!W32</f>
        <v>-2.5983841384834668E-4</v>
      </c>
      <c r="F32" s="16">
        <f>'ALL VARS'!Y32</f>
        <v>1.6762049804999263E-5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VARS'!W33</f>
        <v>-4.8918098363505596E-3</v>
      </c>
      <c r="F33" s="16">
        <f>'ALL VARS'!Y33</f>
        <v>-5.8970307060513183E-3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VARS'!W34</f>
        <v>1.6972061336973533E-3</v>
      </c>
      <c r="F34" s="16">
        <f>'ALL VARS'!Y34</f>
        <v>5.3249689457998605E-3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VARS'!W35</f>
        <v>-6.1817702594409536E-3</v>
      </c>
      <c r="F35" s="16">
        <f>'ALL VARS'!Y35</f>
        <v>-3.4460224443090819E-2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VARS'!W36</f>
        <v>9.7581869367338089E-3</v>
      </c>
      <c r="F36" s="16">
        <f>'ALL VARS'!Y36</f>
        <v>7.3259505345983314E-2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VARS'!W37</f>
        <v>-1.2297746236059619E-3</v>
      </c>
      <c r="F37" s="16">
        <f>'ALL VARS'!Y37</f>
        <v>-1.1765858609938175E-2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VARS'!W38</f>
        <v>-7.1723386329397574E-3</v>
      </c>
      <c r="F38" s="16">
        <f>'ALL VARS'!Y38</f>
        <v>-7.9358279738619336E-2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VARS'!W39</f>
        <v>-4.5687447281879439E-4</v>
      </c>
      <c r="F39" s="16">
        <f>'ALL VARS'!Y39</f>
        <v>-5.8020733863421046E-3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VARS'!W40</f>
        <v>-8.8855990083988642E-3</v>
      </c>
      <c r="F40" s="16">
        <f>'ALL VARS'!Y40</f>
        <v>-0.12993848144701931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VARS'!W41</f>
        <v>-5.0727590262987015E-3</v>
      </c>
      <c r="F41" s="16">
        <f>'ALL VARS'!Y41</f>
        <v>-8.4879897217894837E-2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VARS'!W42</f>
        <v>7.8005471767174112E-3</v>
      </c>
      <c r="F42" s="16">
        <f>'ALL VARS'!Y42</f>
        <v>0.14564784707572817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VARS'!W43</f>
        <v>-7.2398129983529131E-4</v>
      </c>
      <c r="F43" s="16">
        <f>'ALL VARS'!Y43</f>
        <v>-1.5137356771205887E-2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VARS'!W44</f>
        <v>1.5554733397967077E-2</v>
      </c>
      <c r="F44" s="16">
        <f>'ALL VARS'!Y44</f>
        <v>0.36506168149456952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VARS'!W45</f>
        <v>-6.056739979982898E-3</v>
      </c>
      <c r="F45" s="16">
        <f>'ALL VARS'!Y45</f>
        <v>-0.13747886086834535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VARS'!W46</f>
        <v>-5.085061833605015E-3</v>
      </c>
      <c r="F46" s="16">
        <f>'ALL VARS'!Y46</f>
        <v>-0.12278131771742137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VARS'!W47</f>
        <v>1.2419150912283468E-3</v>
      </c>
      <c r="F47" s="16">
        <f>'ALL VARS'!Y47</f>
        <v>2.8738525843243958E-2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VARS'!W48</f>
        <v>-1.5335211430256503E-3</v>
      </c>
      <c r="F48" s="16">
        <f>'ALL VARS'!Y48</f>
        <v>-3.3282763531260751E-2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VARS'!AA2</f>
        <v>-3.9797236618121191E-3</v>
      </c>
      <c r="F2" s="16">
        <f>'ALL VARS'!AC2</f>
        <v>6.2845841282929957E-2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VARS'!AA3</f>
        <v>1.3922479831146258E-4</v>
      </c>
      <c r="F3" s="16">
        <f>'ALL VARS'!AC3</f>
        <v>-2.1054282535198266E-3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VARS'!AA4</f>
        <v>-3.5611298229558694E-3</v>
      </c>
      <c r="F4" s="16">
        <f>'ALL VARS'!AC4</f>
        <v>5.1923085127644153E-2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VARS'!AA5</f>
        <v>2.2715899837558381E-3</v>
      </c>
      <c r="F5" s="16">
        <f>'ALL VARS'!AC5</f>
        <v>-3.3220887966470013E-2</v>
      </c>
      <c r="G5" s="16">
        <f>'ALL VARS'!J5</f>
        <v>30.590000099999997</v>
      </c>
      <c r="I5" s="18" t="s">
        <v>57</v>
      </c>
      <c r="J5" s="18">
        <v>0.49145892917432227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VARS'!AA6</f>
        <v>-1.1966886213536851E-2</v>
      </c>
      <c r="F6" s="16">
        <f>'ALL VARS'!AC6</f>
        <v>0.1751175360790348</v>
      </c>
      <c r="G6" s="16">
        <f>'ALL VARS'!J6</f>
        <v>30.581000099999997</v>
      </c>
      <c r="I6" s="18" t="s">
        <v>58</v>
      </c>
      <c r="J6" s="18">
        <v>0.24153187906517148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VARS'!AA7</f>
        <v>6.829273949933305E-3</v>
      </c>
      <c r="F7" s="16">
        <f>'ALL VARS'!AC7</f>
        <v>-9.9997704688285852E-2</v>
      </c>
      <c r="G7" s="16">
        <f>'ALL VARS'!J7</f>
        <v>30.572000099999997</v>
      </c>
      <c r="I7" s="18" t="s">
        <v>58</v>
      </c>
      <c r="J7" s="18">
        <v>0.14548729611899736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VARS'!AA8</f>
        <v>1.5145415361475247E-3</v>
      </c>
      <c r="F8" s="16">
        <f>'ALL VARS'!AC8</f>
        <v>-2.1887410510312306E-2</v>
      </c>
      <c r="G8" s="16">
        <f>'ALL VARS'!J8</f>
        <v>30.763000099999999</v>
      </c>
      <c r="I8" s="18" t="s">
        <v>59</v>
      </c>
      <c r="J8" s="18">
        <v>2.5481460789149264E-2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VARS'!AA9</f>
        <v>8.7602504281608495E-3</v>
      </c>
      <c r="F9" s="16">
        <f>'ALL VARS'!AC9</f>
        <v>-0.12122880451530842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VARS'!AA10</f>
        <v>0.10563345255546264</v>
      </c>
      <c r="F10" s="16">
        <f>'ALL VARS'!AC10</f>
        <v>-1.4292743819853322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VARS'!AA11</f>
        <v>-2.8211767729283792E-3</v>
      </c>
      <c r="F11" s="16">
        <f>'ALL VARS'!AC11</f>
        <v>3.479500859486314E-2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VARS'!AA12</f>
        <v>8.1938723304662245E-2</v>
      </c>
      <c r="F12" s="16">
        <f>'ALL VARS'!AC12</f>
        <v>-0.99797339450604139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VARS'!AA13</f>
        <v>2.1362410423807297E-3</v>
      </c>
      <c r="F13" s="16">
        <f>'ALL VARS'!AC13</f>
        <v>-2.6883543799495542E-2</v>
      </c>
      <c r="G13" s="16">
        <f>'ALL VARS'!J13</f>
        <v>32.630000399999993</v>
      </c>
      <c r="I13" s="18" t="s">
        <v>62</v>
      </c>
      <c r="J13" s="18">
        <v>5</v>
      </c>
      <c r="K13" s="18">
        <v>8.6843048746415435E-3</v>
      </c>
      <c r="L13" s="18">
        <v>1.7368609749283087E-3</v>
      </c>
      <c r="M13" s="18">
        <v>2.6749545935389039</v>
      </c>
      <c r="N13" s="18">
        <v>3.5018908945179776E-2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VARS'!AA14</f>
        <v>-2.6453647036272405E-3</v>
      </c>
      <c r="F14" s="16">
        <f>'ALL VARS'!AC14</f>
        <v>3.3150410835305545E-2</v>
      </c>
      <c r="G14" s="16">
        <f>'ALL VARS'!J14</f>
        <v>32.683000299999996</v>
      </c>
      <c r="I14" s="18" t="s">
        <v>63</v>
      </c>
      <c r="J14" s="18">
        <v>42</v>
      </c>
      <c r="K14" s="18">
        <v>2.727080344585596E-2</v>
      </c>
      <c r="L14" s="18">
        <v>6.4930484394895138E-4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VARS'!AA15</f>
        <v>4.2863747882977331E-2</v>
      </c>
      <c r="F15" s="16">
        <f>'ALL VARS'!AC15</f>
        <v>-0.51262936203629439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VARS'!AA16</f>
        <v>2.8136761843105738E-2</v>
      </c>
      <c r="F16" s="16">
        <f>'ALL VARS'!AC16</f>
        <v>-0.31413311996840693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VARS'!AA17</f>
        <v>-3.582024853674988E-3</v>
      </c>
      <c r="F17" s="16">
        <f>'ALL VARS'!AC17</f>
        <v>3.6431014629989128E-2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VARS'!AA18</f>
        <v>-3.8913929979446024E-4</v>
      </c>
      <c r="F18" s="16">
        <f>'ALL VARS'!AC18</f>
        <v>3.6518810720667545E-3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VARS'!AA19</f>
        <v>3.6089485401624034E-3</v>
      </c>
      <c r="F19" s="16">
        <f>'ALL VARS'!AC19</f>
        <v>-2.9609649385371681E-2</v>
      </c>
      <c r="G19" s="16">
        <f>'ALL VARS'!J19</f>
        <v>37.010000400000003</v>
      </c>
      <c r="I19" s="18" t="s">
        <v>53</v>
      </c>
      <c r="J19" s="18">
        <v>0.32708466076895876</v>
      </c>
      <c r="K19" s="18">
        <v>0.12558509013223551</v>
      </c>
      <c r="L19" s="18">
        <v>2.6044864117591757</v>
      </c>
      <c r="M19" s="18">
        <v>1.2669089712263725E-2</v>
      </c>
      <c r="N19" s="18">
        <v>7.3643688226288861E-2</v>
      </c>
      <c r="O19" s="18">
        <v>0.58052563331162865</v>
      </c>
      <c r="P19" s="18">
        <v>7.3643688226288861E-2</v>
      </c>
      <c r="Q19" s="18">
        <v>0.58052563331162865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VARS'!AA20</f>
        <v>-1.9611588317032309E-2</v>
      </c>
      <c r="F20" s="16">
        <f>'ALL VARS'!AC20</f>
        <v>0.14548873490365472</v>
      </c>
      <c r="G20" s="16">
        <f>'ALL VARS'!J20</f>
        <v>37.796000499999998</v>
      </c>
      <c r="I20" s="18" t="s">
        <v>54</v>
      </c>
      <c r="J20" s="18">
        <v>-0.2010098233576362</v>
      </c>
      <c r="K20" s="18">
        <v>0.1025250379895912</v>
      </c>
      <c r="L20" s="18">
        <v>-1.9605925274374794</v>
      </c>
      <c r="M20" s="18">
        <v>5.6581229844917334E-2</v>
      </c>
      <c r="N20" s="18">
        <v>-0.40791372660519631</v>
      </c>
      <c r="O20" s="18">
        <v>5.8940798899238811E-3</v>
      </c>
      <c r="P20" s="18">
        <v>-0.40791372660519631</v>
      </c>
      <c r="Q20" s="18">
        <v>5.8940798899238811E-3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VARS'!AA21</f>
        <v>-2.4349354257541199E-3</v>
      </c>
      <c r="F21" s="16">
        <f>'ALL VARS'!AC21</f>
        <v>1.7829834655729519E-2</v>
      </c>
      <c r="G21" s="16">
        <f>'ALL VARS'!J21</f>
        <v>37.892000799999991</v>
      </c>
      <c r="I21" s="18" t="s">
        <v>22</v>
      </c>
      <c r="J21" s="18">
        <v>-0.13944967833943145</v>
      </c>
      <c r="K21" s="18">
        <v>0.11238915249479574</v>
      </c>
      <c r="L21" s="18">
        <v>-1.2407752460442192</v>
      </c>
      <c r="M21" s="18">
        <v>0.22157505734335026</v>
      </c>
      <c r="N21" s="18">
        <v>-0.36626017058445082</v>
      </c>
      <c r="O21" s="18">
        <v>8.7360813905587947E-2</v>
      </c>
      <c r="P21" s="18">
        <v>-0.36626017058445082</v>
      </c>
      <c r="Q21" s="18">
        <v>8.7360813905587947E-2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VARS'!AA22</f>
        <v>-1.461115374105099E-2</v>
      </c>
      <c r="F22" s="16">
        <f>'ALL VARS'!AC22</f>
        <v>9.8282047116823923E-2</v>
      </c>
      <c r="G22" s="16">
        <f>'ALL VARS'!J22</f>
        <v>38.488000700000001</v>
      </c>
      <c r="I22" s="18" t="s">
        <v>90</v>
      </c>
      <c r="J22" s="18">
        <v>-3.4170456208038437E-3</v>
      </c>
      <c r="K22" s="18">
        <v>1.0423982402896385E-2</v>
      </c>
      <c r="L22" s="18">
        <v>-0.32780615783219197</v>
      </c>
      <c r="M22" s="18">
        <v>0.74468676639891696</v>
      </c>
      <c r="N22" s="18">
        <v>-2.4453493778590497E-2</v>
      </c>
      <c r="O22" s="18">
        <v>1.7619402536982812E-2</v>
      </c>
      <c r="P22" s="18">
        <v>-2.4453493778590497E-2</v>
      </c>
      <c r="Q22" s="18">
        <v>1.7619402536982812E-2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VARS'!AA23</f>
        <v>8.9373622720029892E-5</v>
      </c>
      <c r="F23" s="16">
        <f>'ALL VARS'!AC23</f>
        <v>-5.1528436484776503E-4</v>
      </c>
      <c r="G23" s="16">
        <f>'ALL VARS'!J23</f>
        <v>39.449000699999999</v>
      </c>
      <c r="I23" s="22" t="s">
        <v>3</v>
      </c>
      <c r="J23" s="22">
        <v>5.1432919354365258E-5</v>
      </c>
      <c r="K23" s="22">
        <v>8.9697905215199231E-5</v>
      </c>
      <c r="L23" s="22">
        <v>0.57340156641305817</v>
      </c>
      <c r="M23" s="22">
        <v>0.56943057591772139</v>
      </c>
      <c r="N23" s="22">
        <v>-1.295847819415716E-4</v>
      </c>
      <c r="O23" s="22">
        <v>2.3245062065030211E-4</v>
      </c>
      <c r="P23" s="22">
        <v>-1.295847819415716E-4</v>
      </c>
      <c r="Q23" s="22">
        <v>2.3245062065030211E-4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VARS'!AA24</f>
        <v>-2.3628370573706733E-3</v>
      </c>
      <c r="F24" s="16">
        <f>'ALL VARS'!AC24</f>
        <v>1.2632928444509832E-2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VARS'!AA25</f>
        <v>-6.3268942419939245E-3</v>
      </c>
      <c r="F25" s="16">
        <f>'ALL VARS'!AC25</f>
        <v>2.884120316759696E-2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VARS'!AA26</f>
        <v>-3.9555882986564843E-4</v>
      </c>
      <c r="F26" s="16">
        <f>'ALL VARS'!AC26</f>
        <v>1.5761077231808349E-3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VARS'!AA27</f>
        <v>-0.15415521598755705</v>
      </c>
      <c r="F27" s="16">
        <f>'ALL VARS'!AC27</f>
        <v>0.58386431635995695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VARS'!AA28</f>
        <v>9.3617849514414364E-4</v>
      </c>
      <c r="F28" s="16">
        <f>'ALL VARS'!AC28</f>
        <v>-3.1039084266318855E-3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VARS'!AA29</f>
        <v>9.3990944887703521E-4</v>
      </c>
      <c r="F29" s="16">
        <f>'ALL VARS'!AC29</f>
        <v>-3.132256710759446E-3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VARS'!AA30</f>
        <v>5.5835721330073926E-3</v>
      </c>
      <c r="F30" s="16">
        <f>'ALL VARS'!AC30</f>
        <v>-1.6948985215330548E-2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VARS'!AA31</f>
        <v>-2.0034335113167491E-4</v>
      </c>
      <c r="F31" s="16">
        <f>'ALL VARS'!AC31</f>
        <v>3.525060323898486E-4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VARS'!AA32</f>
        <v>-2.5984904172533335E-4</v>
      </c>
      <c r="F32" s="16">
        <f>'ALL VARS'!AC32</f>
        <v>1.6762735404178898E-5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VARS'!AA33</f>
        <v>-9.3827200684367715E-2</v>
      </c>
      <c r="F33" s="16">
        <f>'ALL VARS'!AC33</f>
        <v>-0.11310780713244895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VARS'!AA34</f>
        <v>1.4704015034069231E-2</v>
      </c>
      <c r="F34" s="16">
        <f>'ALL VARS'!AC34</f>
        <v>4.6133714626885244E-2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VARS'!AA35</f>
        <v>-6.1824379942844046E-3</v>
      </c>
      <c r="F35" s="16">
        <f>'ALL VARS'!AC35</f>
        <v>-3.4463946725156971E-2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VARS'!AA36</f>
        <v>1.1306443595853824E-2</v>
      </c>
      <c r="F36" s="16">
        <f>'ALL VARS'!AC36</f>
        <v>8.4883029032415333E-2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VARS'!AA37</f>
        <v>-2.263750268659717E-3</v>
      </c>
      <c r="F37" s="16">
        <f>'ALL VARS'!AC37</f>
        <v>-2.1658412100877784E-2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VARS'!AA38</f>
        <v>-7.1723618513524681E-3</v>
      </c>
      <c r="F38" s="16">
        <f>'ALL VARS'!AC38</f>
        <v>-7.9358536638549096E-2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VARS'!AA39</f>
        <v>-4.4339116250188826E-3</v>
      </c>
      <c r="F39" s="16">
        <f>'ALL VARS'!AC39</f>
        <v>-5.6308422044665941E-2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VARS'!AA40</f>
        <v>-8.8854706097890382E-3</v>
      </c>
      <c r="F40" s="16">
        <f>'ALL VARS'!AC40</f>
        <v>-0.12993660381104172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VARS'!AA41</f>
        <v>-5.0734229836763003E-3</v>
      </c>
      <c r="F41" s="16">
        <f>'ALL VARS'!AC41</f>
        <v>-8.489100687906255E-2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VARS'!AA42</f>
        <v>1.5602237417408E-3</v>
      </c>
      <c r="F42" s="16">
        <f>'ALL VARS'!AC42</f>
        <v>2.9131703686024218E-2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VARS'!AA43</f>
        <v>-7.2395325777838907E-4</v>
      </c>
      <c r="F43" s="16">
        <f>'ALL VARS'!AC43</f>
        <v>-1.5136770454100701E-2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VARS'!AA44</f>
        <v>1.2187239745035489E-3</v>
      </c>
      <c r="F44" s="16">
        <f>'ALL VARS'!AC44</f>
        <v>2.8602831821480001E-2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VARS'!AA45</f>
        <v>-6.0568796149322972E-3</v>
      </c>
      <c r="F45" s="16">
        <f>'ALL VARS'!AC45</f>
        <v>-0.13748203037105541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VARS'!AA46</f>
        <v>-8.0581010020851537E-2</v>
      </c>
      <c r="F46" s="16">
        <f>'ALL VARS'!AC46</f>
        <v>-1.9456680994470279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VARS'!AA47</f>
        <v>1.2419913174925709E-3</v>
      </c>
      <c r="F47" s="16">
        <f>'ALL VARS'!AC47</f>
        <v>2.8740289756477487E-2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VARS'!AA48</f>
        <v>-1.1790363237885312E-2</v>
      </c>
      <c r="F48" s="16">
        <f>'ALL VARS'!AC48</f>
        <v>-0.2558920516869867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VARS'!AE2</f>
        <v>-3.9798217536506728E-3</v>
      </c>
      <c r="F2" s="16">
        <f>'ALL VARS'!AG2</f>
        <v>6.2847390301063066E-2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VARS'!AE3</f>
        <v>1.3921647057884599E-4</v>
      </c>
      <c r="F3" s="16">
        <f>'ALL VARS'!AG3</f>
        <v>-2.1053023173090986E-3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VARS'!AE4</f>
        <v>-3.5606154811124438E-3</v>
      </c>
      <c r="F4" s="16">
        <f>'ALL VARS'!AG4</f>
        <v>5.1915585761811225E-2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VARS'!AE5</f>
        <v>1.8336339409687766E-2</v>
      </c>
      <c r="F5" s="16">
        <f>'ALL VARS'!AG5</f>
        <v>-0.26815995914775115</v>
      </c>
      <c r="G5" s="16">
        <f>'ALL VARS'!J5</f>
        <v>30.590000099999997</v>
      </c>
      <c r="I5" s="18" t="s">
        <v>57</v>
      </c>
      <c r="J5" s="18">
        <v>0.60482479986566196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VARS'!AE6</f>
        <v>-1.1964713310661899E-2</v>
      </c>
      <c r="F6" s="16">
        <f>'ALL VARS'!AG6</f>
        <v>0.17508573888544485</v>
      </c>
      <c r="G6" s="16">
        <f>'ALL VARS'!J6</f>
        <v>30.581000099999997</v>
      </c>
      <c r="I6" s="18" t="s">
        <v>58</v>
      </c>
      <c r="J6" s="18">
        <v>0.36581303853253799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VARS'!AE7</f>
        <v>7.4224460685514359E-4</v>
      </c>
      <c r="F7" s="16">
        <f>'ALL VARS'!AG7</f>
        <v>-1.0868323272270891E-2</v>
      </c>
      <c r="G7" s="16">
        <f>'ALL VARS'!J7</f>
        <v>30.572000099999997</v>
      </c>
      <c r="I7" s="18" t="s">
        <v>58</v>
      </c>
      <c r="J7" s="18">
        <v>0.2816047564880178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VARS'!AE8</f>
        <v>1.5147639909597423E-3</v>
      </c>
      <c r="F8" s="16">
        <f>'ALL VARS'!AG8</f>
        <v>-2.1890625318014039E-2</v>
      </c>
      <c r="G8" s="16">
        <f>'ALL VARS'!J8</f>
        <v>30.763000099999999</v>
      </c>
      <c r="I8" s="18" t="s">
        <v>59</v>
      </c>
      <c r="J8" s="18">
        <v>2.3300450074852822E-2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VARS'!AE9</f>
        <v>8.7605665985715977E-3</v>
      </c>
      <c r="F9" s="16">
        <f>'ALL VARS'!AG9</f>
        <v>-0.12123317984238753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VARS'!AE10</f>
        <v>8.3454580998488931E-3</v>
      </c>
      <c r="F10" s="16">
        <f>'ALL VARS'!AG10</f>
        <v>-0.11291829604625736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VARS'!AE11</f>
        <v>-2.8211577105299855E-3</v>
      </c>
      <c r="F11" s="16">
        <f>'ALL VARS'!AG11</f>
        <v>3.4794773488604533E-2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VARS'!AE12</f>
        <v>7.8871176383527114E-2</v>
      </c>
      <c r="F12" s="16">
        <f>'ALL VARS'!AG12</f>
        <v>-0.96061218004936466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VARS'!AE13</f>
        <v>2.135346429041922E-3</v>
      </c>
      <c r="F13" s="16">
        <f>'ALL VARS'!AG13</f>
        <v>-2.6872285530227084E-2</v>
      </c>
      <c r="G13" s="16">
        <f>'ALL VARS'!J13</f>
        <v>32.630000399999993</v>
      </c>
      <c r="I13" s="18" t="s">
        <v>62</v>
      </c>
      <c r="J13" s="18">
        <v>5</v>
      </c>
      <c r="K13" s="18">
        <v>1.3152847425487731E-2</v>
      </c>
      <c r="L13" s="18">
        <v>2.630569485097546E-3</v>
      </c>
      <c r="M13" s="18">
        <v>4.8453054231247794</v>
      </c>
      <c r="N13" s="18">
        <v>1.4249112978602469E-3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VARS'!AE14</f>
        <v>-1.4721901458676289E-2</v>
      </c>
      <c r="F14" s="16">
        <f>'ALL VARS'!AG14</f>
        <v>0.1844876364165674</v>
      </c>
      <c r="G14" s="16">
        <f>'ALL VARS'!J14</f>
        <v>32.683000299999996</v>
      </c>
      <c r="I14" s="18" t="s">
        <v>63</v>
      </c>
      <c r="J14" s="18">
        <v>42</v>
      </c>
      <c r="K14" s="18">
        <v>2.2802260895009772E-2</v>
      </c>
      <c r="L14" s="18">
        <v>5.4291097369070886E-4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VARS'!AE15</f>
        <v>9.06511203372788E-3</v>
      </c>
      <c r="F15" s="16">
        <f>'ALL VARS'!AG15</f>
        <v>-0.10841428545456146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VARS'!AE16</f>
        <v>4.2870673284897722E-3</v>
      </c>
      <c r="F16" s="16">
        <f>'ALL VARS'!AG16</f>
        <v>-4.7863000117872319E-2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VARS'!AE17</f>
        <v>-3.0093028263110756E-2</v>
      </c>
      <c r="F17" s="16">
        <f>'ALL VARS'!AG17</f>
        <v>0.30606140317236841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VARS'!AE18</f>
        <v>-3.3260198391362921E-3</v>
      </c>
      <c r="F18" s="16">
        <f>'ALL VARS'!AG18</f>
        <v>3.121306149822406E-2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VARS'!AE19</f>
        <v>4.9249058986688923E-2</v>
      </c>
      <c r="F19" s="16">
        <f>'ALL VARS'!AG19</f>
        <v>-0.40406432868940989</v>
      </c>
      <c r="G19" s="16">
        <f>'ALL VARS'!J19</f>
        <v>37.010000400000003</v>
      </c>
      <c r="I19" s="18" t="s">
        <v>53</v>
      </c>
      <c r="J19" s="18">
        <v>0.36486555667719428</v>
      </c>
      <c r="K19" s="18">
        <v>0.11446506496882197</v>
      </c>
      <c r="L19" s="18">
        <v>3.1875713063769848</v>
      </c>
      <c r="M19" s="18">
        <v>2.7088023253574634E-3</v>
      </c>
      <c r="N19" s="18">
        <v>0.13386570345168997</v>
      </c>
      <c r="O19" s="18">
        <v>0.59586540990269854</v>
      </c>
      <c r="P19" s="18">
        <v>0.13386570345168997</v>
      </c>
      <c r="Q19" s="18">
        <v>0.59586540990269854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VARS'!AE20</f>
        <v>-2.0688179906048758E-2</v>
      </c>
      <c r="F20" s="16">
        <f>'ALL VARS'!AG20</f>
        <v>0.15347543877291178</v>
      </c>
      <c r="G20" s="16">
        <f>'ALL VARS'!J20</f>
        <v>37.796000499999998</v>
      </c>
      <c r="I20" s="18" t="s">
        <v>54</v>
      </c>
      <c r="J20" s="18">
        <v>-0.22183229238468205</v>
      </c>
      <c r="K20" s="18">
        <v>9.1662570529806031E-2</v>
      </c>
      <c r="L20" s="18">
        <v>-2.4200967865345713</v>
      </c>
      <c r="M20" s="18">
        <v>1.9921942322086616E-2</v>
      </c>
      <c r="N20" s="18">
        <v>-0.40681484880418894</v>
      </c>
      <c r="O20" s="18">
        <v>-3.6849735965175184E-2</v>
      </c>
      <c r="P20" s="18">
        <v>-0.40681484880418894</v>
      </c>
      <c r="Q20" s="18">
        <v>-3.6849735965175184E-2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VARS'!AE21</f>
        <v>-2.4350595179123964E-3</v>
      </c>
      <c r="F21" s="16">
        <f>'ALL VARS'!AG21</f>
        <v>1.7830743321577795E-2</v>
      </c>
      <c r="G21" s="16">
        <f>'ALL VARS'!J21</f>
        <v>37.892000799999991</v>
      </c>
      <c r="I21" s="18" t="s">
        <v>23</v>
      </c>
      <c r="J21" s="18">
        <v>-0.40208740905610074</v>
      </c>
      <c r="K21" s="18">
        <v>0.14061582638990719</v>
      </c>
      <c r="L21" s="18">
        <v>-2.8594747787576269</v>
      </c>
      <c r="M21" s="18">
        <v>6.5812686346591927E-3</v>
      </c>
      <c r="N21" s="18">
        <v>-0.68586163542026757</v>
      </c>
      <c r="O21" s="18">
        <v>-0.11831318269193386</v>
      </c>
      <c r="P21" s="18">
        <v>-0.68586163542026757</v>
      </c>
      <c r="Q21" s="18">
        <v>-0.11831318269193386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VARS'!AE22</f>
        <v>-2.081331569868099E-3</v>
      </c>
      <c r="F22" s="16">
        <f>'ALL VARS'!AG22</f>
        <v>1.4000094108981408E-2</v>
      </c>
      <c r="G22" s="16">
        <f>'ALL VARS'!J22</f>
        <v>38.488000700000001</v>
      </c>
      <c r="I22" s="18" t="s">
        <v>91</v>
      </c>
      <c r="J22" s="18">
        <v>-6.7942999224583547E-3</v>
      </c>
      <c r="K22" s="18">
        <v>1.1029988630413096E-2</v>
      </c>
      <c r="L22" s="18">
        <v>-0.61598430878925525</v>
      </c>
      <c r="M22" s="18">
        <v>0.54122905534457999</v>
      </c>
      <c r="N22" s="18">
        <v>-2.9053718159790513E-2</v>
      </c>
      <c r="O22" s="18">
        <v>1.5465118314873806E-2</v>
      </c>
      <c r="P22" s="18">
        <v>-2.9053718159790513E-2</v>
      </c>
      <c r="Q22" s="18">
        <v>1.5465118314873806E-2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VARS'!AE23</f>
        <v>7.7778522529771551E-4</v>
      </c>
      <c r="F23" s="16">
        <f>'ALL VARS'!AG23</f>
        <v>-4.4843271829876109E-3</v>
      </c>
      <c r="G23" s="16">
        <f>'ALL VARS'!J23</f>
        <v>39.449000699999999</v>
      </c>
      <c r="I23" s="22" t="s">
        <v>3</v>
      </c>
      <c r="J23" s="22">
        <v>9.9843065835548431E-6</v>
      </c>
      <c r="K23" s="22">
        <v>8.3565695834352462E-5</v>
      </c>
      <c r="L23" s="22">
        <v>0.11947853103917387</v>
      </c>
      <c r="M23" s="22">
        <v>0.905465928635382</v>
      </c>
      <c r="N23" s="22">
        <v>-1.5865809516304351E-4</v>
      </c>
      <c r="O23" s="22">
        <v>1.7862670833015319E-4</v>
      </c>
      <c r="P23" s="22">
        <v>-1.5865809516304351E-4</v>
      </c>
      <c r="Q23" s="22">
        <v>1.7862670833015319E-4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VARS'!AE24</f>
        <v>-6.7563955073636547E-3</v>
      </c>
      <c r="F24" s="16">
        <f>'ALL VARS'!AG24</f>
        <v>3.612312610430795E-2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VARS'!AE25</f>
        <v>-6.3269162402149609E-3</v>
      </c>
      <c r="F25" s="16">
        <f>'ALL VARS'!AG25</f>
        <v>2.8841303446681447E-2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VARS'!AE26</f>
        <v>-3.9556462087361418E-4</v>
      </c>
      <c r="F26" s="16">
        <f>'ALL VARS'!AG26</f>
        <v>1.5761307975042747E-3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VARS'!AE27</f>
        <v>-8.140031331253848E-3</v>
      </c>
      <c r="F27" s="16">
        <f>'ALL VARS'!AG27</f>
        <v>3.0830444483661065E-2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VARS'!AE28</f>
        <v>1.3162351004172328E-2</v>
      </c>
      <c r="F28" s="16">
        <f>'ALL VARS'!AG28</f>
        <v>-4.3639896032696981E-2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VARS'!AE29</f>
        <v>1.4405125428120927E-2</v>
      </c>
      <c r="F29" s="16">
        <f>'ALL VARS'!AG29</f>
        <v>-4.8005210337518658E-2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VARS'!AE30</f>
        <v>4.1155622936773023E-2</v>
      </c>
      <c r="F30" s="16">
        <f>'ALL VARS'!AG30</f>
        <v>-0.12492827674948948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VARS'!AE31</f>
        <v>-2.0035101760917378E-4</v>
      </c>
      <c r="F31" s="16">
        <f>'ALL VARS'!AG31</f>
        <v>3.52519521629947E-4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VARS'!AE32</f>
        <v>-1.5987603277906658E-3</v>
      </c>
      <c r="F32" s="16">
        <f>'ALL VARS'!AG32</f>
        <v>1.0313525180431902E-4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VARS'!AE33</f>
        <v>-4.8918912088724287E-3</v>
      </c>
      <c r="F33" s="16">
        <f>'ALL VARS'!AG33</f>
        <v>-5.8971287998603877E-3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VARS'!AE34</f>
        <v>1.5571135654968777E-2</v>
      </c>
      <c r="F34" s="16">
        <f>'ALL VARS'!AG34</f>
        <v>4.8854297758701898E-2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VARS'!AE35</f>
        <v>-5.4089375490141513E-2</v>
      </c>
      <c r="F35" s="16">
        <f>'ALL VARS'!AG35</f>
        <v>-0.3015207523330794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VARS'!AE36</f>
        <v>1.3995958575004331E-3</v>
      </c>
      <c r="F36" s="16">
        <f>'ALL VARS'!AG36</f>
        <v>1.0507453983976293E-2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VARS'!AE37</f>
        <v>-1.229785376597761E-3</v>
      </c>
      <c r="F37" s="16">
        <f>'ALL VARS'!AG37</f>
        <v>-1.1765961489098887E-2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VARS'!AE38</f>
        <v>-2.3250662403076824E-2</v>
      </c>
      <c r="F38" s="16">
        <f>'ALL VARS'!AG38</f>
        <v>-0.25725675620188854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VARS'!AE39</f>
        <v>-4.5690593554150019E-4</v>
      </c>
      <c r="F39" s="16">
        <f>'ALL VARS'!AG39</f>
        <v>-5.80247294691494E-3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VARS'!AE40</f>
        <v>-0.10928384121435053</v>
      </c>
      <c r="F40" s="16">
        <f>'ALL VARS'!AG40</f>
        <v>-1.5981113215515994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VARS'!AE41</f>
        <v>-5.0732335573699357E-3</v>
      </c>
      <c r="F41" s="16">
        <f>'ALL VARS'!AG41</f>
        <v>-8.4887837305004085E-2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VARS'!AE42</f>
        <v>1.5601840371188122E-3</v>
      </c>
      <c r="F42" s="16">
        <f>'ALL VARS'!AG42</f>
        <v>2.9130962341528704E-2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VARS'!AE43</f>
        <v>-7.2403282774974895E-4</v>
      </c>
      <c r="F43" s="16">
        <f>'ALL VARS'!AG43</f>
        <v>-1.5138434142161461E-2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VARS'!AE44</f>
        <v>1.2187704907452288E-3</v>
      </c>
      <c r="F44" s="16">
        <f>'ALL VARS'!AG44</f>
        <v>2.8603923534013413E-2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VARS'!AE45</f>
        <v>-2.6469691173722942E-2</v>
      </c>
      <c r="F45" s="16">
        <f>'ALL VARS'!AG45</f>
        <v>-0.60082205974287184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VARS'!AE46</f>
        <v>-4.2337027771192637E-2</v>
      </c>
      <c r="F46" s="16">
        <f>'ALL VARS'!AG46</f>
        <v>-1.0222483478240962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VARS'!AE47</f>
        <v>8.5324104378155189E-3</v>
      </c>
      <c r="F47" s="16">
        <f>'ALL VARS'!AG47</f>
        <v>0.19744417279751053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VARS'!AE48</f>
        <v>-8.9073539322370183E-3</v>
      </c>
      <c r="F48" s="16">
        <f>'ALL VARS'!AG48</f>
        <v>-0.19332068290298854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VARS'!AI2</f>
        <v>-7.955194694050792E-2</v>
      </c>
      <c r="F2" s="16">
        <f>'ALL VARS'!AK2</f>
        <v>1.2562452712846801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VARS'!AI3</f>
        <v>1.8791543484551196E-3</v>
      </c>
      <c r="F3" s="16">
        <f>'ALL VARS'!AK3</f>
        <v>-2.8417528385360297E-2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VARS'!AI4</f>
        <v>-7.1014121345705353E-2</v>
      </c>
      <c r="F4" s="16">
        <f>'ALL VARS'!AK4</f>
        <v>1.0354220293034244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VARS'!AI5</f>
        <v>2.2719340723243277E-3</v>
      </c>
      <c r="F5" s="16">
        <f>'ALL VARS'!AK5</f>
        <v>-3.3225920092807108E-2</v>
      </c>
      <c r="G5" s="16">
        <f>'ALL VARS'!J5</f>
        <v>30.590000099999997</v>
      </c>
      <c r="I5" s="18" t="s">
        <v>57</v>
      </c>
      <c r="J5" s="18">
        <v>0.56483807593597357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VARS'!AI6</f>
        <v>-1.1964590791802263E-2</v>
      </c>
      <c r="F6" s="16">
        <f>'ALL VARS'!AK6</f>
        <v>0.17508394600462024</v>
      </c>
      <c r="G6" s="16">
        <f>'ALL VARS'!J6</f>
        <v>30.581000099999997</v>
      </c>
      <c r="I6" s="18" t="s">
        <v>58</v>
      </c>
      <c r="J6" s="18">
        <v>0.31904205202705266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VARS'!AI7</f>
        <v>7.4225155210289398E-4</v>
      </c>
      <c r="F7" s="16">
        <f>'ALL VARS'!AK7</f>
        <v>-1.0868424968122986E-2</v>
      </c>
      <c r="G7" s="16">
        <f>'ALL VARS'!J7</f>
        <v>30.572000099999997</v>
      </c>
      <c r="I7" s="18" t="s">
        <v>58</v>
      </c>
      <c r="J7" s="18">
        <v>0.23037939031534338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VARS'!AI8</f>
        <v>9.5738014578356685E-3</v>
      </c>
      <c r="F8" s="16">
        <f>'ALL VARS'!AK8</f>
        <v>-0.13835587710911401</v>
      </c>
      <c r="G8" s="16">
        <f>'ALL VARS'!J8</f>
        <v>30.763000099999999</v>
      </c>
      <c r="I8" s="18" t="s">
        <v>59</v>
      </c>
      <c r="J8" s="18">
        <v>2.4144365793064646E-2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VARS'!AI9</f>
        <v>0.13323096533654652</v>
      </c>
      <c r="F9" s="16">
        <f>'ALL VARS'!AK9</f>
        <v>-1.8437179147583918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VARS'!AI10</f>
        <v>8.3453369595011574E-3</v>
      </c>
      <c r="F10" s="16">
        <f>'ALL VARS'!AK10</f>
        <v>-0.11291665695569036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VARS'!AI11</f>
        <v>-2.7990992655536742E-2</v>
      </c>
      <c r="F11" s="16">
        <f>'ALL VARS'!AK11</f>
        <v>0.34522715463065295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VARS'!AI12</f>
        <v>5.2180861460409036E-3</v>
      </c>
      <c r="F12" s="16">
        <f>'ALL VARS'!AK12</f>
        <v>-6.3553725686290807E-2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VARS'!AI13</f>
        <v>2.1353841939272334E-3</v>
      </c>
      <c r="F13" s="16">
        <f>'ALL VARS'!AK13</f>
        <v>-2.6872760782751595E-2</v>
      </c>
      <c r="G13" s="16">
        <f>'ALL VARS'!J13</f>
        <v>32.630000399999993</v>
      </c>
      <c r="I13" s="18" t="s">
        <v>62</v>
      </c>
      <c r="J13" s="18">
        <v>5</v>
      </c>
      <c r="K13" s="18">
        <v>1.1471191539426478E-2</v>
      </c>
      <c r="L13" s="18">
        <v>2.2942383078852955E-3</v>
      </c>
      <c r="M13" s="18">
        <v>3.9355634881784352</v>
      </c>
      <c r="N13" s="18">
        <v>5.251030548335341E-3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VARS'!AI14</f>
        <v>-1.4973801806830672E-2</v>
      </c>
      <c r="F14" s="16">
        <f>'ALL VARS'!AK14</f>
        <v>0.18764432782453253</v>
      </c>
      <c r="G14" s="16">
        <f>'ALL VARS'!J14</f>
        <v>32.683000299999996</v>
      </c>
      <c r="I14" s="18" t="s">
        <v>63</v>
      </c>
      <c r="J14" s="18">
        <v>42</v>
      </c>
      <c r="K14" s="18">
        <v>2.4483916781071025E-2</v>
      </c>
      <c r="L14" s="18">
        <v>5.8295039954931013E-4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VARS'!AI15</f>
        <v>1.5917358586429852E-3</v>
      </c>
      <c r="F15" s="16">
        <f>'ALL VARS'!AK15</f>
        <v>-1.9036378712709273E-2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VARS'!AI16</f>
        <v>6.1766729341750308E-2</v>
      </c>
      <c r="F16" s="16">
        <f>'ALL VARS'!AK16</f>
        <v>-0.68959518179674317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VARS'!AI17</f>
        <v>-3.5822543275427178E-3</v>
      </c>
      <c r="F17" s="16">
        <f>'ALL VARS'!AK17</f>
        <v>3.6433348495937573E-2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VARS'!AI18</f>
        <v>-3.8914218522612484E-4</v>
      </c>
      <c r="F18" s="16">
        <f>'ALL VARS'!AK18</f>
        <v>3.6519081504247778E-3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VARS'!AI19</f>
        <v>2.1912741931488986E-2</v>
      </c>
      <c r="F19" s="16">
        <f>'ALL VARS'!AK19</f>
        <v>-0.17978327993402857</v>
      </c>
      <c r="G19" s="16">
        <f>'ALL VARS'!J19</f>
        <v>37.010000400000003</v>
      </c>
      <c r="I19" s="18" t="s">
        <v>53</v>
      </c>
      <c r="J19" s="18">
        <v>0.29684406080774711</v>
      </c>
      <c r="K19" s="18">
        <v>0.11784323163782665</v>
      </c>
      <c r="L19" s="18">
        <v>2.5189742056637794</v>
      </c>
      <c r="M19" s="18">
        <v>1.5663925751930159E-2</v>
      </c>
      <c r="N19" s="18">
        <v>5.9026791238453336E-2</v>
      </c>
      <c r="O19" s="18">
        <v>0.53466133037704089</v>
      </c>
      <c r="P19" s="18">
        <v>5.9026791238453336E-2</v>
      </c>
      <c r="Q19" s="18">
        <v>0.53466133037704089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VARS'!AI20</f>
        <v>-3.4533069211431914E-3</v>
      </c>
      <c r="F20" s="16">
        <f>'ALL VARS'!AK20</f>
        <v>2.5618386796076968E-2</v>
      </c>
      <c r="G20" s="16">
        <f>'ALL VARS'!J20</f>
        <v>37.796000499999998</v>
      </c>
      <c r="I20" s="18" t="s">
        <v>54</v>
      </c>
      <c r="J20" s="18">
        <v>-0.20575608654879049</v>
      </c>
      <c r="K20" s="18">
        <v>9.4632192794704334E-2</v>
      </c>
      <c r="L20" s="18">
        <v>-2.1742715715692968</v>
      </c>
      <c r="M20" s="18">
        <v>3.5368808169475172E-2</v>
      </c>
      <c r="N20" s="18">
        <v>-0.3967315833253709</v>
      </c>
      <c r="O20" s="18">
        <v>-1.4780589772210084E-2</v>
      </c>
      <c r="P20" s="18">
        <v>-0.3967315833253709</v>
      </c>
      <c r="Q20" s="18">
        <v>-1.4780589772210084E-2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VARS'!AI21</f>
        <v>-2.4350351032987961E-3</v>
      </c>
      <c r="F21" s="16">
        <f>'ALL VARS'!AK21</f>
        <v>1.7830564545369163E-2</v>
      </c>
      <c r="G21" s="16">
        <f>'ALL VARS'!J21</f>
        <v>37.892000799999991</v>
      </c>
      <c r="I21" s="18" t="s">
        <v>24</v>
      </c>
      <c r="J21" s="18">
        <v>-0.18352886117079714</v>
      </c>
      <c r="K21" s="18">
        <v>8.3299379441628033E-2</v>
      </c>
      <c r="L21" s="18">
        <v>-2.2032440385633945</v>
      </c>
      <c r="M21" s="18">
        <v>3.3115459140127743E-2</v>
      </c>
      <c r="N21" s="18">
        <v>-0.35163381467807769</v>
      </c>
      <c r="O21" s="18">
        <v>-1.5423907663516589E-2</v>
      </c>
      <c r="P21" s="18">
        <v>-0.35163381467807769</v>
      </c>
      <c r="Q21" s="18">
        <v>-1.5423907663516589E-2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VARS'!AI22</f>
        <v>-1.544661453000408E-2</v>
      </c>
      <c r="F22" s="16">
        <f>'ALL VARS'!AK22</f>
        <v>0.10390178105976718</v>
      </c>
      <c r="G22" s="16">
        <f>'ALL VARS'!J22</f>
        <v>38.488000700000001</v>
      </c>
      <c r="I22" s="18" t="s">
        <v>92</v>
      </c>
      <c r="J22" s="18">
        <v>-8.4869291813993216E-3</v>
      </c>
      <c r="K22" s="18">
        <v>6.8143874255043582E-3</v>
      </c>
      <c r="L22" s="18">
        <v>-1.2454427157509573</v>
      </c>
      <c r="M22" s="18">
        <v>0.21987268420022324</v>
      </c>
      <c r="N22" s="18">
        <v>-2.2238919760725763E-2</v>
      </c>
      <c r="O22" s="18">
        <v>5.2650613979271215E-3</v>
      </c>
      <c r="P22" s="18">
        <v>-2.2238919760725763E-2</v>
      </c>
      <c r="Q22" s="18">
        <v>5.2650613979271215E-3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VARS'!AI23</f>
        <v>1.4845565839900461E-3</v>
      </c>
      <c r="F23" s="16">
        <f>'ALL VARS'!AK23</f>
        <v>-8.5592233276500992E-3</v>
      </c>
      <c r="G23" s="16">
        <f>'ALL VARS'!J23</f>
        <v>39.449000699999999</v>
      </c>
      <c r="I23" s="22" t="s">
        <v>3</v>
      </c>
      <c r="J23" s="22">
        <v>3.3766740389932253E-5</v>
      </c>
      <c r="K23" s="22">
        <v>8.1997747757579957E-5</v>
      </c>
      <c r="L23" s="22">
        <v>0.41180082762469317</v>
      </c>
      <c r="M23" s="22">
        <v>0.68257953651749137</v>
      </c>
      <c r="N23" s="22">
        <v>-1.317114140319621E-4</v>
      </c>
      <c r="O23" s="22">
        <v>1.9924489481182664E-4</v>
      </c>
      <c r="P23" s="22">
        <v>-1.317114140319621E-4</v>
      </c>
      <c r="Q23" s="22">
        <v>1.9924489481182664E-4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VARS'!AI24</f>
        <v>-2.6888049640044299E-2</v>
      </c>
      <c r="F24" s="16">
        <f>'ALL VARS'!AK24</f>
        <v>0.14375718632629395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VARS'!AI25</f>
        <v>-6.3269952521189804E-3</v>
      </c>
      <c r="F25" s="16">
        <f>'ALL VARS'!AK25</f>
        <v>2.8841663623142336E-2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VARS'!AI26</f>
        <v>-2.5817265097796758E-3</v>
      </c>
      <c r="F26" s="16">
        <f>'ALL VARS'!AK26</f>
        <v>1.028691254999038E-2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VARS'!AI27</f>
        <v>-8.1400112426490544E-3</v>
      </c>
      <c r="F27" s="16">
        <f>'ALL VARS'!AK27</f>
        <v>3.0830368397883303E-2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VARS'!AI28</f>
        <v>2.1608973534223353E-2</v>
      </c>
      <c r="F28" s="16">
        <f>'ALL VARS'!AK28</f>
        <v>-7.1644750858557288E-2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VARS'!AI29</f>
        <v>9.4013157234317229E-4</v>
      </c>
      <c r="F29" s="16">
        <f>'ALL VARS'!AK29</f>
        <v>-3.1329969392125769E-3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VARS'!AI30</f>
        <v>3.065883282689813E-2</v>
      </c>
      <c r="F30" s="16">
        <f>'ALL VARS'!AK30</f>
        <v>-9.3065172603493132E-2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VARS'!AI31</f>
        <v>-7.0773547212972065E-4</v>
      </c>
      <c r="F31" s="16">
        <f>'ALL VARS'!AK31</f>
        <v>1.245267296632338E-3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VARS'!AI32</f>
        <v>-2.8142849398185982E-3</v>
      </c>
      <c r="F32" s="16">
        <f>'ALL VARS'!AK32</f>
        <v>1.8154815382390334E-4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VARS'!AI33</f>
        <v>-3.5025274044739395E-2</v>
      </c>
      <c r="F33" s="16">
        <f>'ALL VARS'!AK33</f>
        <v>-4.222263813177568E-2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VARS'!AI34</f>
        <v>1.6972907917348272E-3</v>
      </c>
      <c r="F34" s="16">
        <f>'ALL VARS'!AK34</f>
        <v>5.3252345596293245E-3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VARS'!AI35</f>
        <v>-3.3556303863284336E-2</v>
      </c>
      <c r="F35" s="16">
        <f>'ALL VARS'!AK35</f>
        <v>-0.18705932347507015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VARS'!AI36</f>
        <v>1.8582250289662171E-2</v>
      </c>
      <c r="F36" s="16">
        <f>'ALL VARS'!AK36</f>
        <v>0.13950608583970817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VARS'!AI37</f>
        <v>-1.2298226270798164E-3</v>
      </c>
      <c r="F37" s="16">
        <f>'ALL VARS'!AK37</f>
        <v>-1.1766317882779976E-2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VARS'!AI38</f>
        <v>-0.21216640851528945</v>
      </c>
      <c r="F38" s="16">
        <f>'ALL VARS'!AK38</f>
        <v>-2.3475134206251789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VARS'!AI39</f>
        <v>-2.3702429570059817E-3</v>
      </c>
      <c r="F39" s="16">
        <f>'ALL VARS'!AK39</f>
        <v>-3.0100879778117234E-2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VARS'!AI40</f>
        <v>-8.8853513818220962E-3</v>
      </c>
      <c r="F40" s="16">
        <f>'ALL VARS'!AK40</f>
        <v>-0.12993486028188225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VARS'!AI41</f>
        <v>-2.5756377406256289E-2</v>
      </c>
      <c r="F41" s="16">
        <f>'ALL VARS'!AK41</f>
        <v>-0.43096836565948315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VARS'!AI42</f>
        <v>7.8007196681707273E-3</v>
      </c>
      <c r="F42" s="16">
        <f>'ALL VARS'!AK42</f>
        <v>0.14565106774836115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VARS'!AI43</f>
        <v>-6.1998123844352699E-3</v>
      </c>
      <c r="F43" s="16">
        <f>'ALL VARS'!AK43</f>
        <v>-0.12962872383456359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VARS'!AI44</f>
        <v>1.4120947253207927E-2</v>
      </c>
      <c r="F44" s="16">
        <f>'ALL VARS'!AK44</f>
        <v>0.33141144992082877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VARS'!AI45</f>
        <v>-3.0801032571442195E-2</v>
      </c>
      <c r="F45" s="16">
        <f>'ALL VARS'!AK45</f>
        <v>-0.69913697558180976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VARS'!AI46</f>
        <v>-5.0851997492975514E-3</v>
      </c>
      <c r="F46" s="16">
        <f>'ALL VARS'!AK46</f>
        <v>-0.12278464775961509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VARS'!AI47</f>
        <v>4.515478735063359E-3</v>
      </c>
      <c r="F47" s="16">
        <f>'ALL VARS'!AK47</f>
        <v>0.10449039812688517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VARS'!AI48</f>
        <v>-1.533581361075168E-3</v>
      </c>
      <c r="F48" s="16">
        <f>'ALL VARS'!AK48</f>
        <v>-3.3284070473203822E-2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6" width="11.140625" style="18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VARS'!AM2</f>
        <v>-3.8919147226137089E-2</v>
      </c>
      <c r="F2" s="16">
        <f>'ALL VARS'!AO2</f>
        <v>0.61459205645627191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VARS'!AM3</f>
        <v>1.3922239934180766E-4</v>
      </c>
      <c r="F3" s="16">
        <f>'ALL VARS'!AO3</f>
        <v>-2.1053919750798357E-3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VARS'!AM4</f>
        <v>-3.5611198346530977E-3</v>
      </c>
      <c r="F4" s="16">
        <f>'ALL VARS'!AO4</f>
        <v>5.192293949310655E-2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VARS'!AM5</f>
        <v>1.7890036048415457E-2</v>
      </c>
      <c r="F5" s="16">
        <f>'ALL VARS'!AO5</f>
        <v>-0.26163299166246046</v>
      </c>
      <c r="G5" s="16">
        <f>'ALL VARS'!J5</f>
        <v>30.590000099999997</v>
      </c>
      <c r="I5" s="18" t="s">
        <v>57</v>
      </c>
      <c r="J5" s="18">
        <v>0.50982300742387887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VARS'!AM6</f>
        <v>-0.14429406955611179</v>
      </c>
      <c r="F6" s="16">
        <f>'ALL VARS'!AO6</f>
        <v>2.1115285530917571</v>
      </c>
      <c r="G6" s="16">
        <f>'ALL VARS'!J6</f>
        <v>30.581000099999997</v>
      </c>
      <c r="I6" s="18" t="s">
        <v>58</v>
      </c>
      <c r="J6" s="18">
        <v>0.25991949889872845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VARS'!AM7</f>
        <v>7.4223890153826959E-4</v>
      </c>
      <c r="F7" s="16">
        <f>'ALL VARS'!AO7</f>
        <v>-1.0868239732117705E-2</v>
      </c>
      <c r="G7" s="16">
        <f>'ALL VARS'!J7</f>
        <v>30.572000099999997</v>
      </c>
      <c r="I7" s="18" t="s">
        <v>58</v>
      </c>
      <c r="J7" s="18">
        <v>0.1656261178414645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VARS'!AM8</f>
        <v>1.514711407785909E-3</v>
      </c>
      <c r="F8" s="16">
        <f>'ALL VARS'!AO8</f>
        <v>-2.1889865411808658E-2</v>
      </c>
      <c r="G8" s="16">
        <f>'ALL VARS'!J8</f>
        <v>30.763000099999999</v>
      </c>
      <c r="I8" s="18" t="s">
        <v>59</v>
      </c>
      <c r="J8" s="18">
        <v>2.5170690903255813E-2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VARS'!AM9</f>
        <v>8.7612305217810056E-3</v>
      </c>
      <c r="F9" s="16">
        <f>'ALL VARS'!AO9</f>
        <v>-0.12124236754970555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VARS'!AM10</f>
        <v>0.11475578352035808</v>
      </c>
      <c r="F10" s="16">
        <f>'ALL VARS'!AO10</f>
        <v>-1.5527041633348611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VARS'!AM11</f>
        <v>-1.5159416219432191E-2</v>
      </c>
      <c r="F11" s="16">
        <f>'ALL VARS'!AO11</f>
        <v>0.18696879355799292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VARS'!AM12</f>
        <v>5.2184187411698337E-3</v>
      </c>
      <c r="F12" s="16">
        <f>'ALL VARS'!AO12</f>
        <v>-6.3557776531561846E-2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VARS'!AM13</f>
        <v>2.1357551362771866E-3</v>
      </c>
      <c r="F13" s="16">
        <f>'ALL VARS'!AO13</f>
        <v>-2.6877428909949892E-2</v>
      </c>
      <c r="G13" s="16">
        <f>'ALL VARS'!J13</f>
        <v>32.630000399999993</v>
      </c>
      <c r="I13" s="18" t="s">
        <v>62</v>
      </c>
      <c r="J13" s="18">
        <v>5</v>
      </c>
      <c r="K13" s="18">
        <v>9.3454337375132139E-3</v>
      </c>
      <c r="L13" s="18">
        <v>1.8690867475026427E-3</v>
      </c>
      <c r="M13" s="18">
        <v>2.9501166258271092</v>
      </c>
      <c r="N13" s="18">
        <v>2.2980927879908592E-2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VARS'!AM14</f>
        <v>-1.6612901626957308E-2</v>
      </c>
      <c r="F14" s="16">
        <f>'ALL VARS'!AO14</f>
        <v>0.20818472150362277</v>
      </c>
      <c r="G14" s="16">
        <f>'ALL VARS'!J14</f>
        <v>32.683000299999996</v>
      </c>
      <c r="I14" s="18" t="s">
        <v>63</v>
      </c>
      <c r="J14" s="18">
        <v>42</v>
      </c>
      <c r="K14" s="18">
        <v>2.6609674582984289E-2</v>
      </c>
      <c r="L14" s="18">
        <v>6.3356368054724493E-4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VARS'!AM15</f>
        <v>2.0653575991413892E-2</v>
      </c>
      <c r="F15" s="16">
        <f>'ALL VARS'!AO15</f>
        <v>-0.24700661997994214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VARS'!AM16</f>
        <v>6.8371708610143536E-2</v>
      </c>
      <c r="F16" s="16">
        <f>'ALL VARS'!AO16</f>
        <v>-0.76333652973424237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VARS'!AM17</f>
        <v>-3.7551567646014278E-2</v>
      </c>
      <c r="F17" s="16">
        <f>'ALL VARS'!AO17</f>
        <v>0.38191854221430838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VARS'!AM18</f>
        <v>-3.0322835667519542E-3</v>
      </c>
      <c r="F18" s="16">
        <f>'ALL VARS'!AO18</f>
        <v>2.845649094915232E-2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VARS'!AM19</f>
        <v>5.4628504603161543E-2</v>
      </c>
      <c r="F19" s="16">
        <f>'ALL VARS'!AO19</f>
        <v>-0.44820003658849261</v>
      </c>
      <c r="G19" s="16">
        <f>'ALL VARS'!J19</f>
        <v>37.010000400000003</v>
      </c>
      <c r="I19" s="18" t="s">
        <v>53</v>
      </c>
      <c r="J19" s="18">
        <v>0.31688923278727327</v>
      </c>
      <c r="K19" s="18">
        <v>0.12226220368233549</v>
      </c>
      <c r="L19" s="18">
        <v>2.5918822272386177</v>
      </c>
      <c r="M19" s="18">
        <v>1.3074767335707314E-2</v>
      </c>
      <c r="N19" s="18">
        <v>7.0154116589689952E-2</v>
      </c>
      <c r="O19" s="18">
        <v>0.56362434898485658</v>
      </c>
      <c r="P19" s="18">
        <v>7.0154116589689952E-2</v>
      </c>
      <c r="Q19" s="18">
        <v>0.56362434898485658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VARS'!AM20</f>
        <v>-4.0557135635876235E-2</v>
      </c>
      <c r="F20" s="16">
        <f>'ALL VARS'!AO20</f>
        <v>0.30087345601962262</v>
      </c>
      <c r="G20" s="16">
        <f>'ALL VARS'!J20</f>
        <v>37.796000499999998</v>
      </c>
      <c r="I20" s="18" t="s">
        <v>54</v>
      </c>
      <c r="J20" s="18">
        <v>-0.17829547008986407</v>
      </c>
      <c r="K20" s="18">
        <v>9.8041532149435215E-2</v>
      </c>
      <c r="L20" s="18">
        <v>-1.8185708258629165</v>
      </c>
      <c r="M20" s="18">
        <v>7.6112605812806072E-2</v>
      </c>
      <c r="N20" s="18">
        <v>-0.37615129223692573</v>
      </c>
      <c r="O20" s="18">
        <v>1.9560352057197583E-2</v>
      </c>
      <c r="P20" s="18">
        <v>-0.37615129223692573</v>
      </c>
      <c r="Q20" s="18">
        <v>1.9560352057197583E-2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VARS'!AM21</f>
        <v>-2.2773682925267318E-2</v>
      </c>
      <c r="F21" s="16">
        <f>'ALL VARS'!AO21</f>
        <v>0.16676048028410009</v>
      </c>
      <c r="G21" s="16">
        <f>'ALL VARS'!J21</f>
        <v>37.892000799999991</v>
      </c>
      <c r="I21" s="18" t="s">
        <v>25</v>
      </c>
      <c r="J21" s="18">
        <v>-0.17507414000445545</v>
      </c>
      <c r="K21" s="18">
        <v>0.11475034998837499</v>
      </c>
      <c r="L21" s="18">
        <v>-1.5256959131034604</v>
      </c>
      <c r="M21" s="18">
        <v>0.13458150807705727</v>
      </c>
      <c r="N21" s="18">
        <v>-0.40664972170800795</v>
      </c>
      <c r="O21" s="18">
        <v>5.6501441699097016E-2</v>
      </c>
      <c r="P21" s="18">
        <v>-0.40664972170800795</v>
      </c>
      <c r="Q21" s="18">
        <v>5.6501441699097016E-2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VARS'!AM22</f>
        <v>-1.4519914710862706E-2</v>
      </c>
      <c r="F22" s="16">
        <f>'ALL VARS'!AO22</f>
        <v>9.7668327021697934E-2</v>
      </c>
      <c r="G22" s="16">
        <f>'ALL VARS'!J22</f>
        <v>38.488000700000001</v>
      </c>
      <c r="I22" s="18" t="s">
        <v>93</v>
      </c>
      <c r="J22" s="18">
        <v>-2.7440942630116679E-3</v>
      </c>
      <c r="K22" s="18">
        <v>8.4053418172879077E-3</v>
      </c>
      <c r="L22" s="18">
        <v>-0.3264702760056325</v>
      </c>
      <c r="M22" s="18">
        <v>0.74568990562646342</v>
      </c>
      <c r="N22" s="18">
        <v>-1.970676079041514E-2</v>
      </c>
      <c r="O22" s="18">
        <v>1.4218572264391806E-2</v>
      </c>
      <c r="P22" s="18">
        <v>-1.970676079041514E-2</v>
      </c>
      <c r="Q22" s="18">
        <v>1.4218572264391806E-2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VARS'!AM23</f>
        <v>8.9381489120113447E-5</v>
      </c>
      <c r="F23" s="16">
        <f>'ALL VARS'!AO23</f>
        <v>-5.1532971864284827E-4</v>
      </c>
      <c r="G23" s="16">
        <f>'ALL VARS'!J23</f>
        <v>39.449000699999999</v>
      </c>
      <c r="I23" s="22" t="s">
        <v>3</v>
      </c>
      <c r="J23" s="22">
        <v>3.9602557307811964E-5</v>
      </c>
      <c r="K23" s="22">
        <v>9.0398901841019571E-5</v>
      </c>
      <c r="L23" s="22">
        <v>0.43808670792770443</v>
      </c>
      <c r="M23" s="22">
        <v>0.66356840121042149</v>
      </c>
      <c r="N23" s="22">
        <v>-1.4282981245243039E-4</v>
      </c>
      <c r="O23" s="22">
        <v>2.2203492706805429E-4</v>
      </c>
      <c r="P23" s="22">
        <v>-1.4282981245243039E-4</v>
      </c>
      <c r="Q23" s="22">
        <v>2.2203492706805429E-4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VARS'!AM24</f>
        <v>-3.1281771812395991E-2</v>
      </c>
      <c r="F24" s="16">
        <f>'ALL VARS'!AO24</f>
        <v>0.16724825932907683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VARS'!AM25</f>
        <v>-6.1225075935876117E-2</v>
      </c>
      <c r="F25" s="16">
        <f>'ALL VARS'!AO25</f>
        <v>0.279095048293657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VARS'!AM26</f>
        <v>-2.6997364525625095E-3</v>
      </c>
      <c r="F26" s="16">
        <f>'ALL VARS'!AO26</f>
        <v>1.0757124230754341E-2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VARS'!AM27</f>
        <v>-8.1402878364131015E-3</v>
      </c>
      <c r="F27" s="16">
        <f>'ALL VARS'!AO27</f>
        <v>3.0831415999340837E-2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VARS'!AM28</f>
        <v>6.1397199446457428E-3</v>
      </c>
      <c r="F28" s="16">
        <f>'ALL VARS'!AO28</f>
        <v>-2.0356298048067791E-2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VARS'!AM29</f>
        <v>9.4000512138063682E-4</v>
      </c>
      <c r="F29" s="16">
        <f>'ALL VARS'!AO29</f>
        <v>-3.1325755402400938E-3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VARS'!AM30</f>
        <v>4.8965542750142421E-2</v>
      </c>
      <c r="F30" s="16">
        <f>'ALL VARS'!AO30</f>
        <v>-0.14863536108483924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VARS'!AM31</f>
        <v>-2.0267887700229793E-3</v>
      </c>
      <c r="F31" s="16">
        <f>'ALL VARS'!AO31</f>
        <v>3.5661541237948478E-3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VARS'!AM32</f>
        <v>-2.5985842192130233E-4</v>
      </c>
      <c r="F32" s="16">
        <f>'ALL VARS'!AO32</f>
        <v>1.6763340516062411E-5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VARS'!AM33</f>
        <v>-4.8921556490696301E-3</v>
      </c>
      <c r="F33" s="16">
        <f>'ALL VARS'!AO33</f>
        <v>-5.897447580028665E-3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VARS'!AM34</f>
        <v>2.2879510431230682E-2</v>
      </c>
      <c r="F34" s="16">
        <f>'ALL VARS'!AO34</f>
        <v>7.1784257741277196E-2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VARS'!AM35</f>
        <v>-6.1818944325704164E-3</v>
      </c>
      <c r="F35" s="16">
        <f>'ALL VARS'!AO35</f>
        <v>-3.4460916645118959E-2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VARS'!AM36</f>
        <v>1.754303456471628E-2</v>
      </c>
      <c r="F36" s="16">
        <f>'ALL VARS'!AO36</f>
        <v>0.13170418263259603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VARS'!AM37</f>
        <v>-2.1440254072444168E-2</v>
      </c>
      <c r="F37" s="16">
        <f>'ALL VARS'!AO37</f>
        <v>-0.20512945472711108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VARS'!AM38</f>
        <v>-7.1727615209948624E-3</v>
      </c>
      <c r="F38" s="16">
        <f>'ALL VARS'!AO38</f>
        <v>-7.9362958779904555E-2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VARS'!AM39</f>
        <v>-2.4249151290442516E-3</v>
      </c>
      <c r="F39" s="16">
        <f>'ALL VARS'!AO39</f>
        <v>-3.0795188550502017E-2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VARS'!AM40</f>
        <v>-7.7534703539617722E-2</v>
      </c>
      <c r="F40" s="16">
        <f>'ALL VARS'!AO40</f>
        <v>-1.1338280770784155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VARS'!AM41</f>
        <v>-4.1269149245518721E-2</v>
      </c>
      <c r="F41" s="16">
        <f>'ALL VARS'!AO41</f>
        <v>-0.69053568838365853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VARS'!AM42</f>
        <v>1.5602937225845893E-3</v>
      </c>
      <c r="F42" s="16">
        <f>'ALL VARS'!AO42</f>
        <v>2.913301033272522E-2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VARS'!AM43</f>
        <v>-1.6716745046733018E-2</v>
      </c>
      <c r="F43" s="16">
        <f>'ALL VARS'!AO43</f>
        <v>-0.34952191981098935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VARS'!AM44</f>
        <v>1.1969880910909085E-2</v>
      </c>
      <c r="F44" s="16">
        <f>'ALL VARS'!AO44</f>
        <v>0.28092701692960698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VARS'!AM45</f>
        <v>-4.4780295580904822E-2</v>
      </c>
      <c r="F45" s="16">
        <f>'ALL VARS'!AO45</f>
        <v>-1.0164451579821621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VARS'!AM46</f>
        <v>-4.2337292064454357E-2</v>
      </c>
      <c r="F46" s="16">
        <f>'ALL VARS'!AO46</f>
        <v>-1.0222547293148232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VARS'!AM47</f>
        <v>1.0839097112257997E-2</v>
      </c>
      <c r="F47" s="16">
        <f>'ALL VARS'!AO47</f>
        <v>0.25082203660957281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VARS'!AM48</f>
        <v>-9.7174079614195941E-3</v>
      </c>
      <c r="F48" s="16">
        <f>'ALL VARS'!AO48</f>
        <v>-0.21090168387154035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VARS'!AQ2</f>
        <v>-3.794859758094106E-2</v>
      </c>
      <c r="F2" s="16">
        <f>'ALL VARS'!AS2</f>
        <v>0.59926561317970028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VARS'!AQ3</f>
        <v>1.3921325823791918E-4</v>
      </c>
      <c r="F3" s="16">
        <f>'ALL VARS'!AS3</f>
        <v>-2.105253738654798E-3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VARS'!AQ4</f>
        <v>-6.9139850899143054E-2</v>
      </c>
      <c r="F4" s="16">
        <f>'ALL VARS'!AS4</f>
        <v>1.0080942123500103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VARS'!AQ5</f>
        <v>1.7890084463399868E-2</v>
      </c>
      <c r="F5" s="16">
        <f>'ALL VARS'!AS5</f>
        <v>-0.26163369970783151</v>
      </c>
      <c r="G5" s="16">
        <f>'ALL VARS'!J5</f>
        <v>30.590000099999997</v>
      </c>
      <c r="I5" s="18" t="s">
        <v>57</v>
      </c>
      <c r="J5" s="18">
        <v>0.5130837138401656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VARS'!AQ6</f>
        <v>-1.196396563690969E-2</v>
      </c>
      <c r="F6" s="16">
        <f>'ALL VARS'!AS6</f>
        <v>0.1750747977949271</v>
      </c>
      <c r="G6" s="16">
        <f>'ALL VARS'!J6</f>
        <v>30.581000099999997</v>
      </c>
      <c r="I6" s="18" t="s">
        <v>58</v>
      </c>
      <c r="J6" s="18">
        <v>0.263254897408017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VARS'!AQ7</f>
        <v>1.6900038817622122E-2</v>
      </c>
      <c r="F7" s="16">
        <f>'ALL VARS'!AS7</f>
        <v>-0.24745896903457049</v>
      </c>
      <c r="G7" s="16">
        <f>'ALL VARS'!J7</f>
        <v>30.572000099999997</v>
      </c>
      <c r="I7" s="18" t="s">
        <v>58</v>
      </c>
      <c r="J7" s="18">
        <v>0.16927917335163767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VARS'!AQ8</f>
        <v>1.5146466565282085E-3</v>
      </c>
      <c r="F8" s="16">
        <f>'ALL VARS'!AS8</f>
        <v>-2.1888929658430804E-2</v>
      </c>
      <c r="G8" s="16">
        <f>'ALL VARS'!J8</f>
        <v>30.763000099999999</v>
      </c>
      <c r="I8" s="18" t="s">
        <v>59</v>
      </c>
      <c r="J8" s="18">
        <v>2.5113907154768893E-2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VARS'!AQ9</f>
        <v>0.29459082105573497</v>
      </c>
      <c r="F9" s="16">
        <f>'ALL VARS'!AS9</f>
        <v>-4.0766977326317786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VARS'!AQ10</f>
        <v>8.3452897586769031E-3</v>
      </c>
      <c r="F10" s="16">
        <f>'ALL VARS'!AS10</f>
        <v>-0.11291601830451233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VARS'!AQ11</f>
        <v>-4.4681785963683565E-2</v>
      </c>
      <c r="F11" s="16">
        <f>'ALL VARS'!AS11</f>
        <v>0.55108320100991914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VARS'!AQ12</f>
        <v>7.8871721243973542E-2</v>
      </c>
      <c r="F12" s="16">
        <f>'ALL VARS'!AS12</f>
        <v>-0.9606188161819198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VARS'!AQ13</f>
        <v>4.8716392446393718E-2</v>
      </c>
      <c r="F13" s="16">
        <f>'ALL VARS'!AS13</f>
        <v>-0.61307186038635453</v>
      </c>
      <c r="G13" s="16">
        <f>'ALL VARS'!J13</f>
        <v>32.630000399999993</v>
      </c>
      <c r="I13" s="18" t="s">
        <v>62</v>
      </c>
      <c r="J13" s="18">
        <v>5</v>
      </c>
      <c r="K13" s="18">
        <v>9.4653583522067083E-3</v>
      </c>
      <c r="L13" s="18">
        <v>1.8930716704413416E-3</v>
      </c>
      <c r="M13" s="18">
        <v>3.001500967495411</v>
      </c>
      <c r="N13" s="18">
        <v>2.1249688741154574E-2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VARS'!AQ14</f>
        <v>-2.6454948922483507E-3</v>
      </c>
      <c r="F14" s="16">
        <f>'ALL VARS'!AS14</f>
        <v>3.3152042295145456E-2</v>
      </c>
      <c r="G14" s="16">
        <f>'ALL VARS'!J14</f>
        <v>32.683000299999996</v>
      </c>
      <c r="I14" s="18" t="s">
        <v>63</v>
      </c>
      <c r="J14" s="18">
        <v>42</v>
      </c>
      <c r="K14" s="18">
        <v>2.6489749968290795E-2</v>
      </c>
      <c r="L14" s="18">
        <v>6.3070833257835223E-4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VARS'!AQ15</f>
        <v>1.3179888306233662E-2</v>
      </c>
      <c r="F15" s="16">
        <f>'ALL VARS'!AS15</f>
        <v>-0.15762498773042144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VARS'!AQ16</f>
        <v>1.8026310506875309E-2</v>
      </c>
      <c r="F16" s="16">
        <f>'ALL VARS'!AS16</f>
        <v>-0.20125489893328005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VARS'!AQ17</f>
        <v>-4.7954920898685659E-2</v>
      </c>
      <c r="F17" s="16">
        <f>'ALL VARS'!AS17</f>
        <v>0.48772593608545228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VARS'!AQ18</f>
        <v>-5.3088061077177914E-3</v>
      </c>
      <c r="F18" s="16">
        <f>'ALL VARS'!AS18</f>
        <v>4.9820536117238953E-2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VARS'!AQ19</f>
        <v>3.609258504372076E-3</v>
      </c>
      <c r="F19" s="16">
        <f>'ALL VARS'!AS19</f>
        <v>-2.9612192489399981E-2</v>
      </c>
      <c r="G19" s="16">
        <f>'ALL VARS'!J19</f>
        <v>37.010000400000003</v>
      </c>
      <c r="I19" s="18" t="s">
        <v>53</v>
      </c>
      <c r="J19" s="18">
        <v>0.33343948318643724</v>
      </c>
      <c r="K19" s="18">
        <v>0.12278762147310611</v>
      </c>
      <c r="L19" s="18">
        <v>2.715578974379512</v>
      </c>
      <c r="M19" s="18">
        <v>9.562177828511112E-3</v>
      </c>
      <c r="N19" s="18">
        <v>8.5644030958964446E-2</v>
      </c>
      <c r="O19" s="18">
        <v>0.58123493541391003</v>
      </c>
      <c r="P19" s="18">
        <v>8.5644030958964446E-2</v>
      </c>
      <c r="Q19" s="18">
        <v>0.58123493541391003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VARS'!AQ20</f>
        <v>-2.2304570133900411E-2</v>
      </c>
      <c r="F20" s="16">
        <f>'ALL VARS'!AS20</f>
        <v>0.16546664344023235</v>
      </c>
      <c r="G20" s="16">
        <f>'ALL VARS'!J20</f>
        <v>37.796000499999998</v>
      </c>
      <c r="I20" s="18" t="s">
        <v>54</v>
      </c>
      <c r="J20" s="18">
        <v>-0.19492771268566883</v>
      </c>
      <c r="K20" s="18">
        <v>9.8316123844213066E-2</v>
      </c>
      <c r="L20" s="18">
        <v>-1.9826627115054065</v>
      </c>
      <c r="M20" s="18">
        <v>5.39711598927822E-2</v>
      </c>
      <c r="N20" s="18">
        <v>-0.39333768330770758</v>
      </c>
      <c r="O20" s="18">
        <v>3.4822579363699147E-3</v>
      </c>
      <c r="P20" s="18">
        <v>-0.39333768330770758</v>
      </c>
      <c r="Q20" s="18">
        <v>3.4822579363699147E-3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VARS'!AQ21</f>
        <v>-7.90261940704437E-2</v>
      </c>
      <c r="F21" s="16">
        <f>'ALL VARS'!AS21</f>
        <v>0.57866995520475339</v>
      </c>
      <c r="G21" s="16">
        <f>'ALL VARS'!J21</f>
        <v>37.892000799999991</v>
      </c>
      <c r="I21" s="18" t="s">
        <v>26</v>
      </c>
      <c r="J21" s="18">
        <v>-8.2961809638842893E-2</v>
      </c>
      <c r="K21" s="18">
        <v>5.9764968806142682E-2</v>
      </c>
      <c r="L21" s="18">
        <v>-1.3881344087695069</v>
      </c>
      <c r="M21" s="18">
        <v>0.17241583868517457</v>
      </c>
      <c r="N21" s="18">
        <v>-0.20357239965603463</v>
      </c>
      <c r="O21" s="18">
        <v>3.7648780378348845E-2</v>
      </c>
      <c r="P21" s="18">
        <v>-0.20357239965603463</v>
      </c>
      <c r="Q21" s="18">
        <v>3.7648780378348845E-2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VARS'!AQ22</f>
        <v>-2.2600957416418328E-2</v>
      </c>
      <c r="F22" s="16">
        <f>'ALL VARS'!AS22</f>
        <v>0.15202552796669019</v>
      </c>
      <c r="G22" s="16">
        <f>'ALL VARS'!J22</f>
        <v>38.488000700000001</v>
      </c>
      <c r="I22" s="18" t="s">
        <v>94</v>
      </c>
      <c r="J22" s="18">
        <v>-5.6605127597044854E-3</v>
      </c>
      <c r="K22" s="18">
        <v>4.3338854454265524E-3</v>
      </c>
      <c r="L22" s="18">
        <v>-1.3061057637501452</v>
      </c>
      <c r="M22" s="18">
        <v>0.19862481867189585</v>
      </c>
      <c r="N22" s="18">
        <v>-1.4406647679230982E-2</v>
      </c>
      <c r="O22" s="18">
        <v>3.0856221598220121E-3</v>
      </c>
      <c r="P22" s="18">
        <v>-1.4406647679230982E-2</v>
      </c>
      <c r="Q22" s="18">
        <v>3.0856221598220121E-3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VARS'!AQ23</f>
        <v>8.122242888256425E-4</v>
      </c>
      <c r="F23" s="16">
        <f>'ALL VARS'!AS23</f>
        <v>-4.6828858900854553E-3</v>
      </c>
      <c r="G23" s="16">
        <f>'ALL VARS'!J23</f>
        <v>39.449000699999999</v>
      </c>
      <c r="I23" s="22" t="s">
        <v>3</v>
      </c>
      <c r="J23" s="22">
        <v>1.7127709992225941E-5</v>
      </c>
      <c r="K23" s="22">
        <v>9.0765100074898769E-5</v>
      </c>
      <c r="L23" s="22">
        <v>0.18870369754555735</v>
      </c>
      <c r="M23" s="22">
        <v>0.85123393972308947</v>
      </c>
      <c r="N23" s="22">
        <v>-1.6604367772341243E-4</v>
      </c>
      <c r="O23" s="22">
        <v>2.0029909770786434E-4</v>
      </c>
      <c r="P23" s="22">
        <v>-1.6604367772341243E-4</v>
      </c>
      <c r="Q23" s="22">
        <v>2.0029909770786434E-4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VARS'!AQ24</f>
        <v>-2.3628627349207838E-3</v>
      </c>
      <c r="F24" s="16">
        <f>'ALL VARS'!AS24</f>
        <v>1.2633065729750117E-2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VARS'!AQ25</f>
        <v>-0.13413561915042096</v>
      </c>
      <c r="F25" s="16">
        <f>'ALL VARS'!AS25</f>
        <v>0.61145840217324365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VARS'!AQ26</f>
        <v>-2.0094052010291336E-3</v>
      </c>
      <c r="F26" s="16">
        <f>'ALL VARS'!AS26</f>
        <v>8.0064931363495045E-3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VARS'!AQ27</f>
        <v>-4.9725657794808205E-2</v>
      </c>
      <c r="F27" s="16">
        <f>'ALL VARS'!AS27</f>
        <v>0.18833639204435559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VARS'!AQ28</f>
        <v>9.3626009210135536E-4</v>
      </c>
      <c r="F28" s="16">
        <f>'ALL VARS'!AS28</f>
        <v>-3.1041789620953578E-3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VARS'!AQ29</f>
        <v>9.4002607497799728E-4</v>
      </c>
      <c r="F29" s="16">
        <f>'ALL VARS'!AS29</f>
        <v>-3.132645368292174E-3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VARS'!AQ30</f>
        <v>4.1156119388505157E-2</v>
      </c>
      <c r="F30" s="16">
        <f>'ALL VARS'!AS30</f>
        <v>-0.12492978373334634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VARS'!AQ31</f>
        <v>-2.0038085440039833E-4</v>
      </c>
      <c r="F31" s="16">
        <f>'ALL VARS'!AS31</f>
        <v>3.5257201974797485E-4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VARS'!AQ32</f>
        <v>-3.3576868270774659E-3</v>
      </c>
      <c r="F32" s="16">
        <f>'ALL VARS'!AS32</f>
        <v>2.1660274549671073E-4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VARS'!AQ33</f>
        <v>-6.8141290110918559E-2</v>
      </c>
      <c r="F33" s="16">
        <f>'ALL VARS'!AS33</f>
        <v>-8.2143683744218543E-2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VARS'!AQ34</f>
        <v>1.5354289175923748E-2</v>
      </c>
      <c r="F34" s="16">
        <f>'ALL VARS'!AS34</f>
        <v>4.8173943885359879E-2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VARS'!AQ35</f>
        <v>-5.3111181019270426E-2</v>
      </c>
      <c r="F35" s="16">
        <f>'ALL VARS'!AS35</f>
        <v>-0.29606781577922947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VARS'!AQ36</f>
        <v>1.1151989711088302E-2</v>
      </c>
      <c r="F36" s="16">
        <f>'ALL VARS'!AS36</f>
        <v>8.372346780756397E-2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VARS'!AQ37</f>
        <v>-1.346516961481333E-2</v>
      </c>
      <c r="F37" s="16">
        <f>'ALL VARS'!AS37</f>
        <v>-0.1288278996863513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VARS'!AQ38</f>
        <v>-7.915768142660988E-2</v>
      </c>
      <c r="F38" s="16">
        <f>'ALL VARS'!AS38</f>
        <v>-0.87583949219344981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VARS'!AQ39</f>
        <v>-4.5692722481173947E-4</v>
      </c>
      <c r="F39" s="16">
        <f>'ALL VARS'!AS39</f>
        <v>-5.8027433098168284E-3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VARS'!AQ40</f>
        <v>-0.1742250864856805</v>
      </c>
      <c r="F40" s="16">
        <f>'ALL VARS'!AS40</f>
        <v>-2.5477790688648541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VARS'!AQ41</f>
        <v>-5.072805751931835E-3</v>
      </c>
      <c r="F41" s="16">
        <f>'ALL VARS'!AS41</f>
        <v>-8.4880679054153418E-2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VARS'!AQ42</f>
        <v>1.5602072386281156E-3</v>
      </c>
      <c r="F42" s="16">
        <f>'ALL VARS'!AS42</f>
        <v>2.9131395548302842E-2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VARS'!AQ43</f>
        <v>-7.2400700865069977E-4</v>
      </c>
      <c r="F43" s="16">
        <f>'ALL VARS'!AS43</f>
        <v>-1.5137894303751396E-2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VARS'!AQ44</f>
        <v>1.2189264441783614E-3</v>
      </c>
      <c r="F44" s="16">
        <f>'ALL VARS'!AS44</f>
        <v>2.8607583681768928E-2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VARS'!AQ45</f>
        <v>-0.14958995009030499</v>
      </c>
      <c r="F45" s="16">
        <f>'ALL VARS'!AS45</f>
        <v>-3.3954662085107095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VARS'!AQ46</f>
        <v>-5.0855593038487256E-3</v>
      </c>
      <c r="F46" s="16">
        <f>'ALL VARS'!AS46</f>
        <v>-0.12279332938100516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VARS'!AQ47</f>
        <v>3.7028936507562753E-3</v>
      </c>
      <c r="F47" s="16">
        <f>'ALL VARS'!AS47</f>
        <v>8.568677973933797E-2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VARS'!AQ48</f>
        <v>-1.5335828098133389E-3</v>
      </c>
      <c r="F48" s="16">
        <f>'ALL VARS'!AS48</f>
        <v>-3.3284101915880819E-2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VARS'!AU2</f>
        <v>-2.7594732918593681E-2</v>
      </c>
      <c r="F2" s="16">
        <f>'ALL VARS'!AW2</f>
        <v>0.43576246810491548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VARS'!AU3</f>
        <v>1.8791680861907644E-3</v>
      </c>
      <c r="F3" s="16">
        <f>'ALL VARS'!AW3</f>
        <v>-2.8417736134390043E-2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VARS'!AU4</f>
        <v>-7.1014753252992016E-2</v>
      </c>
      <c r="F4" s="16">
        <f>'ALL VARS'!AW4</f>
        <v>1.0354312428332504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VARS'!AU5</f>
        <v>6.0613439519532374E-2</v>
      </c>
      <c r="F5" s="16">
        <f>'ALL VARS'!AW5</f>
        <v>-0.8864417865637263</v>
      </c>
      <c r="G5" s="16">
        <f>'ALL VARS'!J5</f>
        <v>30.590000099999997</v>
      </c>
      <c r="I5" s="18" t="s">
        <v>57</v>
      </c>
      <c r="J5" s="18">
        <v>0.49356747386772931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VARS'!AU6</f>
        <v>-0.22142565327130143</v>
      </c>
      <c r="F6" s="16">
        <f>'ALL VARS'!AW6</f>
        <v>3.2402342709416261</v>
      </c>
      <c r="G6" s="16">
        <f>'ALL VARS'!J6</f>
        <v>30.581000099999997</v>
      </c>
      <c r="I6" s="18" t="s">
        <v>58</v>
      </c>
      <c r="J6" s="18">
        <v>0.24360885126017165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VARS'!AU7</f>
        <v>1.7788015681860843E-2</v>
      </c>
      <c r="F7" s="16">
        <f>'ALL VARS'!AW7</f>
        <v>-0.26046117818464287</v>
      </c>
      <c r="G7" s="16">
        <f>'ALL VARS'!J7</f>
        <v>30.572000099999997</v>
      </c>
      <c r="I7" s="18" t="s">
        <v>58</v>
      </c>
      <c r="J7" s="18">
        <v>0.14776207518971182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VARS'!AU8</f>
        <v>6.131797597706537E-2</v>
      </c>
      <c r="F8" s="16">
        <f>'ALL VARS'!AW8</f>
        <v>-0.88613727642314788</v>
      </c>
      <c r="G8" s="16">
        <f>'ALL VARS'!J8</f>
        <v>30.763000099999999</v>
      </c>
      <c r="I8" s="18" t="s">
        <v>59</v>
      </c>
      <c r="J8" s="18">
        <v>2.5446547939519022E-2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VARS'!AU9</f>
        <v>8.7610368130071857E-3</v>
      </c>
      <c r="F9" s="16">
        <f>'ALL VARS'!AW9</f>
        <v>-0.12123968690909294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VARS'!AU10</f>
        <v>0.20764727004212868</v>
      </c>
      <c r="F10" s="16">
        <f>'ALL VARS'!AW10</f>
        <v>-2.8095732590447948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VARS'!AU11</f>
        <v>-4.4738487644284834E-2</v>
      </c>
      <c r="F11" s="16">
        <f>'ALL VARS'!AW11</f>
        <v>0.55178253168738545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VARS'!AU12</f>
        <v>5.2180886369083751E-3</v>
      </c>
      <c r="F12" s="16">
        <f>'ALL VARS'!AW12</f>
        <v>-6.3553756023832883E-2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VARS'!AU13</f>
        <v>5.0658548950672337E-2</v>
      </c>
      <c r="F13" s="16">
        <f>'ALL VARS'!AW13</f>
        <v>-0.63751294564425309</v>
      </c>
      <c r="G13" s="16">
        <f>'ALL VARS'!J13</f>
        <v>32.630000399999993</v>
      </c>
      <c r="I13" s="18" t="s">
        <v>62</v>
      </c>
      <c r="J13" s="18">
        <v>5</v>
      </c>
      <c r="K13" s="18">
        <v>8.7589826348914365E-3</v>
      </c>
      <c r="L13" s="18">
        <v>1.7517965269782873E-3</v>
      </c>
      <c r="M13" s="18">
        <v>2.7053652782620032</v>
      </c>
      <c r="N13" s="18">
        <v>3.342169007453364E-2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VARS'!AU14</f>
        <v>-3.9836174196673346E-2</v>
      </c>
      <c r="F14" s="16">
        <f>'ALL VARS'!AW14</f>
        <v>0.49920736407943073</v>
      </c>
      <c r="G14" s="16">
        <f>'ALL VARS'!J14</f>
        <v>32.683000299999996</v>
      </c>
      <c r="I14" s="18" t="s">
        <v>63</v>
      </c>
      <c r="J14" s="18">
        <v>42</v>
      </c>
      <c r="K14" s="18">
        <v>2.7196125685606067E-2</v>
      </c>
      <c r="L14" s="18">
        <v>6.4752680203823969E-4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VARS'!AU15</f>
        <v>1.5917473632021156E-3</v>
      </c>
      <c r="F15" s="16">
        <f>'ALL VARS'!AW15</f>
        <v>-1.9036516301583293E-2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VARS'!AU16</f>
        <v>4.2871073565977254E-3</v>
      </c>
      <c r="F16" s="16">
        <f>'ALL VARS'!AW16</f>
        <v>-4.7863447012028368E-2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VARS'!AU17</f>
        <v>-4.7807699933113644E-2</v>
      </c>
      <c r="F17" s="16">
        <f>'ALL VARS'!AW17</f>
        <v>0.48622862398693556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VARS'!AU18</f>
        <v>-3.4099239780294166E-3</v>
      </c>
      <c r="F18" s="16">
        <f>'ALL VARS'!AW18</f>
        <v>3.200046060402937E-2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VARS'!AU19</f>
        <v>2.633635457388734E-2</v>
      </c>
      <c r="F19" s="16">
        <f>'ALL VARS'!AW19</f>
        <v>-0.21607684796374024</v>
      </c>
      <c r="G19" s="16">
        <f>'ALL VARS'!J19</f>
        <v>37.010000400000003</v>
      </c>
      <c r="I19" s="18" t="s">
        <v>53</v>
      </c>
      <c r="J19" s="18">
        <v>0.30688894712219411</v>
      </c>
      <c r="K19" s="18">
        <v>0.12348073570892049</v>
      </c>
      <c r="L19" s="18">
        <v>2.4853184212120292</v>
      </c>
      <c r="M19" s="18">
        <v>1.7010075151229091E-2</v>
      </c>
      <c r="N19" s="18">
        <v>5.769473373746134E-2</v>
      </c>
      <c r="O19" s="18">
        <v>0.55608316050692685</v>
      </c>
      <c r="P19" s="18">
        <v>5.769473373746134E-2</v>
      </c>
      <c r="Q19" s="18">
        <v>0.55608316050692685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VARS'!AU20</f>
        <v>-3.4533926186746367E-3</v>
      </c>
      <c r="F20" s="16">
        <f>'ALL VARS'!AW20</f>
        <v>2.5619022543943628E-2</v>
      </c>
      <c r="G20" s="16">
        <f>'ALL VARS'!J20</f>
        <v>37.796000499999998</v>
      </c>
      <c r="I20" s="18" t="s">
        <v>54</v>
      </c>
      <c r="J20" s="18">
        <v>-0.17578001685831768</v>
      </c>
      <c r="K20" s="18">
        <v>9.9233053489011624E-2</v>
      </c>
      <c r="L20" s="18">
        <v>-1.7713857497873158</v>
      </c>
      <c r="M20" s="18">
        <v>8.3752636344071985E-2</v>
      </c>
      <c r="N20" s="18">
        <v>-0.37604042641929619</v>
      </c>
      <c r="O20" s="18">
        <v>2.4480392702660836E-2</v>
      </c>
      <c r="P20" s="18">
        <v>-0.37604042641929619</v>
      </c>
      <c r="Q20" s="18">
        <v>2.4480392702660836E-2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VARS'!AU21</f>
        <v>-2.4350827829411996E-3</v>
      </c>
      <c r="F21" s="16">
        <f>'ALL VARS'!AW21</f>
        <v>1.7830913679942308E-2</v>
      </c>
      <c r="G21" s="16">
        <f>'ALL VARS'!J21</f>
        <v>37.892000799999991</v>
      </c>
      <c r="I21" s="18" t="s">
        <v>27</v>
      </c>
      <c r="J21" s="18">
        <v>-7.7978399480006094E-2</v>
      </c>
      <c r="K21" s="18">
        <v>6.0485740358090477E-2</v>
      </c>
      <c r="L21" s="18">
        <v>-1.2892030256777014</v>
      </c>
      <c r="M21" s="18">
        <v>0.20438271830832375</v>
      </c>
      <c r="N21" s="18">
        <v>-0.20004356537809573</v>
      </c>
      <c r="O21" s="18">
        <v>4.4086766418083539E-2</v>
      </c>
      <c r="P21" s="18">
        <v>-0.20004356537809573</v>
      </c>
      <c r="Q21" s="18">
        <v>4.4086766418083539E-2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VARS'!AU22</f>
        <v>-1.0334566524224502E-2</v>
      </c>
      <c r="F22" s="16">
        <f>'ALL VARS'!AW22</f>
        <v>6.9515547647144516E-2</v>
      </c>
      <c r="G22" s="16">
        <f>'ALL VARS'!J22</f>
        <v>38.488000700000001</v>
      </c>
      <c r="I22" s="18" t="s">
        <v>95</v>
      </c>
      <c r="J22" s="18">
        <v>-2.764684018639582E-3</v>
      </c>
      <c r="K22" s="18">
        <v>4.5035292064223038E-3</v>
      </c>
      <c r="L22" s="18">
        <v>-0.61389276985191443</v>
      </c>
      <c r="M22" s="18">
        <v>0.54259718775673171</v>
      </c>
      <c r="N22" s="18">
        <v>-1.185317390822891E-2</v>
      </c>
      <c r="O22" s="18">
        <v>6.3238058709497455E-3</v>
      </c>
      <c r="P22" s="18">
        <v>-1.185317390822891E-2</v>
      </c>
      <c r="Q22" s="18">
        <v>6.3238058709497455E-3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VARS'!AU23</f>
        <v>2.998102294521794E-3</v>
      </c>
      <c r="F23" s="16">
        <f>'ALL VARS'!AW23</f>
        <v>-1.7285583705392994E-2</v>
      </c>
      <c r="G23" s="16">
        <f>'ALL VARS'!J23</f>
        <v>39.449000699999999</v>
      </c>
      <c r="I23" s="22" t="s">
        <v>3</v>
      </c>
      <c r="J23" s="22">
        <v>2.5407988705104088E-5</v>
      </c>
      <c r="K23" s="22">
        <v>9.527035177217942E-5</v>
      </c>
      <c r="L23" s="22">
        <v>0.26669355400158873</v>
      </c>
      <c r="M23" s="22">
        <v>0.79101019708474962</v>
      </c>
      <c r="N23" s="22">
        <v>-1.6685536502740814E-4</v>
      </c>
      <c r="O23" s="22">
        <v>2.1767134243761631E-4</v>
      </c>
      <c r="P23" s="22">
        <v>-1.6685536502740814E-4</v>
      </c>
      <c r="Q23" s="22">
        <v>2.1767134243761631E-4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VARS'!AU24</f>
        <v>-4.6071523721334766E-2</v>
      </c>
      <c r="F24" s="16">
        <f>'ALL VARS'!AW24</f>
        <v>0.24632179383068414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VARS'!AU25</f>
        <v>-0.1995542343921578</v>
      </c>
      <c r="F25" s="16">
        <f>'ALL VARS'!AW25</f>
        <v>0.90966973635466919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VARS'!AU26</f>
        <v>-2.493548067182477E-3</v>
      </c>
      <c r="F26" s="16">
        <f>'ALL VARS'!AW26</f>
        <v>9.9355647506182681E-3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VARS'!AU27</f>
        <v>-0.11971727008879195</v>
      </c>
      <c r="F27" s="16">
        <f>'ALL VARS'!AW27</f>
        <v>0.45343027551214904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VARS'!AU28</f>
        <v>9.7533360602356078E-3</v>
      </c>
      <c r="F28" s="16">
        <f>'ALL VARS'!AW28</f>
        <v>-3.233727557529157E-2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VARS'!AU29</f>
        <v>2.7321142378851016E-2</v>
      </c>
      <c r="F29" s="16">
        <f>'ALL VARS'!AW29</f>
        <v>-9.1047953251256322E-2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VARS'!AU30</f>
        <v>4.8962695649570925E-2</v>
      </c>
      <c r="F30" s="16">
        <f>'ALL VARS'!AW30</f>
        <v>-0.14862671868453647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VARS'!AU31</f>
        <v>-2.3785872900414697E-3</v>
      </c>
      <c r="F31" s="16">
        <f>'ALL VARS'!AW31</f>
        <v>4.1851469667908356E-3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VARS'!AU32</f>
        <v>-5.643426022473759E-3</v>
      </c>
      <c r="F32" s="16">
        <f>'ALL VARS'!AW32</f>
        <v>3.6405467020262885E-4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VARS'!AU33</f>
        <v>-9.3825945811898862E-2</v>
      </c>
      <c r="F33" s="16">
        <f>'ALL VARS'!AW33</f>
        <v>-0.11310629439550116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VARS'!AU34</f>
        <v>1.5354369866903977E-2</v>
      </c>
      <c r="F34" s="16">
        <f>'ALL VARS'!AW34</f>
        <v>4.8174197052583002E-2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VARS'!AU35</f>
        <v>-0.10047556734432933</v>
      </c>
      <c r="F35" s="16">
        <f>'ALL VARS'!AW35</f>
        <v>-0.56010017461334727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VARS'!AU36</f>
        <v>1.3367409267039266E-2</v>
      </c>
      <c r="F36" s="16">
        <f>'ALL VARS'!AW36</f>
        <v>0.10035571126170605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VARS'!AU37</f>
        <v>-1.9137176105298935E-2</v>
      </c>
      <c r="F37" s="16">
        <f>'ALL VARS'!AW37</f>
        <v>-0.18309477519401221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VARS'!AU38</f>
        <v>-7.1728361990186446E-3</v>
      </c>
      <c r="F38" s="16">
        <f>'ALL VARS'!AW38</f>
        <v>-7.9363785054262892E-2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VARS'!AU39</f>
        <v>-2.4249379151290128E-3</v>
      </c>
      <c r="F39" s="16">
        <f>'ALL VARS'!AW39</f>
        <v>-3.0795477922186884E-2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VARS'!AU40</f>
        <v>-0.12044132644667442</v>
      </c>
      <c r="F40" s="16">
        <f>'ALL VARS'!AW40</f>
        <v>-1.7612727118512674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VARS'!AU41</f>
        <v>-6.2890214855230164E-2</v>
      </c>
      <c r="F41" s="16">
        <f>'ALL VARS'!AW41</f>
        <v>-1.0523099846156447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VARS'!AU42</f>
        <v>1.5601000342658093E-2</v>
      </c>
      <c r="F42" s="16">
        <f>'ALL VARS'!AW42</f>
        <v>0.29129393883007665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VARS'!AU43</f>
        <v>-1.6716709220067533E-2</v>
      </c>
      <c r="F43" s="16">
        <f>'ALL VARS'!AW43</f>
        <v>-0.34952117072946265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VARS'!AU44</f>
        <v>1.555485781773594E-2</v>
      </c>
      <c r="F44" s="16">
        <f>'ALL VARS'!AW44</f>
        <v>0.36506460156326309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VARS'!AU45</f>
        <v>-0.10756176353482122</v>
      </c>
      <c r="F45" s="16">
        <f>'ALL VARS'!AW45</f>
        <v>-2.4414897738105146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VARS'!AU46</f>
        <v>-8.6363244862785862E-2</v>
      </c>
      <c r="F46" s="16">
        <f>'ALL VARS'!AW46</f>
        <v>-2.0852830021710265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VARS'!AU47</f>
        <v>2.3359486540013113E-2</v>
      </c>
      <c r="F47" s="16">
        <f>'ALL VARS'!AW47</f>
        <v>0.54055000406758347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VARS'!AU48</f>
        <v>-6.4409877015427427E-2</v>
      </c>
      <c r="F48" s="16">
        <f>'ALL VARS'!AW48</f>
        <v>-1.3979192367393405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VARS'!AY2</f>
        <v>-3.9793148523069597E-3</v>
      </c>
      <c r="F2" s="16">
        <f>'ALL VARS'!BA2</f>
        <v>6.2839385564025976E-2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VARS'!AY3</f>
        <v>1.5311548504140444E-3</v>
      </c>
      <c r="F3" s="16">
        <f>'ALL VARS'!BA3</f>
        <v>-2.315490287415441E-2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VARS'!AY4</f>
        <v>-3.5602382730395791E-3</v>
      </c>
      <c r="F4" s="16">
        <f>'ALL VARS'!BA4</f>
        <v>5.1910085876142376E-2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VARS'!AY5</f>
        <v>2.2715361108688798E-3</v>
      </c>
      <c r="F5" s="16">
        <f>'ALL VARS'!BA5</f>
        <v>-3.3220100101954468E-2</v>
      </c>
      <c r="G5" s="16">
        <f>'ALL VARS'!J5</f>
        <v>30.590000099999997</v>
      </c>
      <c r="I5" s="18" t="s">
        <v>57</v>
      </c>
      <c r="J5" s="18">
        <v>0.47472507816899695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VARS'!AY6</f>
        <v>-0.21926329805601888</v>
      </c>
      <c r="F6" s="16">
        <f>'ALL VARS'!BA6</f>
        <v>3.208591426623479</v>
      </c>
      <c r="G6" s="16">
        <f>'ALL VARS'!J6</f>
        <v>30.581000099999997</v>
      </c>
      <c r="I6" s="18" t="s">
        <v>58</v>
      </c>
      <c r="J6" s="18">
        <v>0.22536389984256028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VARS'!AY7</f>
        <v>9.4282772560790821E-3</v>
      </c>
      <c r="F7" s="16">
        <f>'ALL VARS'!BA7</f>
        <v>-0.138053633766132</v>
      </c>
      <c r="G7" s="16">
        <f>'ALL VARS'!J7</f>
        <v>30.572000099999997</v>
      </c>
      <c r="I7" s="18" t="s">
        <v>58</v>
      </c>
      <c r="J7" s="18">
        <v>0.12777950935137553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VARS'!AY8</f>
        <v>1.5144979162469395E-3</v>
      </c>
      <c r="F8" s="16">
        <f>'ALL VARS'!BA8</f>
        <v>-2.188678013693017E-2</v>
      </c>
      <c r="G8" s="16">
        <f>'ALL VARS'!J8</f>
        <v>30.763000099999999</v>
      </c>
      <c r="I8" s="18" t="s">
        <v>59</v>
      </c>
      <c r="J8" s="18">
        <v>2.5751618021346644E-2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VARS'!AY9</f>
        <v>8.7596785349484309E-3</v>
      </c>
      <c r="F9" s="16">
        <f>'ALL VARS'!BA9</f>
        <v>-0.1212208903659333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VARS'!AY10</f>
        <v>8.3453181082705809E-3</v>
      </c>
      <c r="F10" s="16">
        <f>'ALL VARS'!BA10</f>
        <v>-0.11291640188894513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VARS'!AY11</f>
        <v>-2.8202952723899617E-2</v>
      </c>
      <c r="F11" s="16">
        <f>'ALL VARS'!BA11</f>
        <v>0.34784136600202992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VARS'!AY12</f>
        <v>5.2182124916950066E-3</v>
      </c>
      <c r="F12" s="16">
        <f>'ALL VARS'!BA12</f>
        <v>-6.3555264514285933E-2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VARS'!AY13</f>
        <v>2.1353989241585667E-3</v>
      </c>
      <c r="F13" s="16">
        <f>'ALL VARS'!BA13</f>
        <v>-2.6872946155474694E-2</v>
      </c>
      <c r="G13" s="16">
        <f>'ALL VARS'!J13</f>
        <v>32.630000399999993</v>
      </c>
      <c r="I13" s="18" t="s">
        <v>62</v>
      </c>
      <c r="J13" s="18">
        <v>5</v>
      </c>
      <c r="K13" s="18">
        <v>8.1029834303690054E-3</v>
      </c>
      <c r="L13" s="18">
        <v>1.620596686073801E-3</v>
      </c>
      <c r="M13" s="18">
        <v>2.4438013646572307</v>
      </c>
      <c r="N13" s="18">
        <v>4.9971301975206613E-2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VARS'!AY14</f>
        <v>-3.5856215812900882E-2</v>
      </c>
      <c r="F14" s="16">
        <f>'ALL VARS'!BA14</f>
        <v>0.4493324809116892</v>
      </c>
      <c r="G14" s="16">
        <f>'ALL VARS'!J14</f>
        <v>32.683000299999996</v>
      </c>
      <c r="I14" s="18" t="s">
        <v>63</v>
      </c>
      <c r="J14" s="18">
        <v>42</v>
      </c>
      <c r="K14" s="18">
        <v>2.7852124890128498E-2</v>
      </c>
      <c r="L14" s="18">
        <v>6.6314583071734514E-4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VARS'!AY15</f>
        <v>1.5913647093750702E-3</v>
      </c>
      <c r="F15" s="16">
        <f>'ALL VARS'!BA15</f>
        <v>-1.903193994984255E-2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VARS'!AY16</f>
        <v>5.7524593295812776E-2</v>
      </c>
      <c r="F16" s="16">
        <f>'ALL VARS'!BA16</f>
        <v>-0.64223381736996499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VARS'!AY17</f>
        <v>-3.5818343514204738E-3</v>
      </c>
      <c r="F17" s="16">
        <f>'ALL VARS'!BA17</f>
        <v>3.6429077125168602E-2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VARS'!AY18</f>
        <v>-1.7740851763834208E-3</v>
      </c>
      <c r="F18" s="16">
        <f>'ALL VARS'!BA18</f>
        <v>1.6648917442393607E-2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VARS'!AY19</f>
        <v>4.6652164569905376E-2</v>
      </c>
      <c r="F19" s="16">
        <f>'ALL VARS'!BA19</f>
        <v>-0.38275808607716971</v>
      </c>
      <c r="G19" s="16">
        <f>'ALL VARS'!J19</f>
        <v>37.010000400000003</v>
      </c>
      <c r="I19" s="18" t="s">
        <v>53</v>
      </c>
      <c r="J19" s="18">
        <v>0.30515658731032202</v>
      </c>
      <c r="K19" s="18">
        <v>0.12502082029327427</v>
      </c>
      <c r="L19" s="18">
        <v>2.4408461454218959</v>
      </c>
      <c r="M19" s="18">
        <v>1.8950009735058618E-2</v>
      </c>
      <c r="N19" s="18">
        <v>5.2854357405112129E-2</v>
      </c>
      <c r="O19" s="18">
        <v>0.55745881721553192</v>
      </c>
      <c r="P19" s="18">
        <v>5.2854357405112129E-2</v>
      </c>
      <c r="Q19" s="18">
        <v>0.55745881721553192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VARS'!AY20</f>
        <v>-3.0383161021022721E-2</v>
      </c>
      <c r="F20" s="16">
        <f>'ALL VARS'!BA20</f>
        <v>0.22539773871775526</v>
      </c>
      <c r="G20" s="16">
        <f>'ALL VARS'!J20</f>
        <v>37.796000499999998</v>
      </c>
      <c r="I20" s="18" t="s">
        <v>54</v>
      </c>
      <c r="J20" s="18">
        <v>-0.17973533528986135</v>
      </c>
      <c r="K20" s="18">
        <v>0.10022874401003304</v>
      </c>
      <c r="L20" s="18">
        <v>-1.7932513977414462</v>
      </c>
      <c r="M20" s="18">
        <v>8.0135693301399316E-2</v>
      </c>
      <c r="N20" s="18">
        <v>-0.38200512967298295</v>
      </c>
      <c r="O20" s="18">
        <v>2.253445909326024E-2</v>
      </c>
      <c r="P20" s="18">
        <v>-0.38200512967298295</v>
      </c>
      <c r="Q20" s="18">
        <v>2.253445909326024E-2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VARS'!AY21</f>
        <v>-2.1266942193614767E-2</v>
      </c>
      <c r="F21" s="16">
        <f>'ALL VARS'!BA21</f>
        <v>0.1557273589001531</v>
      </c>
      <c r="G21" s="16">
        <f>'ALL VARS'!J21</f>
        <v>37.892000799999991</v>
      </c>
      <c r="I21" s="18" t="s">
        <v>28</v>
      </c>
      <c r="J21" s="18">
        <v>-5.9395271985397201E-2</v>
      </c>
      <c r="K21" s="18">
        <v>9.5467281883724192E-2</v>
      </c>
      <c r="L21" s="18">
        <v>-0.62215316926838415</v>
      </c>
      <c r="M21" s="18">
        <v>0.53720425952470063</v>
      </c>
      <c r="N21" s="18">
        <v>-0.2520560467727519</v>
      </c>
      <c r="O21" s="18">
        <v>0.13326550280195751</v>
      </c>
      <c r="P21" s="18">
        <v>-0.2520560467727519</v>
      </c>
      <c r="Q21" s="18">
        <v>0.13326550280195751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VARS'!AY22</f>
        <v>-2.4755316678171657E-2</v>
      </c>
      <c r="F22" s="16">
        <f>'ALL VARS'!BA22</f>
        <v>0.1665168434522924</v>
      </c>
      <c r="G22" s="16">
        <f>'ALL VARS'!J22</f>
        <v>38.488000700000001</v>
      </c>
      <c r="I22" s="18" t="s">
        <v>96</v>
      </c>
      <c r="J22" s="18">
        <v>1.6118939998607583E-3</v>
      </c>
      <c r="K22" s="18">
        <v>6.3847697253858957E-3</v>
      </c>
      <c r="L22" s="18">
        <v>0.2524592223666039</v>
      </c>
      <c r="M22" s="18">
        <v>0.80191759355085657</v>
      </c>
      <c r="N22" s="18">
        <v>-1.1273092959649672E-2</v>
      </c>
      <c r="O22" s="18">
        <v>1.4496880959371189E-2</v>
      </c>
      <c r="P22" s="18">
        <v>-1.1273092959649672E-2</v>
      </c>
      <c r="Q22" s="18">
        <v>1.4496880959371189E-2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VARS'!AY23</f>
        <v>8.9372420664605916E-5</v>
      </c>
      <c r="F23" s="16">
        <f>'ALL VARS'!BA23</f>
        <v>-5.1527743438722418E-4</v>
      </c>
      <c r="G23" s="16">
        <f>'ALL VARS'!J23</f>
        <v>39.449000699999999</v>
      </c>
      <c r="I23" s="22" t="s">
        <v>3</v>
      </c>
      <c r="J23" s="22">
        <v>6.3481697157133642E-5</v>
      </c>
      <c r="K23" s="22">
        <v>9.1418734890310103E-5</v>
      </c>
      <c r="L23" s="22">
        <v>0.69440577178521379</v>
      </c>
      <c r="M23" s="22">
        <v>0.49125131533102595</v>
      </c>
      <c r="N23" s="22">
        <v>-1.2100877901981147E-4</v>
      </c>
      <c r="O23" s="22">
        <v>2.4797217333407876E-4</v>
      </c>
      <c r="P23" s="22">
        <v>-1.2100877901981147E-4</v>
      </c>
      <c r="Q23" s="22">
        <v>2.4797217333407876E-4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VARS'!AY24</f>
        <v>-2.6762421446872998E-2</v>
      </c>
      <c r="F24" s="16">
        <f>'ALL VARS'!BA24</f>
        <v>0.14308551412190074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VARS'!AY25</f>
        <v>-6.3262697982867152E-3</v>
      </c>
      <c r="F25" s="16">
        <f>'ALL VARS'!BA25</f>
        <v>2.8838356635453779E-2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VARS'!AY26</f>
        <v>-3.5751277338171845E-3</v>
      </c>
      <c r="F26" s="16">
        <f>'ALL VARS'!BA26</f>
        <v>1.424512868172129E-2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VARS'!AY27</f>
        <v>-7.1160182191305141E-2</v>
      </c>
      <c r="F27" s="16">
        <f>'ALL VARS'!BA27</f>
        <v>0.26951985283799923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VARS'!AY28</f>
        <v>5.8401204160221654E-3</v>
      </c>
      <c r="F28" s="16">
        <f>'ALL VARS'!BA28</f>
        <v>-1.9362973050395759E-2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VARS'!AY29</f>
        <v>9.3997355234824015E-4</v>
      </c>
      <c r="F29" s="16">
        <f>'ALL VARS'!BA29</f>
        <v>-3.1324703361550678E-3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VARS'!AY30</f>
        <v>5.5845793814444837E-3</v>
      </c>
      <c r="F30" s="16">
        <f>'ALL VARS'!BA30</f>
        <v>-1.6952042727342888E-2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VARS'!AY31</f>
        <v>-2.2423216333695172E-3</v>
      </c>
      <c r="F31" s="16">
        <f>'ALL VARS'!BA31</f>
        <v>3.9453862474402995E-3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VARS'!AY32</f>
        <v>-1.9692996135975758E-3</v>
      </c>
      <c r="F32" s="16">
        <f>'ALL VARS'!BA32</f>
        <v>1.2703856106262331E-4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VARS'!AY33</f>
        <v>-4.8921747672897725E-3</v>
      </c>
      <c r="F33" s="16">
        <f>'ALL VARS'!BA33</f>
        <v>-5.8974706268630668E-3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VARS'!AY34</f>
        <v>1.8605836542548403E-2</v>
      </c>
      <c r="F34" s="16">
        <f>'ALL VARS'!BA34</f>
        <v>5.8375644438582792E-2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VARS'!AY35</f>
        <v>-1.9870423292422858E-2</v>
      </c>
      <c r="F35" s="16">
        <f>'ALL VARS'!BA35</f>
        <v>-0.11076750149204598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VARS'!AY36</f>
        <v>3.2570272732499578E-3</v>
      </c>
      <c r="F36" s="16">
        <f>'ALL VARS'!BA36</f>
        <v>2.4452104523479644E-2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VARS'!AY37</f>
        <v>-1.0593265496713111E-2</v>
      </c>
      <c r="F37" s="16">
        <f>'ALL VARS'!BA37</f>
        <v>-0.10135098062634858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VARS'!AY38</f>
        <v>-7.7159060828370499E-2</v>
      </c>
      <c r="F38" s="16">
        <f>'ALL VARS'!BA38</f>
        <v>-0.85372577160055596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VARS'!AY39</f>
        <v>-4.188052424567771E-3</v>
      </c>
      <c r="F39" s="16">
        <f>'ALL VARS'!BA39</f>
        <v>-5.3186135270962741E-2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VARS'!AY40</f>
        <v>-8.8871063289103769E-3</v>
      </c>
      <c r="F40" s="16">
        <f>'ALL VARS'!BA40</f>
        <v>-0.12996052373568603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VARS'!AY41</f>
        <v>-0.12922235853609865</v>
      </c>
      <c r="F41" s="16">
        <f>'ALL VARS'!BA41</f>
        <v>-2.1622120140015797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VARS'!AY42</f>
        <v>2.5741525247241121E-2</v>
      </c>
      <c r="F42" s="16">
        <f>'ALL VARS'!BA42</f>
        <v>0.48063265919300419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VARS'!AY43</f>
        <v>-7.2403150596203885E-4</v>
      </c>
      <c r="F43" s="16">
        <f>'ALL VARS'!BA43</f>
        <v>-1.5138406505574509E-2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VARS'!AY44</f>
        <v>1.2185984954640871E-3</v>
      </c>
      <c r="F44" s="16">
        <f>'ALL VARS'!BA44</f>
        <v>2.8599886892244231E-2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VARS'!AY45</f>
        <v>-3.7731349931210585E-2</v>
      </c>
      <c r="F45" s="16">
        <f>'ALL VARS'!BA45</f>
        <v>-0.85644472516754766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VARS'!AY46</f>
        <v>-4.0847629201295664E-2</v>
      </c>
      <c r="F46" s="16">
        <f>'ALL VARS'!BA46</f>
        <v>-0.98628608718650057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VARS'!AY47</f>
        <v>8.240900896687036E-3</v>
      </c>
      <c r="F47" s="16">
        <f>'ALL VARS'!BA47</f>
        <v>0.19069849868464742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VARS'!AY48</f>
        <v>-1.5335674488113102E-3</v>
      </c>
      <c r="F48" s="16">
        <f>'ALL VARS'!BA48</f>
        <v>-3.3283768528499458E-2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48"/>
  <sheetViews>
    <sheetView workbookViewId="0"/>
  </sheetViews>
  <sheetFormatPr baseColWidth="10" defaultColWidth="11.140625" defaultRowHeight="15" x14ac:dyDescent="0.25"/>
  <cols>
    <col min="1" max="1" width="10.42578125" style="20" bestFit="1" customWidth="1"/>
    <col min="2" max="2" width="16.7109375" style="16" bestFit="1" customWidth="1"/>
    <col min="3" max="3" width="13.5703125" style="16" bestFit="1" customWidth="1"/>
    <col min="4" max="4" width="22.28515625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16" t="str">
        <f>'ALL VARS'!F1</f>
        <v>Daily Return_t_+1</v>
      </c>
      <c r="C1" s="16" t="str">
        <f>'ALL VARS'!G1</f>
        <v>Daily Return_t</v>
      </c>
      <c r="D1" s="16" t="str">
        <f>'ALL VARS'!H1</f>
        <v>Daily Return_t_minus_1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0">
        <f>'ALL VARS'!A2</f>
        <v>43980</v>
      </c>
      <c r="B2" s="16">
        <f>'ALL VARS'!F2</f>
        <v>-1.0005772561094775E-3</v>
      </c>
      <c r="C2" s="16">
        <f>'ALL VARS'!G2</f>
        <v>-9.0760019829920126E-3</v>
      </c>
      <c r="D2" s="16">
        <f>'ALL VARS'!H2</f>
        <v>-9.0318192124555444E-3</v>
      </c>
      <c r="E2" s="16">
        <f>'ALL VARS'!BC2</f>
        <v>-3.9796520318904297E-3</v>
      </c>
      <c r="F2" s="16">
        <f>'ALL VARS'!BE2</f>
        <v>6.2844710138390256E-2</v>
      </c>
      <c r="G2" s="16">
        <f>'ALL VARS'!J2</f>
        <v>29.423000200000001</v>
      </c>
      <c r="I2" s="18" t="s">
        <v>55</v>
      </c>
    </row>
    <row r="3" spans="1:14" ht="15.75" thickBot="1" x14ac:dyDescent="0.3">
      <c r="A3" s="20">
        <f>'ALL VARS'!A3</f>
        <v>43979</v>
      </c>
      <c r="B3" s="16">
        <f>'ALL VARS'!F3</f>
        <v>-9.0760019829920126E-3</v>
      </c>
      <c r="C3" s="16">
        <f>'ALL VARS'!G3</f>
        <v>-9.0318192124555444E-3</v>
      </c>
      <c r="D3" s="16">
        <f>'ALL VARS'!H3</f>
        <v>-3.4271080480547142E-3</v>
      </c>
      <c r="E3" s="16">
        <f>'ALL VARS'!BC3</f>
        <v>1.3920829602683825E-4</v>
      </c>
      <c r="F3" s="16">
        <f>'ALL VARS'!BE3</f>
        <v>-2.1051786975734934E-3</v>
      </c>
      <c r="G3" s="16">
        <f>'ALL VARS'!J3</f>
        <v>30.092000099999996</v>
      </c>
    </row>
    <row r="4" spans="1:14" x14ac:dyDescent="0.25">
      <c r="A4" s="20">
        <f>'ALL VARS'!A4</f>
        <v>43978</v>
      </c>
      <c r="B4" s="16">
        <f>'ALL VARS'!F4</f>
        <v>-9.0318192124555444E-3</v>
      </c>
      <c r="C4" s="16">
        <f>'ALL VARS'!G4</f>
        <v>-3.4271080480547142E-3</v>
      </c>
      <c r="D4" s="16">
        <f>'ALL VARS'!H4</f>
        <v>1.7356321839080355E-2</v>
      </c>
      <c r="E4" s="16">
        <f>'ALL VARS'!BC4</f>
        <v>-3.5602186601439139E-3</v>
      </c>
      <c r="F4" s="16">
        <f>'ALL VARS'!BE4</f>
        <v>5.1909799910142301E-2</v>
      </c>
      <c r="G4" s="16">
        <f>'ALL VARS'!J4</f>
        <v>30.634000099999998</v>
      </c>
      <c r="I4" s="21" t="s">
        <v>56</v>
      </c>
      <c r="J4" s="21"/>
    </row>
    <row r="5" spans="1:14" x14ac:dyDescent="0.25">
      <c r="A5" s="20">
        <f>'ALL VARS'!A5</f>
        <v>43977</v>
      </c>
      <c r="B5" s="16">
        <f>'ALL VARS'!F5</f>
        <v>-3.4271080480547142E-3</v>
      </c>
      <c r="C5" s="16">
        <f>'ALL VARS'!G5</f>
        <v>1.7356321839080355E-2</v>
      </c>
      <c r="D5" s="16">
        <f>'ALL VARS'!H5</f>
        <v>2.9382764740682264E-2</v>
      </c>
      <c r="E5" s="16">
        <f>'ALL VARS'!BC5</f>
        <v>5.1086517628979589E-3</v>
      </c>
      <c r="F5" s="16">
        <f>'ALL VARS'!BE5</f>
        <v>-7.4711523245202124E-2</v>
      </c>
      <c r="G5" s="16">
        <f>'ALL VARS'!J5</f>
        <v>30.590000099999997</v>
      </c>
      <c r="I5" s="18" t="s">
        <v>57</v>
      </c>
      <c r="J5" s="18">
        <v>0.63220905907322589</v>
      </c>
    </row>
    <row r="6" spans="1:14" x14ac:dyDescent="0.25">
      <c r="A6" s="20">
        <f>'ALL VARS'!A6</f>
        <v>43976</v>
      </c>
      <c r="B6" s="16">
        <f>'ALL VARS'!F6</f>
        <v>1.7356321839080355E-2</v>
      </c>
      <c r="C6" s="16">
        <f>'ALL VARS'!G6</f>
        <v>2.9382764740682264E-2</v>
      </c>
      <c r="D6" s="16">
        <f>'ALL VARS'!H6</f>
        <v>-2.7924172107290945E-3</v>
      </c>
      <c r="E6" s="16">
        <f>'ALL VARS'!BC6</f>
        <v>-1.1964375535987065E-2</v>
      </c>
      <c r="F6" s="16">
        <f>'ALL VARS'!BE6</f>
        <v>0.17508079605672974</v>
      </c>
      <c r="G6" s="16">
        <f>'ALL VARS'!J6</f>
        <v>30.581000099999997</v>
      </c>
      <c r="I6" s="18" t="s">
        <v>58</v>
      </c>
      <c r="J6" s="18">
        <v>0.39968829437425357</v>
      </c>
    </row>
    <row r="7" spans="1:14" x14ac:dyDescent="0.25">
      <c r="A7" s="20">
        <f>'ALL VARS'!A7</f>
        <v>43973</v>
      </c>
      <c r="B7" s="16">
        <f>'ALL VARS'!F7</f>
        <v>2.9382764740682264E-2</v>
      </c>
      <c r="C7" s="16">
        <f>'ALL VARS'!G7</f>
        <v>-2.7924172107290945E-3</v>
      </c>
      <c r="D7" s="16">
        <f>'ALL VARS'!H7</f>
        <v>5.2981179819705975E-3</v>
      </c>
      <c r="E7" s="16">
        <f>'ALL VARS'!BC7</f>
        <v>7.4226306874589608E-4</v>
      </c>
      <c r="F7" s="16">
        <f>'ALL VARS'!BE7</f>
        <v>-1.0868593600670804E-2</v>
      </c>
      <c r="G7" s="16">
        <f>'ALL VARS'!J7</f>
        <v>30.572000099999997</v>
      </c>
      <c r="I7" s="18" t="s">
        <v>58</v>
      </c>
      <c r="J7" s="18">
        <v>0.31870622717180153</v>
      </c>
    </row>
    <row r="8" spans="1:14" x14ac:dyDescent="0.25">
      <c r="A8" s="20">
        <f>'ALL VARS'!A8</f>
        <v>43972</v>
      </c>
      <c r="B8" s="16">
        <f>'ALL VARS'!F8</f>
        <v>-2.7924172107290945E-3</v>
      </c>
      <c r="C8" s="16">
        <f>'ALL VARS'!G8</f>
        <v>5.2981179819705975E-3</v>
      </c>
      <c r="D8" s="16">
        <f>'ALL VARS'!H8</f>
        <v>2.8151143888029005E-3</v>
      </c>
      <c r="E8" s="16">
        <f>'ALL VARS'!BC8</f>
        <v>1.5858909099991488E-2</v>
      </c>
      <c r="F8" s="16">
        <f>'ALL VARS'!BE8</f>
        <v>-0.22918516622539872</v>
      </c>
      <c r="G8" s="16">
        <f>'ALL VARS'!J8</f>
        <v>30.763000099999999</v>
      </c>
      <c r="I8" s="18" t="s">
        <v>59</v>
      </c>
      <c r="J8" s="18">
        <v>2.26696106641197E-2</v>
      </c>
    </row>
    <row r="9" spans="1:14" ht="15.75" thickBot="1" x14ac:dyDescent="0.3">
      <c r="A9" s="20">
        <f>'ALL VARS'!A9</f>
        <v>43971</v>
      </c>
      <c r="B9" s="16">
        <f>'ALL VARS'!F9</f>
        <v>5.2981179819705975E-3</v>
      </c>
      <c r="C9" s="16">
        <f>'ALL VARS'!G9</f>
        <v>2.8151143888029005E-3</v>
      </c>
      <c r="D9" s="16">
        <f>'ALL VARS'!H9</f>
        <v>3.309712038667928E-2</v>
      </c>
      <c r="E9" s="16">
        <f>'ALL VARS'!BC9</f>
        <v>8.7598101606754693E-3</v>
      </c>
      <c r="F9" s="16">
        <f>'ALL VARS'!BE9</f>
        <v>-0.1212227118697434</v>
      </c>
      <c r="G9" s="16">
        <f>'ALL VARS'!J9</f>
        <v>31.375999999999998</v>
      </c>
      <c r="I9" s="22" t="s">
        <v>60</v>
      </c>
      <c r="J9" s="22">
        <v>47</v>
      </c>
    </row>
    <row r="10" spans="1:14" x14ac:dyDescent="0.25">
      <c r="A10" s="20">
        <f>'ALL VARS'!A10</f>
        <v>43970</v>
      </c>
      <c r="B10" s="16">
        <f>'ALL VARS'!F10</f>
        <v>2.8151143888029005E-3</v>
      </c>
      <c r="C10" s="16">
        <f>'ALL VARS'!G10</f>
        <v>3.309712038667928E-2</v>
      </c>
      <c r="D10" s="16">
        <f>'ALL VARS'!H10</f>
        <v>3.3701861822366249E-3</v>
      </c>
      <c r="E10" s="16">
        <f>'ALL VARS'!BC10</f>
        <v>8.3448581924290572E-3</v>
      </c>
      <c r="F10" s="16">
        <f>'ALL VARS'!BE10</f>
        <v>-0.11291017899350569</v>
      </c>
      <c r="G10" s="16">
        <f>'ALL VARS'!J10</f>
        <v>31.683999999999997</v>
      </c>
    </row>
    <row r="11" spans="1:14" ht="15.75" thickBot="1" x14ac:dyDescent="0.3">
      <c r="A11" s="20">
        <f>'ALL VARS'!A11</f>
        <v>43966</v>
      </c>
      <c r="B11" s="16">
        <f>'ALL VARS'!F11</f>
        <v>3.309712038667928E-2</v>
      </c>
      <c r="C11" s="16">
        <f>'ALL VARS'!G11</f>
        <v>3.3701861822366249E-3</v>
      </c>
      <c r="D11" s="16">
        <f>'ALL VARS'!H11</f>
        <v>1.417198115960154E-2</v>
      </c>
      <c r="E11" s="16">
        <f>'ALL VARS'!BC11</f>
        <v>-2.8211159628678006E-3</v>
      </c>
      <c r="F11" s="16">
        <f>'ALL VARS'!BE11</f>
        <v>3.4794258593445017E-2</v>
      </c>
      <c r="G11" s="16">
        <f>'ALL VARS'!J11</f>
        <v>32.881000200000003</v>
      </c>
      <c r="I11" s="18" t="s">
        <v>61</v>
      </c>
    </row>
    <row r="12" spans="1:14" x14ac:dyDescent="0.25">
      <c r="A12" s="20">
        <f>'ALL VARS'!A12</f>
        <v>43965</v>
      </c>
      <c r="B12" s="16">
        <f>'ALL VARS'!F12</f>
        <v>3.3701861822366249E-3</v>
      </c>
      <c r="C12" s="16">
        <f>'ALL VARS'!G12</f>
        <v>1.417198115960154E-2</v>
      </c>
      <c r="D12" s="16">
        <f>'ALL VARS'!H12</f>
        <v>-2.2451307961861264E-2</v>
      </c>
      <c r="E12" s="16">
        <f>'ALL VARS'!BC12</f>
        <v>5.2178061128379328E-3</v>
      </c>
      <c r="F12" s="16">
        <f>'ALL VARS'!BE12</f>
        <v>-6.3550315019455003E-2</v>
      </c>
      <c r="G12" s="16">
        <f>'ALL VARS'!J12</f>
        <v>33.0350003</v>
      </c>
      <c r="I12" s="23"/>
      <c r="J12" s="23" t="s">
        <v>66</v>
      </c>
      <c r="K12" s="23" t="s">
        <v>67</v>
      </c>
      <c r="L12" s="23" t="s">
        <v>68</v>
      </c>
      <c r="M12" s="23" t="s">
        <v>69</v>
      </c>
      <c r="N12" s="23" t="s">
        <v>70</v>
      </c>
    </row>
    <row r="13" spans="1:14" x14ac:dyDescent="0.25">
      <c r="A13" s="20">
        <f>'ALL VARS'!A13</f>
        <v>43964</v>
      </c>
      <c r="B13" s="16">
        <f>'ALL VARS'!F13</f>
        <v>1.417198115960154E-2</v>
      </c>
      <c r="C13" s="16">
        <f>'ALL VARS'!G13</f>
        <v>-2.2451307961861264E-2</v>
      </c>
      <c r="D13" s="16">
        <f>'ALL VARS'!H13</f>
        <v>-3.3627342888643962E-2</v>
      </c>
      <c r="E13" s="16">
        <f>'ALL VARS'!BC13</f>
        <v>2.1353122868791098E-3</v>
      </c>
      <c r="F13" s="16">
        <f>'ALL VARS'!BE13</f>
        <v>-2.6871855867885073E-2</v>
      </c>
      <c r="G13" s="16">
        <f>'ALL VARS'!J13</f>
        <v>32.630000399999993</v>
      </c>
      <c r="I13" s="18" t="s">
        <v>62</v>
      </c>
      <c r="J13" s="18">
        <v>5</v>
      </c>
      <c r="K13" s="18">
        <v>1.437083591866118E-2</v>
      </c>
      <c r="L13" s="18">
        <v>2.874167183732236E-3</v>
      </c>
      <c r="M13" s="18">
        <v>5.5927306452305459</v>
      </c>
      <c r="N13" s="18">
        <v>5.109347871484997E-4</v>
      </c>
    </row>
    <row r="14" spans="1:14" x14ac:dyDescent="0.25">
      <c r="A14" s="20">
        <f>'ALL VARS'!A14</f>
        <v>43963</v>
      </c>
      <c r="B14" s="16">
        <f>'ALL VARS'!F14</f>
        <v>-2.2451307961861264E-2</v>
      </c>
      <c r="C14" s="16">
        <f>'ALL VARS'!G14</f>
        <v>-3.3627342888643962E-2</v>
      </c>
      <c r="D14" s="16">
        <f>'ALL VARS'!H14</f>
        <v>-1.3096024559903535E-2</v>
      </c>
      <c r="E14" s="16">
        <f>'ALL VARS'!BC14</f>
        <v>-1.335816749164582E-2</v>
      </c>
      <c r="F14" s="16">
        <f>'ALL VARS'!BE14</f>
        <v>0.1673979923250995</v>
      </c>
      <c r="G14" s="16">
        <f>'ALL VARS'!J14</f>
        <v>32.683000299999996</v>
      </c>
      <c r="I14" s="18" t="s">
        <v>63</v>
      </c>
      <c r="J14" s="18">
        <v>42</v>
      </c>
      <c r="K14" s="18">
        <v>2.1584272401836323E-2</v>
      </c>
      <c r="L14" s="18">
        <v>5.1391124766276956E-4</v>
      </c>
    </row>
    <row r="15" spans="1:14" ht="15.75" thickBot="1" x14ac:dyDescent="0.3">
      <c r="A15" s="20">
        <f>'ALL VARS'!A15</f>
        <v>43962</v>
      </c>
      <c r="B15" s="16">
        <f>'ALL VARS'!F15</f>
        <v>-3.3627342888643962E-2</v>
      </c>
      <c r="C15" s="16">
        <f>'ALL VARS'!G15</f>
        <v>-1.3096024559903535E-2</v>
      </c>
      <c r="D15" s="16">
        <f>'ALL VARS'!H15</f>
        <v>1.6552105554238753E-2</v>
      </c>
      <c r="E15" s="16">
        <f>'ALL VARS'!BC15</f>
        <v>1.5914589179289761E-3</v>
      </c>
      <c r="F15" s="16">
        <f>'ALL VARS'!BE15</f>
        <v>-1.9033066637854503E-2</v>
      </c>
      <c r="G15" s="16">
        <f>'ALL VARS'!J15</f>
        <v>33.2550004</v>
      </c>
      <c r="I15" s="22" t="s">
        <v>64</v>
      </c>
      <c r="J15" s="22">
        <v>47</v>
      </c>
      <c r="K15" s="22">
        <v>3.5955108320497503E-2</v>
      </c>
      <c r="L15" s="22"/>
      <c r="M15" s="22"/>
      <c r="N15" s="22"/>
    </row>
    <row r="16" spans="1:14" ht="15.75" thickBot="1" x14ac:dyDescent="0.3">
      <c r="A16" s="20">
        <f>'ALL VARS'!A16</f>
        <v>43959</v>
      </c>
      <c r="B16" s="16">
        <f>'ALL VARS'!F16</f>
        <v>-1.3096024559903535E-2</v>
      </c>
      <c r="C16" s="16">
        <f>'ALL VARS'!G16</f>
        <v>1.6552105554238753E-2</v>
      </c>
      <c r="D16" s="16">
        <f>'ALL VARS'!H16</f>
        <v>4.0456925273678482E-3</v>
      </c>
      <c r="E16" s="16">
        <f>'ALL VARS'!BC16</f>
        <v>4.2874252555701571E-3</v>
      </c>
      <c r="F16" s="16">
        <f>'ALL VARS'!BE16</f>
        <v>-4.7866996197844479E-2</v>
      </c>
      <c r="G16" s="16">
        <f>'ALL VARS'!J16</f>
        <v>34.050000400000002</v>
      </c>
    </row>
    <row r="17" spans="1:17" x14ac:dyDescent="0.25">
      <c r="A17" s="20">
        <f>'ALL VARS'!A17</f>
        <v>43958</v>
      </c>
      <c r="B17" s="16">
        <f>'ALL VARS'!F17</f>
        <v>1.6552105554238753E-2</v>
      </c>
      <c r="C17" s="16">
        <f>'ALL VARS'!G17</f>
        <v>4.0456925273678482E-3</v>
      </c>
      <c r="D17" s="16">
        <f>'ALL VARS'!H17</f>
        <v>-6.1103007844837114E-3</v>
      </c>
      <c r="E17" s="16">
        <f>'ALL VARS'!BC17</f>
        <v>-5.3106706276788151E-2</v>
      </c>
      <c r="F17" s="16">
        <f>'ALL VARS'!BE17</f>
        <v>0.54012221365110358</v>
      </c>
      <c r="G17" s="16">
        <f>'ALL VARS'!J17</f>
        <v>35.044000400000002</v>
      </c>
      <c r="I17" s="23"/>
      <c r="J17" s="23" t="s">
        <v>71</v>
      </c>
      <c r="K17" s="23" t="s">
        <v>59</v>
      </c>
      <c r="L17" s="23" t="s">
        <v>72</v>
      </c>
      <c r="M17" s="23" t="s">
        <v>73</v>
      </c>
      <c r="N17" s="23" t="s">
        <v>74</v>
      </c>
      <c r="O17" s="23" t="s">
        <v>75</v>
      </c>
      <c r="P17" s="23" t="s">
        <v>76</v>
      </c>
      <c r="Q17" s="23" t="s">
        <v>77</v>
      </c>
    </row>
    <row r="18" spans="1:17" x14ac:dyDescent="0.25">
      <c r="A18" s="20">
        <f>'ALL VARS'!A18</f>
        <v>43957</v>
      </c>
      <c r="B18" s="16">
        <f>'ALL VARS'!F18</f>
        <v>4.0456925273678482E-3</v>
      </c>
      <c r="C18" s="16">
        <f>'ALL VARS'!G18</f>
        <v>-6.1103007844837114E-3</v>
      </c>
      <c r="D18" s="16">
        <f>'ALL VARS'!H18</f>
        <v>7.1465438519870686E-3</v>
      </c>
      <c r="E18" s="16">
        <f>'ALL VARS'!BC18</f>
        <v>-2.7385825814341918E-3</v>
      </c>
      <c r="F18" s="16">
        <f>'ALL VARS'!BE18</f>
        <v>2.5700251551857293E-2</v>
      </c>
      <c r="G18" s="16">
        <f>'ALL VARS'!J18</f>
        <v>35.830000499999997</v>
      </c>
      <c r="I18" s="18" t="s">
        <v>65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1:17" x14ac:dyDescent="0.25">
      <c r="A19" s="20">
        <f>'ALL VARS'!A19</f>
        <v>43956</v>
      </c>
      <c r="B19" s="16">
        <f>'ALL VARS'!F19</f>
        <v>-6.1103007844837114E-3</v>
      </c>
      <c r="C19" s="16">
        <f>'ALL VARS'!G19</f>
        <v>7.1465438519870686E-3</v>
      </c>
      <c r="D19" s="16">
        <f>'ALL VARS'!H19</f>
        <v>-1.5902164569821024E-2</v>
      </c>
      <c r="E19" s="16">
        <f>'ALL VARS'!BC19</f>
        <v>2.0555600679378824E-2</v>
      </c>
      <c r="F19" s="16">
        <f>'ALL VARS'!BE19</f>
        <v>-0.16864860284062841</v>
      </c>
      <c r="G19" s="16">
        <f>'ALL VARS'!J19</f>
        <v>37.010000400000003</v>
      </c>
      <c r="I19" s="18" t="s">
        <v>53</v>
      </c>
      <c r="J19" s="18">
        <v>0.3091242374123303</v>
      </c>
      <c r="K19" s="18">
        <v>0.11019693967888597</v>
      </c>
      <c r="L19" s="18">
        <v>2.8051980237665286</v>
      </c>
      <c r="M19" s="18">
        <v>7.5861779404891479E-3</v>
      </c>
      <c r="N19" s="18">
        <v>8.6737809739782512E-2</v>
      </c>
      <c r="O19" s="18">
        <v>0.5315106650848781</v>
      </c>
      <c r="P19" s="18">
        <v>8.6737809739782512E-2</v>
      </c>
      <c r="Q19" s="18">
        <v>0.5315106650848781</v>
      </c>
    </row>
    <row r="20" spans="1:17" x14ac:dyDescent="0.25">
      <c r="A20" s="20">
        <f>'ALL VARS'!A20</f>
        <v>43955</v>
      </c>
      <c r="B20" s="16">
        <f>'ALL VARS'!F20</f>
        <v>7.1465438519870686E-3</v>
      </c>
      <c r="C20" s="16">
        <f>'ALL VARS'!G20</f>
        <v>-1.5902164569821024E-2</v>
      </c>
      <c r="D20" s="16">
        <f>'ALL VARS'!H20</f>
        <v>-2.8248158554180263E-2</v>
      </c>
      <c r="E20" s="16">
        <f>'ALL VARS'!BC20</f>
        <v>-3.4537293494067284E-3</v>
      </c>
      <c r="F20" s="16">
        <f>'ALL VARS'!BE20</f>
        <v>2.5621520583746588E-2</v>
      </c>
      <c r="G20" s="16">
        <f>'ALL VARS'!J20</f>
        <v>37.796000499999998</v>
      </c>
      <c r="I20" s="18" t="s">
        <v>54</v>
      </c>
      <c r="J20" s="18">
        <v>-0.20599199287353431</v>
      </c>
      <c r="K20" s="18">
        <v>8.9488952798941465E-2</v>
      </c>
      <c r="L20" s="18">
        <v>-2.3018706380031628</v>
      </c>
      <c r="M20" s="18">
        <v>2.6369696330893769E-2</v>
      </c>
      <c r="N20" s="18">
        <v>-0.38658801112146168</v>
      </c>
      <c r="O20" s="18">
        <v>-2.5395974625606971E-2</v>
      </c>
      <c r="P20" s="18">
        <v>-0.38658801112146168</v>
      </c>
      <c r="Q20" s="18">
        <v>-2.5395974625606971E-2</v>
      </c>
    </row>
    <row r="21" spans="1:17" x14ac:dyDescent="0.25">
      <c r="A21" s="20">
        <f>'ALL VARS'!A21</f>
        <v>43952</v>
      </c>
      <c r="B21" s="16">
        <f>'ALL VARS'!F21</f>
        <v>-1.5902164569821024E-2</v>
      </c>
      <c r="C21" s="16">
        <f>'ALL VARS'!G21</f>
        <v>-2.8248158554180263E-2</v>
      </c>
      <c r="D21" s="16">
        <f>'ALL VARS'!H21</f>
        <v>-1.9361084220716317E-2</v>
      </c>
      <c r="E21" s="16">
        <f>'ALL VARS'!BC21</f>
        <v>-2.0513555669253079E-2</v>
      </c>
      <c r="F21" s="16">
        <f>'ALL VARS'!BE21</f>
        <v>0.15021067988717129</v>
      </c>
      <c r="G21" s="16">
        <f>'ALL VARS'!J21</f>
        <v>37.892000799999991</v>
      </c>
      <c r="I21" s="18" t="s">
        <v>29</v>
      </c>
      <c r="J21" s="18">
        <v>-0.50583891450994023</v>
      </c>
      <c r="K21" s="18">
        <v>0.16929763967604702</v>
      </c>
      <c r="L21" s="18">
        <v>-2.987867494655382</v>
      </c>
      <c r="M21" s="18">
        <v>4.6765886058560673E-3</v>
      </c>
      <c r="N21" s="18">
        <v>-0.847495383470521</v>
      </c>
      <c r="O21" s="18">
        <v>-0.16418244554935951</v>
      </c>
      <c r="P21" s="18">
        <v>-0.847495383470521</v>
      </c>
      <c r="Q21" s="18">
        <v>-0.16418244554935951</v>
      </c>
    </row>
    <row r="22" spans="1:17" x14ac:dyDescent="0.25">
      <c r="A22" s="20">
        <f>'ALL VARS'!A22</f>
        <v>43951</v>
      </c>
      <c r="B22" s="16">
        <f>'ALL VARS'!F22</f>
        <v>-2.8248158554180263E-2</v>
      </c>
      <c r="C22" s="16">
        <f>'ALL VARS'!G22</f>
        <v>-1.9361084220716317E-2</v>
      </c>
      <c r="D22" s="16">
        <f>'ALL VARS'!H22</f>
        <v>1.1905658955617392E-2</v>
      </c>
      <c r="E22" s="16">
        <f>'ALL VARS'!BC22</f>
        <v>-4.2614824507283683E-3</v>
      </c>
      <c r="F22" s="16">
        <f>'ALL VARS'!BE22</f>
        <v>2.8664897134938864E-2</v>
      </c>
      <c r="G22" s="16">
        <f>'ALL VARS'!J22</f>
        <v>38.488000700000001</v>
      </c>
      <c r="I22" s="18" t="s">
        <v>97</v>
      </c>
      <c r="J22" s="18">
        <v>-1.1548152891774827E-3</v>
      </c>
      <c r="K22" s="18">
        <v>1.304137124561539E-2</v>
      </c>
      <c r="L22" s="18">
        <v>-8.8550143035437359E-2</v>
      </c>
      <c r="M22" s="18">
        <v>0.92986032378571792</v>
      </c>
      <c r="N22" s="18">
        <v>-2.7473367979616511E-2</v>
      </c>
      <c r="O22" s="18">
        <v>2.5163737401261543E-2</v>
      </c>
      <c r="P22" s="18">
        <v>-2.7473367979616511E-2</v>
      </c>
      <c r="Q22" s="18">
        <v>2.5163737401261543E-2</v>
      </c>
    </row>
    <row r="23" spans="1:17" ht="15.75" thickBot="1" x14ac:dyDescent="0.3">
      <c r="A23" s="20">
        <f>'ALL VARS'!A23</f>
        <v>43950</v>
      </c>
      <c r="B23" s="16">
        <f>'ALL VARS'!F23</f>
        <v>-1.9361084220716317E-2</v>
      </c>
      <c r="C23" s="16">
        <f>'ALL VARS'!G23</f>
        <v>1.1905658955617392E-2</v>
      </c>
      <c r="D23" s="16">
        <f>'ALL VARS'!H23</f>
        <v>7.133641951885844E-3</v>
      </c>
      <c r="E23" s="16">
        <f>'ALL VARS'!BC23</f>
        <v>8.9372199608673595E-5</v>
      </c>
      <c r="F23" s="16">
        <f>'ALL VARS'!BE23</f>
        <v>-5.1527615988740849E-4</v>
      </c>
      <c r="G23" s="16">
        <f>'ALL VARS'!J23</f>
        <v>39.449000699999999</v>
      </c>
      <c r="I23" s="22" t="s">
        <v>3</v>
      </c>
      <c r="J23" s="22">
        <v>-1.4082458834930338E-6</v>
      </c>
      <c r="K23" s="22">
        <v>7.9504719634464652E-5</v>
      </c>
      <c r="L23" s="22">
        <v>-1.7712733155561881E-2</v>
      </c>
      <c r="M23" s="22">
        <v>0.98595190129984944</v>
      </c>
      <c r="N23" s="22">
        <v>-1.6185526586551662E-4</v>
      </c>
      <c r="O23" s="22">
        <v>1.5903877409853055E-4</v>
      </c>
      <c r="P23" s="22">
        <v>-1.6185526586551662E-4</v>
      </c>
      <c r="Q23" s="22">
        <v>1.5903877409853055E-4</v>
      </c>
    </row>
    <row r="24" spans="1:17" x14ac:dyDescent="0.25">
      <c r="A24" s="20">
        <f>'ALL VARS'!A24</f>
        <v>43949</v>
      </c>
      <c r="B24" s="16">
        <f>'ALL VARS'!F24</f>
        <v>1.1905658955617392E-2</v>
      </c>
      <c r="C24" s="16">
        <f>'ALL VARS'!G24</f>
        <v>7.133641951885844E-3</v>
      </c>
      <c r="D24" s="16">
        <f>'ALL VARS'!H24</f>
        <v>4.9082440985629604E-2</v>
      </c>
      <c r="E24" s="16">
        <f>'ALL VARS'!BC24</f>
        <v>-1.545793392282597E-2</v>
      </c>
      <c r="F24" s="16">
        <f>'ALL VARS'!BE24</f>
        <v>8.2645975327780286E-2</v>
      </c>
      <c r="G24" s="16">
        <f>'ALL VARS'!J24</f>
        <v>39.868000500000008</v>
      </c>
    </row>
    <row r="25" spans="1:17" x14ac:dyDescent="0.25">
      <c r="A25" s="20">
        <f>'ALL VARS'!A25</f>
        <v>43948</v>
      </c>
      <c r="B25" s="16">
        <f>'ALL VARS'!F25</f>
        <v>7.133641951885844E-3</v>
      </c>
      <c r="C25" s="16">
        <f>'ALL VARS'!G25</f>
        <v>4.9082440985629604E-2</v>
      </c>
      <c r="D25" s="16">
        <f>'ALL VARS'!H25</f>
        <v>1.1719693918646783E-2</v>
      </c>
      <c r="E25" s="16">
        <f>'ALL VARS'!BC25</f>
        <v>-6.3264195949767855E-3</v>
      </c>
      <c r="F25" s="16">
        <f>'ALL VARS'!BE25</f>
        <v>2.8839039484985778E-2</v>
      </c>
      <c r="G25" s="16">
        <f>'ALL VARS'!J25</f>
        <v>40.656000200000001</v>
      </c>
    </row>
    <row r="26" spans="1:17" x14ac:dyDescent="0.25">
      <c r="A26" s="20">
        <f>'ALL VARS'!A26</f>
        <v>43945</v>
      </c>
      <c r="B26" s="16">
        <f>'ALL VARS'!F26</f>
        <v>4.9082440985629604E-2</v>
      </c>
      <c r="C26" s="16">
        <f>'ALL VARS'!G26</f>
        <v>1.1719693918646783E-2</v>
      </c>
      <c r="D26" s="16">
        <f>'ALL VARS'!H26</f>
        <v>-5.4075705988383509E-3</v>
      </c>
      <c r="E26" s="16">
        <f>'ALL VARS'!BC26</f>
        <v>-4.5491056290673619E-3</v>
      </c>
      <c r="F26" s="16">
        <f>'ALL VARS'!BE26</f>
        <v>1.8125952384816513E-2</v>
      </c>
      <c r="G26" s="16">
        <f>'ALL VARS'!J26</f>
        <v>41.230000000000004</v>
      </c>
    </row>
    <row r="27" spans="1:17" x14ac:dyDescent="0.25">
      <c r="A27" s="20">
        <f>'ALL VARS'!A27</f>
        <v>43944</v>
      </c>
      <c r="B27" s="16">
        <f>'ALL VARS'!F27</f>
        <v>1.1719693918646783E-2</v>
      </c>
      <c r="C27" s="16">
        <f>'ALL VARS'!G27</f>
        <v>-5.4075705988383509E-3</v>
      </c>
      <c r="D27" s="16">
        <f>'ALL VARS'!H27</f>
        <v>-3.4329966867589529E-3</v>
      </c>
      <c r="E27" s="16">
        <f>'ALL VARS'!BC27</f>
        <v>-8.140650392919108E-3</v>
      </c>
      <c r="F27" s="16">
        <f>'ALL VARS'!BE27</f>
        <v>3.08327891854842E-2</v>
      </c>
      <c r="G27" s="16">
        <f>'ALL VARS'!J27</f>
        <v>41.42699970000001</v>
      </c>
    </row>
    <row r="28" spans="1:17" x14ac:dyDescent="0.25">
      <c r="A28" s="20">
        <f>'ALL VARS'!A28</f>
        <v>43943</v>
      </c>
      <c r="B28" s="16">
        <f>'ALL VARS'!F28</f>
        <v>-5.4075705988383509E-3</v>
      </c>
      <c r="C28" s="16">
        <f>'ALL VARS'!G28</f>
        <v>-3.4329966867589529E-3</v>
      </c>
      <c r="D28" s="16">
        <f>'ALL VARS'!H28</f>
        <v>-4.7997263813939331E-2</v>
      </c>
      <c r="E28" s="16">
        <f>'ALL VARS'!BC28</f>
        <v>4.9697058157848186E-3</v>
      </c>
      <c r="F28" s="16">
        <f>'ALL VARS'!BE28</f>
        <v>-1.6477105423278193E-2</v>
      </c>
      <c r="G28" s="16">
        <f>'ALL VARS'!J28</f>
        <v>41.898999799999999</v>
      </c>
    </row>
    <row r="29" spans="1:17" x14ac:dyDescent="0.25">
      <c r="A29" s="20">
        <f>'ALL VARS'!A29</f>
        <v>43942</v>
      </c>
      <c r="B29" s="16">
        <f>'ALL VARS'!F29</f>
        <v>-3.4329966867589529E-3</v>
      </c>
      <c r="C29" s="16">
        <f>'ALL VARS'!G29</f>
        <v>-4.7997263813939331E-2</v>
      </c>
      <c r="D29" s="16">
        <f>'ALL VARS'!H29</f>
        <v>3.69988938475024E-3</v>
      </c>
      <c r="E29" s="16">
        <f>'ALL VARS'!BC29</f>
        <v>1.3251235387729895E-2</v>
      </c>
      <c r="F29" s="16">
        <f>'ALL VARS'!BE29</f>
        <v>-4.4159861376710262E-2</v>
      </c>
      <c r="G29" s="16">
        <f>'ALL VARS'!J29</f>
        <v>41.881999999999998</v>
      </c>
    </row>
    <row r="30" spans="1:17" x14ac:dyDescent="0.25">
      <c r="A30" s="20">
        <f>'ALL VARS'!A30</f>
        <v>43941</v>
      </c>
      <c r="B30" s="16">
        <f>'ALL VARS'!F30</f>
        <v>-4.7997263813939331E-2</v>
      </c>
      <c r="C30" s="16">
        <f>'ALL VARS'!G30</f>
        <v>3.69988938475024E-3</v>
      </c>
      <c r="D30" s="16">
        <f>'ALL VARS'!H30</f>
        <v>2.7996706269850662E-2</v>
      </c>
      <c r="E30" s="16">
        <f>'ALL VARS'!BC30</f>
        <v>6.160744642198155E-2</v>
      </c>
      <c r="F30" s="16">
        <f>'ALL VARS'!BE30</f>
        <v>-0.18700997742784095</v>
      </c>
      <c r="G30" s="16">
        <f>'ALL VARS'!J30</f>
        <v>42.178999699999999</v>
      </c>
    </row>
    <row r="31" spans="1:17" x14ac:dyDescent="0.25">
      <c r="A31" s="20">
        <f>'ALL VARS'!A31</f>
        <v>43938</v>
      </c>
      <c r="B31" s="16">
        <f>'ALL VARS'!F31</f>
        <v>3.69988938475024E-3</v>
      </c>
      <c r="C31" s="16">
        <f>'ALL VARS'!G31</f>
        <v>2.7996706269850662E-2</v>
      </c>
      <c r="D31" s="16">
        <f>'ALL VARS'!H31</f>
        <v>-9.9382740013198266E-3</v>
      </c>
      <c r="E31" s="16">
        <f>'ALL VARS'!BC31</f>
        <v>-2.5340185514325002E-3</v>
      </c>
      <c r="F31" s="16">
        <f>'ALL VARS'!BE31</f>
        <v>4.4586297499868239E-3</v>
      </c>
      <c r="G31" s="16">
        <f>'ALL VARS'!J31</f>
        <v>43.4549995</v>
      </c>
    </row>
    <row r="32" spans="1:17" x14ac:dyDescent="0.25">
      <c r="A32" s="20">
        <f>'ALL VARS'!A32</f>
        <v>43937</v>
      </c>
      <c r="B32" s="16">
        <f>'ALL VARS'!F32</f>
        <v>2.7996706269850662E-2</v>
      </c>
      <c r="C32" s="16">
        <f>'ALL VARS'!G32</f>
        <v>-9.9382740013198266E-3</v>
      </c>
      <c r="D32" s="16">
        <f>'ALL VARS'!H32</f>
        <v>-2.5756429652042372E-2</v>
      </c>
      <c r="E32" s="16">
        <f>'ALL VARS'!BC32</f>
        <v>-4.6637090889452179E-4</v>
      </c>
      <c r="F32" s="16">
        <f>'ALL VARS'!BE32</f>
        <v>3.0085360692877741E-5</v>
      </c>
      <c r="G32" s="16">
        <f>'ALL VARS'!J32</f>
        <v>45.149999499999993</v>
      </c>
    </row>
    <row r="33" spans="1:7" x14ac:dyDescent="0.25">
      <c r="A33" s="20">
        <f>'ALL VARS'!A33</f>
        <v>43936</v>
      </c>
      <c r="B33" s="16">
        <f>'ALL VARS'!F33</f>
        <v>-9.9382740013198266E-3</v>
      </c>
      <c r="C33" s="16">
        <f>'ALL VARS'!G33</f>
        <v>-2.5756429652042372E-2</v>
      </c>
      <c r="D33" s="16">
        <f>'ALL VARS'!H33</f>
        <v>1.4270369802056046E-2</v>
      </c>
      <c r="E33" s="16">
        <f>'ALL VARS'!BC33</f>
        <v>-4.892276269837903E-3</v>
      </c>
      <c r="F33" s="16">
        <f>'ALL VARS'!BE33</f>
        <v>-5.8975929872292897E-3</v>
      </c>
      <c r="G33" s="16">
        <f>'ALL VARS'!J33</f>
        <v>46.419999600000004</v>
      </c>
    </row>
    <row r="34" spans="1:7" x14ac:dyDescent="0.25">
      <c r="A34" s="20">
        <f>'ALL VARS'!A34</f>
        <v>43935</v>
      </c>
      <c r="B34" s="16">
        <f>'ALL VARS'!F34</f>
        <v>-2.5756429652042372E-2</v>
      </c>
      <c r="C34" s="16">
        <f>'ALL VARS'!G34</f>
        <v>1.4270369802056046E-2</v>
      </c>
      <c r="D34" s="16">
        <f>'ALL VARS'!H34</f>
        <v>-3.7121855723414511E-2</v>
      </c>
      <c r="E34" s="16">
        <f>'ALL VARS'!BC34</f>
        <v>1.6972422084757979E-3</v>
      </c>
      <c r="F34" s="16">
        <f>'ALL VARS'!BE34</f>
        <v>5.3250821300920518E-3</v>
      </c>
      <c r="G34" s="16">
        <f>'ALL VARS'!J34</f>
        <v>48.352000000000004</v>
      </c>
    </row>
    <row r="35" spans="1:7" x14ac:dyDescent="0.25">
      <c r="A35" s="20">
        <f>'ALL VARS'!A35</f>
        <v>43934</v>
      </c>
      <c r="B35" s="16">
        <f>'ALL VARS'!F35</f>
        <v>1.4270369802056046E-2</v>
      </c>
      <c r="C35" s="16">
        <f>'ALL VARS'!G35</f>
        <v>-3.7121855723414511E-2</v>
      </c>
      <c r="D35" s="16">
        <f>'ALL VARS'!H35</f>
        <v>2.3553875236294965E-2</v>
      </c>
      <c r="E35" s="16">
        <f>'ALL VARS'!BC35</f>
        <v>-6.1823648810083627E-3</v>
      </c>
      <c r="F35" s="16">
        <f>'ALL VARS'!BE35</f>
        <v>-3.4463539155836782E-2</v>
      </c>
      <c r="G35" s="16">
        <f>'ALL VARS'!J35</f>
        <v>50.789000299999998</v>
      </c>
    </row>
    <row r="36" spans="1:7" x14ac:dyDescent="0.25">
      <c r="A36" s="20">
        <f>'ALL VARS'!A36</f>
        <v>43930</v>
      </c>
      <c r="B36" s="16">
        <f>'ALL VARS'!F36</f>
        <v>-3.7121855723414511E-2</v>
      </c>
      <c r="C36" s="16">
        <f>'ALL VARS'!G36</f>
        <v>2.3553875236294965E-2</v>
      </c>
      <c r="D36" s="16">
        <f>'ALL VARS'!H36</f>
        <v>6.6704307146313882E-2</v>
      </c>
      <c r="E36" s="16">
        <f>'ALL VARS'!BC36</f>
        <v>1.3995297573664355E-3</v>
      </c>
      <c r="F36" s="16">
        <f>'ALL VARS'!BE36</f>
        <v>1.0506957737783084E-2</v>
      </c>
      <c r="G36" s="16">
        <f>'ALL VARS'!J36</f>
        <v>52.722000499999993</v>
      </c>
    </row>
    <row r="37" spans="1:7" x14ac:dyDescent="0.25">
      <c r="A37" s="20">
        <f>'ALL VARS'!A37</f>
        <v>43929</v>
      </c>
      <c r="B37" s="16">
        <f>'ALL VARS'!F37</f>
        <v>2.3553875236294965E-2</v>
      </c>
      <c r="C37" s="16">
        <f>'ALL VARS'!G37</f>
        <v>6.6704307146313882E-2</v>
      </c>
      <c r="D37" s="16">
        <f>'ALL VARS'!H37</f>
        <v>3.1018711018711051E-2</v>
      </c>
      <c r="E37" s="16">
        <f>'ALL VARS'!BC37</f>
        <v>-1.2298260361468369E-3</v>
      </c>
      <c r="F37" s="16">
        <f>'ALL VARS'!BE37</f>
        <v>-1.1766350499000692E-2</v>
      </c>
      <c r="G37" s="16">
        <f>'ALL VARS'!J37</f>
        <v>54.782000800000006</v>
      </c>
    </row>
    <row r="38" spans="1:7" x14ac:dyDescent="0.25">
      <c r="A38" s="20">
        <f>'ALL VARS'!A38</f>
        <v>43928</v>
      </c>
      <c r="B38" s="16">
        <f>'ALL VARS'!F38</f>
        <v>6.6704307146313882E-2</v>
      </c>
      <c r="C38" s="16">
        <f>'ALL VARS'!G38</f>
        <v>3.1018711018711051E-2</v>
      </c>
      <c r="D38" s="16">
        <f>'ALL VARS'!H38</f>
        <v>4.1215689670101356E-2</v>
      </c>
      <c r="E38" s="16">
        <f>'ALL VARS'!BC38</f>
        <v>-7.6309448321582957E-2</v>
      </c>
      <c r="F38" s="16">
        <f>'ALL VARS'!BE38</f>
        <v>-0.84432524125283592</v>
      </c>
      <c r="G38" s="16">
        <f>'ALL VARS'!J38</f>
        <v>56.279000499999995</v>
      </c>
    </row>
    <row r="39" spans="1:7" x14ac:dyDescent="0.25">
      <c r="A39" s="20">
        <f>'ALL VARS'!A39</f>
        <v>43927</v>
      </c>
      <c r="B39" s="16">
        <f>'ALL VARS'!F39</f>
        <v>3.1018711018711051E-2</v>
      </c>
      <c r="C39" s="16">
        <f>'ALL VARS'!G39</f>
        <v>4.1215689670101356E-2</v>
      </c>
      <c r="D39" s="16">
        <f>'ALL VARS'!H39</f>
        <v>-1.2990342705751732E-2</v>
      </c>
      <c r="E39" s="16">
        <f>'ALL VARS'!BC39</f>
        <v>-6.0566925067360123E-3</v>
      </c>
      <c r="F39" s="16">
        <f>'ALL VARS'!BE39</f>
        <v>-7.6916913711063128E-2</v>
      </c>
      <c r="G39" s="16">
        <f>'ALL VARS'!J39</f>
        <v>57.914000299999998</v>
      </c>
    </row>
    <row r="40" spans="1:7" x14ac:dyDescent="0.25">
      <c r="A40" s="20">
        <f>'ALL VARS'!A40</f>
        <v>43924</v>
      </c>
      <c r="B40" s="16">
        <f>'ALL VARS'!F40</f>
        <v>4.1215689670101356E-2</v>
      </c>
      <c r="C40" s="16">
        <f>'ALL VARS'!G40</f>
        <v>-1.2990342705751732E-2</v>
      </c>
      <c r="D40" s="16">
        <f>'ALL VARS'!H40</f>
        <v>1.0885529157667431E-2</v>
      </c>
      <c r="E40" s="16">
        <f>'ALL VARS'!BC40</f>
        <v>-0.10159212809198306</v>
      </c>
      <c r="F40" s="16">
        <f>'ALL VARS'!BE40</f>
        <v>-1.4856316201941739</v>
      </c>
      <c r="G40" s="16">
        <f>'ALL VARS'!J40</f>
        <v>59.8380005</v>
      </c>
    </row>
    <row r="41" spans="1:7" x14ac:dyDescent="0.25">
      <c r="A41" s="20">
        <f>'ALL VARS'!A41</f>
        <v>43923</v>
      </c>
      <c r="B41" s="16">
        <f>'ALL VARS'!F41</f>
        <v>-1.2990342705751732E-2</v>
      </c>
      <c r="C41" s="16">
        <f>'ALL VARS'!G41</f>
        <v>1.0885529157667431E-2</v>
      </c>
      <c r="D41" s="16">
        <f>'ALL VARS'!H41</f>
        <v>-5.4986324856104822E-2</v>
      </c>
      <c r="E41" s="16">
        <f>'ALL VARS'!BC41</f>
        <v>-5.0730612500434714E-3</v>
      </c>
      <c r="F41" s="16">
        <f>'ALL VARS'!BE41</f>
        <v>-8.4884954174131055E-2</v>
      </c>
      <c r="G41" s="16">
        <f>'ALL VARS'!J41</f>
        <v>61.947000500000001</v>
      </c>
    </row>
    <row r="42" spans="1:7" x14ac:dyDescent="0.25">
      <c r="A42" s="20">
        <f>'ALL VARS'!A42</f>
        <v>43922</v>
      </c>
      <c r="B42" s="16">
        <f>'ALL VARS'!F42</f>
        <v>1.0885529157667431E-2</v>
      </c>
      <c r="C42" s="16">
        <f>'ALL VARS'!G42</f>
        <v>-5.4986324856104822E-2</v>
      </c>
      <c r="D42" s="16">
        <f>'ALL VARS'!H42</f>
        <v>1.5882889607696828E-2</v>
      </c>
      <c r="E42" s="16">
        <f>'ALL VARS'!BC42</f>
        <v>1.3260906871456596E-2</v>
      </c>
      <c r="F42" s="16">
        <f>'ALL VARS'!BE42</f>
        <v>0.24760090444221311</v>
      </c>
      <c r="G42" s="16">
        <f>'ALL VARS'!J42</f>
        <v>63.886000100000004</v>
      </c>
    </row>
    <row r="43" spans="1:7" x14ac:dyDescent="0.25">
      <c r="A43" s="20">
        <f>'ALL VARS'!A43</f>
        <v>43921</v>
      </c>
      <c r="B43" s="16">
        <f>'ALL VARS'!F43</f>
        <v>-5.4986324856104822E-2</v>
      </c>
      <c r="C43" s="16">
        <f>'ALL VARS'!G43</f>
        <v>1.5882889607696828E-2</v>
      </c>
      <c r="D43" s="16">
        <f>'ALL VARS'!H43</f>
        <v>-1.1356647943913781E-2</v>
      </c>
      <c r="E43" s="16">
        <f>'ALL VARS'!BC43</f>
        <v>-6.0880198536122808E-3</v>
      </c>
      <c r="F43" s="16">
        <f>'ALL VARS'!BE43</f>
        <v>-0.12729131066683588</v>
      </c>
      <c r="G43" s="16">
        <f>'ALL VARS'!J43</f>
        <v>66.123000399999995</v>
      </c>
    </row>
    <row r="44" spans="1:7" x14ac:dyDescent="0.25">
      <c r="A44" s="20">
        <f>'ALL VARS'!A44</f>
        <v>43920</v>
      </c>
      <c r="B44" s="16">
        <f>'ALL VARS'!F44</f>
        <v>1.5882889607696828E-2</v>
      </c>
      <c r="C44" s="16">
        <f>'ALL VARS'!G44</f>
        <v>-1.1356647943913781E-2</v>
      </c>
      <c r="D44" s="16">
        <f>'ALL VARS'!H44</f>
        <v>1.9306605323693676E-3</v>
      </c>
      <c r="E44" s="16">
        <f>'ALL VARS'!BC44</f>
        <v>1.218634387890933E-3</v>
      </c>
      <c r="F44" s="16">
        <f>'ALL VARS'!BE44</f>
        <v>2.8600729269246915E-2</v>
      </c>
      <c r="G44" s="16">
        <f>'ALL VARS'!J44</f>
        <v>68.684000400000002</v>
      </c>
    </row>
    <row r="45" spans="1:7" x14ac:dyDescent="0.25">
      <c r="A45" s="20">
        <f>'ALL VARS'!A45</f>
        <v>43917</v>
      </c>
      <c r="B45" s="16">
        <f>'ALL VARS'!F45</f>
        <v>-1.1356647943913781E-2</v>
      </c>
      <c r="C45" s="16">
        <f>'ALL VARS'!G45</f>
        <v>1.9306605323693676E-3</v>
      </c>
      <c r="D45" s="16">
        <f>'ALL VARS'!H45</f>
        <v>1.6238781047797898E-2</v>
      </c>
      <c r="E45" s="16">
        <f>'ALL VARS'!BC45</f>
        <v>-1.5103702282393836E-2</v>
      </c>
      <c r="F45" s="16">
        <f>'ALL VARS'!BE45</f>
        <v>-0.34283125766346589</v>
      </c>
      <c r="G45" s="16">
        <f>'ALL VARS'!J45</f>
        <v>67.91300050000001</v>
      </c>
    </row>
    <row r="46" spans="1:7" x14ac:dyDescent="0.25">
      <c r="A46" s="20">
        <f>'ALL VARS'!A46</f>
        <v>43916</v>
      </c>
      <c r="B46" s="16">
        <f>'ALL VARS'!F46</f>
        <v>1.9306605323693676E-3</v>
      </c>
      <c r="C46" s="16">
        <f>'ALL VARS'!G46</f>
        <v>1.6238781047797898E-2</v>
      </c>
      <c r="D46" s="16">
        <f>'ALL VARS'!H46</f>
        <v>9.9004450153690929E-2</v>
      </c>
      <c r="E46" s="16">
        <f>'ALL VARS'!BC46</f>
        <v>-4.4819921989731761E-2</v>
      </c>
      <c r="F46" s="16">
        <f>'ALL VARS'!BE46</f>
        <v>-1.0821990492866735</v>
      </c>
      <c r="G46" s="16">
        <f>'ALL VARS'!J46</f>
        <v>69.360000600000006</v>
      </c>
    </row>
    <row r="47" spans="1:7" x14ac:dyDescent="0.25">
      <c r="A47" s="20">
        <f>'ALL VARS'!A47</f>
        <v>43915</v>
      </c>
      <c r="B47" s="16">
        <f>'ALL VARS'!F47</f>
        <v>1.6238781047797898E-2</v>
      </c>
      <c r="C47" s="16">
        <f>'ALL VARS'!G47</f>
        <v>9.9004450153690929E-2</v>
      </c>
      <c r="D47" s="16">
        <f>'ALL VARS'!H47</f>
        <v>9.9747729566094914E-2</v>
      </c>
      <c r="E47" s="16">
        <f>'ALL VARS'!BC47</f>
        <v>7.074244223783892E-3</v>
      </c>
      <c r="F47" s="16">
        <f>'ALL VARS'!BE47</f>
        <v>0.1637014896449567</v>
      </c>
      <c r="G47" s="16">
        <f>'ALL VARS'!J47</f>
        <v>68.355000700000005</v>
      </c>
    </row>
    <row r="48" spans="1:7" x14ac:dyDescent="0.25">
      <c r="A48" s="20">
        <f>'ALL VARS'!A48</f>
        <v>43914</v>
      </c>
      <c r="B48" s="16">
        <f>'ALL VARS'!F48</f>
        <v>9.9004450153690929E-2</v>
      </c>
      <c r="C48" s="16">
        <f>'ALL VARS'!G48</f>
        <v>9.9747729566094914E-2</v>
      </c>
      <c r="D48" s="16">
        <f>'ALL VARS'!H48</f>
        <v>-0.14521067839737792</v>
      </c>
      <c r="E48" s="16">
        <f>'ALL VARS'!BC48</f>
        <v>-1.1790587580581871E-2</v>
      </c>
      <c r="F48" s="16">
        <f>'ALL VARS'!BE48</f>
        <v>-0.25589692070685871</v>
      </c>
      <c r="G48" s="16">
        <f>'ALL VARS'!J48</f>
        <v>66.918000799999987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EF77-905D-4EE1-ABFB-4889D88A8BF2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7" hidden="1" customWidth="1"/>
    <col min="6" max="6" width="0" style="1" hidden="1" customWidth="1"/>
    <col min="7" max="10" width="15.140625" style="7" hidden="1" customWidth="1"/>
    <col min="11" max="26" width="0" style="1" hidden="1" customWidth="1"/>
    <col min="27" max="16384" width="11.42578125" style="1"/>
  </cols>
  <sheetData>
    <row r="1" spans="1:10" x14ac:dyDescent="0.25">
      <c r="A1" s="24" t="s">
        <v>48</v>
      </c>
      <c r="B1" s="24"/>
      <c r="C1" s="24"/>
      <c r="D1" s="24"/>
      <c r="E1" s="24"/>
    </row>
    <row r="2" spans="1:10" x14ac:dyDescent="0.25">
      <c r="A2" s="2"/>
      <c r="B2" s="2"/>
      <c r="C2" s="2"/>
      <c r="D2" s="2"/>
    </row>
    <row r="3" spans="1:10" x14ac:dyDescent="0.25">
      <c r="A3" s="25" t="s">
        <v>98</v>
      </c>
      <c r="B3" s="25"/>
      <c r="C3" s="25"/>
      <c r="D3" s="25"/>
      <c r="E3" s="25"/>
      <c r="G3" s="8"/>
    </row>
    <row r="4" spans="1:10" x14ac:dyDescent="0.25">
      <c r="A4" s="2"/>
      <c r="B4" s="3" t="s">
        <v>34</v>
      </c>
      <c r="C4" s="3" t="s">
        <v>35</v>
      </c>
      <c r="D4" s="3" t="s">
        <v>36</v>
      </c>
      <c r="E4" s="7" t="s">
        <v>49</v>
      </c>
      <c r="G4" s="7" t="s">
        <v>99</v>
      </c>
      <c r="H4" s="7" t="s">
        <v>100</v>
      </c>
      <c r="I4" s="7" t="s">
        <v>101</v>
      </c>
      <c r="J4" s="7" t="s">
        <v>102</v>
      </c>
    </row>
    <row r="5" spans="1:10" x14ac:dyDescent="0.25">
      <c r="A5" s="1" t="s">
        <v>37</v>
      </c>
      <c r="B5" s="7" t="str">
        <f>IF('Eq4 avec Sent_t__+__1'!M21&lt;0.1,'Eq4 avec Sent_t__+__1'!J21,"-")</f>
        <v>-</v>
      </c>
      <c r="C5" s="7" t="str">
        <f>IF('Eq4 avec Sent_t__+__1'!M22&lt;0.1,'Eq4 avec Sent_t__+__1'!J22,"-")</f>
        <v>-</v>
      </c>
      <c r="D5" s="7">
        <f>IF('Eq7 avec Sent_t'!M21&lt;0.1,'Eq7 avec Sent_t'!J21,"-")</f>
        <v>-3.4827270473344135E-2</v>
      </c>
      <c r="E5" s="7" t="str">
        <f>IF('Eq7 avec Sent_t'!M22&lt;0.1,'Eq7 avec Sent_t'!J22,"-")</f>
        <v>-</v>
      </c>
      <c r="G5" s="7" t="str">
        <f>IF(OR(B5="-",D5="-"),"Yes","No")</f>
        <v>Yes</v>
      </c>
      <c r="H5" s="7" t="str">
        <f>IF(G5="Yes","No",IF(AND(B5&gt;0,D5&lt;0),"Yes","No"))</f>
        <v>No</v>
      </c>
      <c r="I5" s="7" t="str">
        <f>IF(G5="Yes","No",IF(AND(B5&lt;0,D5&gt;0),"Yes","No"))</f>
        <v>No</v>
      </c>
      <c r="J5" s="7" t="str">
        <f>IF(OR(H5="Yes",I5="Yes"),"Yes","No")</f>
        <v>No</v>
      </c>
    </row>
    <row r="6" spans="1:10" x14ac:dyDescent="0.25">
      <c r="A6" s="1" t="s">
        <v>38</v>
      </c>
      <c r="B6" s="7" t="str">
        <f>IF('Eq4 avec Sent__t_+_1_k, k=0'!M21&lt;0.1,'Eq4 avec Sent__t_+_1_k, k=0'!J21,"-")</f>
        <v>-</v>
      </c>
      <c r="C6" s="7" t="str">
        <f>IF('Eq4 avec Sent__t_+_1_k, k=0'!M22&lt;0.1,'Eq4 avec Sent__t_+_1_k, k=0'!J22,"-")</f>
        <v>-</v>
      </c>
      <c r="D6" s="7">
        <f>IF('Eq7 avec Sent__t_k, k=0'!M21&lt;0.1,'Eq7 avec Sent__t_k, k=0'!J21,"-")</f>
        <v>-0.92810614110893541</v>
      </c>
      <c r="E6" s="7" t="str">
        <f>IF('Eq7 avec Sent__t_k, k=0'!M22&lt;0.1,'Eq7 avec Sent__t_k, k=0'!J22,"-")</f>
        <v>-</v>
      </c>
      <c r="G6" s="7" t="str">
        <f t="shared" ref="G6:G15" si="0">IF(OR(B6="-",D6="-"),"Yes","No")</f>
        <v>Yes</v>
      </c>
      <c r="H6" s="7" t="str">
        <f t="shared" ref="H6:H15" si="1">IF(G6="Yes","No",IF(AND(B6&gt;0,D6&lt;0),"Yes","No"))</f>
        <v>No</v>
      </c>
      <c r="I6" s="7" t="str">
        <f t="shared" ref="I6:I15" si="2">IF(G6="Yes","No",IF(AND(B6&lt;0,D6&gt;0),"Yes","No"))</f>
        <v>No</v>
      </c>
      <c r="J6" s="7" t="str">
        <f t="shared" ref="J6:J15" si="3">IF(OR(H6="Yes",I6="Yes"),"Yes","No")</f>
        <v>No</v>
      </c>
    </row>
    <row r="7" spans="1:10" x14ac:dyDescent="0.25">
      <c r="A7" s="1" t="s">
        <v>39</v>
      </c>
      <c r="B7" s="7" t="str">
        <f>IF('Eq4 avec Sent__t_+_1_k, k=1'!M21&lt;0.1,'Eq4 avec Sent__t_+_1_k, k=1'!J21,"-")</f>
        <v>-</v>
      </c>
      <c r="C7" s="7" t="str">
        <f>IF('Eq4 avec Sent__t_+_1_k, k=1'!M22&lt;0.1,'Eq4 avec Sent__t_+_1_k, k=1'!J22,"-")</f>
        <v>-</v>
      </c>
      <c r="D7" s="7">
        <f>IF('Eq7 avec Sent__t_k, k=1'!M21&lt;0.1,'Eq7 avec Sent__t_k, k=1'!J21,"-")</f>
        <v>-1.113975606203345</v>
      </c>
      <c r="E7" s="7" t="str">
        <f>IF('Eq7 avec Sent__t_k, k=1'!M22&lt;0.1,'Eq7 avec Sent__t_k, k=1'!J22,"-")</f>
        <v>-</v>
      </c>
      <c r="G7" s="7" t="str">
        <f t="shared" si="0"/>
        <v>Yes</v>
      </c>
      <c r="H7" s="7" t="str">
        <f t="shared" si="1"/>
        <v>No</v>
      </c>
      <c r="I7" s="7" t="str">
        <f t="shared" si="2"/>
        <v>No</v>
      </c>
      <c r="J7" s="7" t="str">
        <f t="shared" si="3"/>
        <v>No</v>
      </c>
    </row>
    <row r="8" spans="1:10" x14ac:dyDescent="0.25">
      <c r="A8" s="1" t="s">
        <v>40</v>
      </c>
      <c r="B8" s="7" t="str">
        <f>IF('Eq4 avec Sent__t_+_1_k, k=2'!M21&lt;0.1,'Eq4 avec Sent__t_+_1_k, k=2'!J21,"-")</f>
        <v>-</v>
      </c>
      <c r="C8" s="7" t="str">
        <f>IF('Eq4 avec Sent__t_+_1_k, k=2'!M22&lt;0.1,'Eq4 avec Sent__t_+_1_k, k=2'!J22,"-")</f>
        <v>-</v>
      </c>
      <c r="D8" s="7" t="str">
        <f>IF('Eq7 avec Sent__t_k, k=2'!M21&lt;0.1,'Eq7 avec Sent__t_k, k=2'!J21,"-")</f>
        <v>-</v>
      </c>
      <c r="E8" s="7" t="str">
        <f>IF('Eq7 avec Sent__t_k, k=2'!M22&lt;0.1,'Eq7 avec Sent__t_k, k=2'!J22,"-")</f>
        <v>-</v>
      </c>
      <c r="G8" s="7" t="str">
        <f t="shared" si="0"/>
        <v>Yes</v>
      </c>
      <c r="H8" s="7" t="str">
        <f t="shared" si="1"/>
        <v>No</v>
      </c>
      <c r="I8" s="7" t="str">
        <f t="shared" si="2"/>
        <v>No</v>
      </c>
      <c r="J8" s="7" t="str">
        <f t="shared" si="3"/>
        <v>No</v>
      </c>
    </row>
    <row r="9" spans="1:10" x14ac:dyDescent="0.25">
      <c r="A9" s="1" t="s">
        <v>41</v>
      </c>
      <c r="B9" s="7" t="str">
        <f>IF('Eq4 avec Sent__t_+_1_k, k=3'!M21&lt;0.1,'Eq4 avec Sent__t_+_1_k, k=3'!J21,"-")</f>
        <v>-</v>
      </c>
      <c r="C9" s="7" t="str">
        <f>IF('Eq4 avec Sent__t_+_1_k, k=3'!M22&lt;0.1,'Eq4 avec Sent__t_+_1_k, k=3'!J22,"-")</f>
        <v>-</v>
      </c>
      <c r="D9" s="7">
        <f>IF('Eq7 avec Sent__t_k, k=3'!M21&lt;0.1,'Eq7 avec Sent__t_k, k=3'!J21,"-")</f>
        <v>-0.40208740905610074</v>
      </c>
      <c r="E9" s="7" t="str">
        <f>IF('Eq7 avec Sent__t_k, k=3'!M22&lt;0.1,'Eq7 avec Sent__t_k, k=3'!J22,"-")</f>
        <v>-</v>
      </c>
      <c r="G9" s="7" t="str">
        <f t="shared" si="0"/>
        <v>Yes</v>
      </c>
      <c r="H9" s="7" t="str">
        <f t="shared" si="1"/>
        <v>No</v>
      </c>
      <c r="I9" s="7" t="str">
        <f t="shared" si="2"/>
        <v>No</v>
      </c>
      <c r="J9" s="7" t="str">
        <f t="shared" si="3"/>
        <v>No</v>
      </c>
    </row>
    <row r="10" spans="1:10" x14ac:dyDescent="0.25">
      <c r="A10" s="1" t="s">
        <v>42</v>
      </c>
      <c r="B10" s="7" t="str">
        <f>IF('Eq4 avec Sent__t_+_1_k, k=4'!M21&lt;0.1,'Eq4 avec Sent__t_+_1_k, k=4'!J21,"-")</f>
        <v>-</v>
      </c>
      <c r="C10" s="7" t="str">
        <f>IF('Eq4 avec Sent__t_+_1_k, k=4'!M22&lt;0.1,'Eq4 avec Sent__t_+_1_k, k=4'!J22,"-")</f>
        <v>-</v>
      </c>
      <c r="D10" s="7">
        <f>IF('Eq7 avec Sent__t_k, k=4'!M21&lt;0.1,'Eq7 avec Sent__t_k, k=4'!J21,"-")</f>
        <v>-0.18352886117079714</v>
      </c>
      <c r="E10" s="7" t="str">
        <f>IF('Eq7 avec Sent__t_k, k=4'!M22&lt;0.1,'Eq7 avec Sent__t_k, k=4'!J22,"-")</f>
        <v>-</v>
      </c>
      <c r="G10" s="7" t="str">
        <f t="shared" si="0"/>
        <v>Yes</v>
      </c>
      <c r="H10" s="7" t="str">
        <f t="shared" si="1"/>
        <v>No</v>
      </c>
      <c r="I10" s="7" t="str">
        <f t="shared" si="2"/>
        <v>No</v>
      </c>
      <c r="J10" s="7" t="str">
        <f t="shared" si="3"/>
        <v>No</v>
      </c>
    </row>
    <row r="11" spans="1:10" x14ac:dyDescent="0.25">
      <c r="A11" s="1" t="s">
        <v>43</v>
      </c>
      <c r="B11" s="7" t="str">
        <f>IF('Eq4 avec Sent__t_+_1_k, k=5'!M21&lt;0.1,'Eq4 avec Sent__t_+_1_k, k=5'!J21,"-")</f>
        <v>-</v>
      </c>
      <c r="C11" s="7" t="str">
        <f>IF('Eq4 avec Sent__t_+_1_k, k=5'!M22&lt;0.1,'Eq4 avec Sent__t_+_1_k, k=5'!J22,"-")</f>
        <v>-</v>
      </c>
      <c r="D11" s="7" t="str">
        <f>IF('Eq7 avec Sent__t_k, k=5'!M21&lt;0.1,'Eq7 avec Sent__t_k, k=5'!J21,"-")</f>
        <v>-</v>
      </c>
      <c r="E11" s="7" t="str">
        <f>IF('Eq7 avec Sent__t_k, k=5'!M22&lt;0.1,'Eq7 avec Sent__t_k, k=5'!J22,"-")</f>
        <v>-</v>
      </c>
      <c r="G11" s="7" t="str">
        <f t="shared" si="0"/>
        <v>Yes</v>
      </c>
      <c r="H11" s="7" t="str">
        <f t="shared" si="1"/>
        <v>No</v>
      </c>
      <c r="I11" s="7" t="str">
        <f t="shared" si="2"/>
        <v>No</v>
      </c>
      <c r="J11" s="7" t="str">
        <f t="shared" si="3"/>
        <v>No</v>
      </c>
    </row>
    <row r="12" spans="1:10" x14ac:dyDescent="0.25">
      <c r="A12" s="1" t="s">
        <v>44</v>
      </c>
      <c r="B12" s="7" t="str">
        <f>IF('Eq4 avec Sent__t_+_1_k, k=6'!M21&lt;0.1,'Eq4 avec Sent__t_+_1_k, k=6'!J21,"-")</f>
        <v>-</v>
      </c>
      <c r="C12" s="7" t="str">
        <f>IF('Eq4 avec Sent__t_+_1_k, k=6'!M22&lt;0.1,'Eq4 avec Sent__t_+_1_k, k=6'!J22,"-")</f>
        <v>-</v>
      </c>
      <c r="D12" s="7" t="str">
        <f>IF('Eq7 avec Sent__t_k, k=6'!M21&lt;0.1,'Eq7 avec Sent__t_k, k=6'!J21,"-")</f>
        <v>-</v>
      </c>
      <c r="E12" s="7" t="str">
        <f>IF('Eq7 avec Sent__t_k, k=6'!M22&lt;0.1,'Eq7 avec Sent__t_k, k=6'!J22,"-")</f>
        <v>-</v>
      </c>
      <c r="G12" s="7" t="str">
        <f t="shared" si="0"/>
        <v>Yes</v>
      </c>
      <c r="H12" s="7" t="str">
        <f t="shared" si="1"/>
        <v>No</v>
      </c>
      <c r="I12" s="7" t="str">
        <f t="shared" si="2"/>
        <v>No</v>
      </c>
      <c r="J12" s="7" t="str">
        <f t="shared" si="3"/>
        <v>No</v>
      </c>
    </row>
    <row r="13" spans="1:10" x14ac:dyDescent="0.25">
      <c r="A13" s="1" t="s">
        <v>45</v>
      </c>
      <c r="B13" s="7" t="str">
        <f>IF('Eq4 avec Sent__t_+_1_k, k=7'!M21&lt;0.1,'Eq4 avec Sent__t_+_1_k, k=7'!J21,"-")</f>
        <v>-</v>
      </c>
      <c r="C13" s="7" t="str">
        <f>IF('Eq4 avec Sent__t_+_1_k, k=7'!M22&lt;0.1,'Eq4 avec Sent__t_+_1_k, k=7'!J22,"-")</f>
        <v>-</v>
      </c>
      <c r="D13" s="7" t="str">
        <f>IF('Eq7 avec Sent__t_k, k=7'!M21&lt;0.1,'Eq7 avec Sent__t_k, k=7'!J21,"-")</f>
        <v>-</v>
      </c>
      <c r="E13" s="7" t="str">
        <f>IF('Eq7 avec Sent__t_k, k=7'!M22&lt;0.1,'Eq7 avec Sent__t_k, k=7'!J22,"-")</f>
        <v>-</v>
      </c>
      <c r="G13" s="7" t="str">
        <f t="shared" si="0"/>
        <v>Yes</v>
      </c>
      <c r="H13" s="7" t="str">
        <f t="shared" si="1"/>
        <v>No</v>
      </c>
      <c r="I13" s="7" t="str">
        <f t="shared" si="2"/>
        <v>No</v>
      </c>
      <c r="J13" s="7" t="str">
        <f t="shared" si="3"/>
        <v>No</v>
      </c>
    </row>
    <row r="14" spans="1:10" x14ac:dyDescent="0.25">
      <c r="A14" s="1" t="s">
        <v>46</v>
      </c>
      <c r="B14" s="7" t="str">
        <f>IF('Eq4 avec Sent__t_+_1_k, k=8'!M21&lt;0.1,'Eq4 avec Sent__t_+_1_k, k=8'!J21,"-")</f>
        <v>-</v>
      </c>
      <c r="C14" s="7" t="str">
        <f>IF('Eq4 avec Sent__t_+_1_k, k=8'!M22&lt;0.1,'Eq4 avec Sent__t_+_1_k, k=8'!J22,"-")</f>
        <v>-</v>
      </c>
      <c r="D14" s="7" t="str">
        <f>IF('Eq7 avec Sent__t_k, k=8'!M21&lt;0.1,'Eq7 avec Sent__t_k, k=8'!J21,"-")</f>
        <v>-</v>
      </c>
      <c r="E14" s="7" t="str">
        <f>IF('Eq7 avec Sent__t_k, k=8'!M22&lt;0.1,'Eq7 avec Sent__t_k, k=8'!J22,"-")</f>
        <v>-</v>
      </c>
      <c r="G14" s="7" t="str">
        <f t="shared" si="0"/>
        <v>Yes</v>
      </c>
      <c r="H14" s="7" t="str">
        <f t="shared" si="1"/>
        <v>No</v>
      </c>
      <c r="I14" s="7" t="str">
        <f t="shared" si="2"/>
        <v>No</v>
      </c>
      <c r="J14" s="7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>
        <f>IF('Eq7 avec Sent__t_k, k=9'!M21&lt;0.1,'Eq7 avec Sent__t_k, k=9'!J21,"-")</f>
        <v>-0.50583891450994023</v>
      </c>
      <c r="E15" s="7" t="str">
        <f>IF('Eq7 avec Sent__t_k, k=9'!M22&lt;0.1,'Eq7 avec Sent__t_k, k=9'!J22,"-")</f>
        <v>-</v>
      </c>
      <c r="G15" s="7" t="str">
        <f t="shared" si="0"/>
        <v>Yes</v>
      </c>
      <c r="H15" s="7" t="str">
        <f t="shared" si="1"/>
        <v>No</v>
      </c>
      <c r="I15" s="7" t="str">
        <f t="shared" si="2"/>
        <v>No</v>
      </c>
      <c r="J15" s="7" t="str">
        <f t="shared" si="3"/>
        <v>No</v>
      </c>
    </row>
    <row r="16" spans="1:10" x14ac:dyDescent="0.25">
      <c r="A16" s="1" t="s">
        <v>103</v>
      </c>
      <c r="B16" s="9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25</vt:i4>
      </vt:variant>
    </vt:vector>
  </HeadingPairs>
  <TitlesOfParts>
    <vt:vector size="25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