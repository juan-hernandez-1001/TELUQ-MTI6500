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C42A8D61-5D6B-441E-AE5B-1871E51E45B4}" xr6:coauthVersionLast="47" xr6:coauthVersionMax="47" xr10:uidLastSave="{00000000-0000-0000-0000-000000000000}"/>
  <bookViews>
    <workbookView xWindow="-120" yWindow="-120" windowWidth="20730" windowHeight="11160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H15" i="112" s="1"/>
  <c r="G13" i="112"/>
  <c r="I13" i="112" s="1"/>
  <c r="G12" i="112"/>
  <c r="H12" i="112" s="1"/>
  <c r="G11" i="112"/>
  <c r="H11" i="112" s="1"/>
  <c r="G10" i="112"/>
  <c r="H10" i="112" s="1"/>
  <c r="G9" i="112"/>
  <c r="H9" i="112" s="1"/>
  <c r="G8" i="112"/>
  <c r="I8" i="112" s="1"/>
  <c r="G7" i="112"/>
  <c r="H7" i="112" s="1"/>
  <c r="G6" i="112"/>
  <c r="H6" i="112" s="1"/>
  <c r="G5" i="112"/>
  <c r="H5" i="112" s="1"/>
  <c r="I15" i="112" l="1"/>
  <c r="J15" i="112" s="1"/>
  <c r="I14" i="112"/>
  <c r="J14" i="112" s="1"/>
  <c r="H13" i="112"/>
  <c r="J13" i="112" s="1"/>
  <c r="I12" i="112"/>
  <c r="J12" i="112" s="1"/>
  <c r="I11" i="112"/>
  <c r="J11" i="112" s="1"/>
  <c r="I10" i="112"/>
  <c r="J10" i="112" s="1"/>
  <c r="I9" i="112"/>
  <c r="J9" i="112" s="1"/>
  <c r="H8" i="112"/>
  <c r="J8" i="112" s="1"/>
  <c r="I7" i="112"/>
  <c r="J7" i="112" s="1"/>
  <c r="I6" i="112"/>
  <c r="J6" i="112" s="1"/>
  <c r="I5" i="112"/>
  <c r="J5" i="112" s="1"/>
  <c r="B16" i="112" s="1"/>
  <c r="A1" i="97" l="1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13" i="42" s="1"/>
  <c r="B3" i="42"/>
  <c r="B4" i="42"/>
  <c r="B5" i="42"/>
  <c r="B6" i="42"/>
  <c r="B7" i="42"/>
  <c r="B8" i="42"/>
  <c r="B9" i="42"/>
  <c r="B10" i="42"/>
  <c r="B11" i="42"/>
  <c r="E22" i="42" l="1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<sst xmlns="http://schemas.openxmlformats.org/spreadsheetml/2006/main" count="768" uniqueCount="106">
  <si>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</si>
  <si>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</si>
  <si>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</si>
  <si>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</si>
  <si>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</si>
  <si>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</si>
  <si>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</si>
  <si>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</si>
  <si>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</si>
  <si>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</si>
  <si>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</si>
  <si>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</si>
  <si>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</si>
  <si>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</si>
  <si>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</si>
  <si>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</si>
  <si>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</si>
  <si>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</si>
  <si>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</si>
  <si>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</si>
  <si>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</si>
  <si>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</si>
  <si>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</si>
  <si>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</si>
  <si>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</si>
  <si>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</si>
  <si>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</si>
  <si>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</si>
  <si>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</si>
  <si>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</si>
  <si>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</si>
  <si>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</si>
  <si>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</si>
  <si>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</si>
  <si>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</si>
  <si>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</si>
  <si>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</si>
  <si>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</si>
  <si>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</si>
  <si>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</si>
  <si>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</si>
  <si>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</si>
  <si>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</si>
  <si>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</si>
  <si>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</si>
  <si>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</si>
  <si>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</si>
  <si>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</si>
  <si>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</si>
  <si>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</si>
  <si>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</si>
  <si>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</si>
  <si>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</si>
  <si>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</si>
  <si>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</si>
  <si>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Sent_t_+_1_k, k=1 * (VIX_10_t  minus VIX_bar_10)</t>
  </si>
  <si>
    <t>Sent_t_+_1_k, k=2 * (VIX_10_t  minus VIX_bar_10)</t>
  </si>
  <si>
    <t>Sent_t_+_1_k, k=3 * (VIX_10_t  minus VIX_bar_10)</t>
  </si>
  <si>
    <t>Sent_t_k, k=1 * (VIX_10_t  minus VIX_bar_10)</t>
  </si>
  <si>
    <t>Sent_t_k, k=9 * (VIX_10_t  minus VIX_bar_10)</t>
  </si>
  <si>
    <t>Sent_t_+_1_k, k=0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</si>
  <si>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</si>
  <si>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</si>
  <si>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</si>
  <si>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</si>
  <si>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</si>
  <si>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</si>
  <si>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</si>
  <si>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</si>
  <si>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</si>
  <si>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</si>
  <si>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</si>
  <si>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</si>
  <si>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</si>
  <si>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</si>
  <si>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</si>
  <si>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</si>
  <si>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</si>
  <si>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</si>
  <si>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</si>
  <si>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</si>
  <si>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</si>
  <si>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</si>
  <si>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</si>
  <si>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</si>
  <si>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</si>
  <si>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</si>
  <si>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</si>
  <si>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</si>
  <si>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</si>
  <si>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</si>
  <si>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</si>
  <si>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</si>
  <si>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</si>
  <si>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</si>
  <si>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</si>
  <si>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Limite inférieure pour seuil de confiance =  95,0%</t>
  </si>
  <si>
    <t>Limite supérieure pour seuil de confiance =  95,0%</t>
  </si>
  <si>
    <t>S&amp;P/TSX Information Technology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</si>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</sst>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48516365360866E-2"/>
          <c:y val="5.5944047729523307E-2"/>
          <c:w val="0.86710296726927827"/>
          <c:h val="0.74937712690165714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97.28</c:v>
                </c:pt>
                <c:pt idx="1">
                  <c:v>96.32</c:v>
                </c:pt>
                <c:pt idx="2">
                  <c:v>98.44</c:v>
                </c:pt>
                <c:pt idx="3">
                  <c:v>95.68</c:v>
                </c:pt>
                <c:pt idx="4">
                  <c:v>99.39</c:v>
                </c:pt>
                <c:pt idx="5">
                  <c:v>96.28</c:v>
                </c:pt>
                <c:pt idx="6">
                  <c:v>108.8</c:v>
                </c:pt>
                <c:pt idx="7">
                  <c:v>103.97</c:v>
                </c:pt>
                <c:pt idx="8">
                  <c:v>113.98</c:v>
                </c:pt>
                <c:pt idx="9">
                  <c:v>118.66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</c:valAx>
      <c:valAx>
        <c:axId val="119367040"/>
        <c:scaling>
          <c:orientation val="minMax"/>
          <c:min val="9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ndex%20data/SP_TSX_ALL_Sector_Index_data.xlsx" TargetMode="External"/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/Users/client/Documents/Teluq/MTI6500/Index%20data/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C1" t="str">
            <v>Date_2</v>
          </cell>
        </row>
        <row r="123">
          <cell r="G123">
            <v>112.49</v>
          </cell>
        </row>
      </sheetData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91</v>
      </c>
      <c r="C1" s="8" t="s">
        <v>92</v>
      </c>
      <c r="D1" s="9" t="s">
        <v>1</v>
      </c>
      <c r="E1" s="9"/>
      <c r="F1" s="8" t="s">
        <v>93</v>
      </c>
      <c r="G1" s="8" t="s">
        <v>94</v>
      </c>
      <c r="H1" s="8" t="s">
        <v>95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67</v>
      </c>
      <c r="V1" s="8" t="s">
        <v>60</v>
      </c>
      <c r="W1" s="9" t="s">
        <v>21</v>
      </c>
      <c r="X1" s="9" t="s">
        <v>9</v>
      </c>
      <c r="Y1" s="8" t="s">
        <v>58</v>
      </c>
      <c r="Z1" s="8" t="s">
        <v>55</v>
      </c>
      <c r="AA1" s="9" t="s">
        <v>22</v>
      </c>
      <c r="AB1" s="9" t="s">
        <v>10</v>
      </c>
      <c r="AC1" s="8" t="s">
        <v>68</v>
      </c>
      <c r="AD1" s="8" t="s">
        <v>56</v>
      </c>
      <c r="AE1" s="9" t="s">
        <v>23</v>
      </c>
      <c r="AF1" s="9" t="s">
        <v>11</v>
      </c>
      <c r="AG1" s="8" t="s">
        <v>69</v>
      </c>
      <c r="AH1" s="8" t="s">
        <v>57</v>
      </c>
      <c r="AI1" s="9" t="s">
        <v>24</v>
      </c>
      <c r="AJ1" s="9" t="s">
        <v>12</v>
      </c>
      <c r="AK1" s="8" t="s">
        <v>70</v>
      </c>
      <c r="AL1" s="8" t="s">
        <v>61</v>
      </c>
      <c r="AM1" s="9" t="s">
        <v>25</v>
      </c>
      <c r="AN1" s="9" t="s">
        <v>13</v>
      </c>
      <c r="AO1" s="8" t="s">
        <v>71</v>
      </c>
      <c r="AP1" s="8" t="s">
        <v>62</v>
      </c>
      <c r="AQ1" s="9" t="s">
        <v>26</v>
      </c>
      <c r="AR1" s="9" t="s">
        <v>14</v>
      </c>
      <c r="AS1" s="8" t="s">
        <v>72</v>
      </c>
      <c r="AT1" s="8" t="s">
        <v>63</v>
      </c>
      <c r="AU1" s="9" t="s">
        <v>27</v>
      </c>
      <c r="AV1" s="9" t="s">
        <v>15</v>
      </c>
      <c r="AW1" s="8" t="s">
        <v>73</v>
      </c>
      <c r="AX1" s="8" t="s">
        <v>64</v>
      </c>
      <c r="AY1" s="9" t="s">
        <v>28</v>
      </c>
      <c r="AZ1" s="9" t="s">
        <v>16</v>
      </c>
      <c r="BA1" s="8" t="s">
        <v>74</v>
      </c>
      <c r="BB1" s="8" t="s">
        <v>65</v>
      </c>
      <c r="BC1" s="9" t="s">
        <v>29</v>
      </c>
      <c r="BD1" s="9" t="s">
        <v>17</v>
      </c>
      <c r="BE1" s="8" t="s">
        <v>59</v>
      </c>
      <c r="BF1" s="8" t="s">
        <v>66</v>
      </c>
      <c r="BH1" s="10" t="s">
        <v>19</v>
      </c>
      <c r="BI1" s="10" t="s">
        <v>30</v>
      </c>
      <c r="BJ1" s="11" t="s">
        <v>20</v>
      </c>
      <c r="BK1" s="10" t="s">
        <v>67</v>
      </c>
      <c r="BL1" s="11" t="s">
        <v>21</v>
      </c>
      <c r="BM1" s="10" t="s">
        <v>58</v>
      </c>
      <c r="BN1" s="11" t="s">
        <v>22</v>
      </c>
      <c r="BO1" s="10" t="s">
        <v>68</v>
      </c>
      <c r="BP1" s="11" t="s">
        <v>23</v>
      </c>
      <c r="BQ1" s="10" t="s">
        <v>69</v>
      </c>
      <c r="BR1" s="11" t="s">
        <v>24</v>
      </c>
      <c r="BS1" s="10" t="s">
        <v>70</v>
      </c>
      <c r="BT1" s="11" t="s">
        <v>25</v>
      </c>
      <c r="BU1" s="10" t="s">
        <v>71</v>
      </c>
      <c r="BV1" s="11" t="s">
        <v>26</v>
      </c>
      <c r="BW1" s="10" t="s">
        <v>72</v>
      </c>
      <c r="BX1" s="11" t="s">
        <v>27</v>
      </c>
      <c r="BY1" s="10" t="s">
        <v>73</v>
      </c>
      <c r="BZ1" s="11" t="s">
        <v>28</v>
      </c>
      <c r="CA1" s="10" t="s">
        <v>74</v>
      </c>
      <c r="CB1" s="11" t="s">
        <v>29</v>
      </c>
      <c r="CC1" s="10" t="s">
        <v>59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97.28</v>
      </c>
      <c r="C2" s="13">
        <v>9.9667774086379564E-3</v>
      </c>
      <c r="D2" s="14">
        <v>9.646422257646918E-2</v>
      </c>
      <c r="F2" s="13">
        <v>9.8889802631578996E-2</v>
      </c>
      <c r="G2" s="13">
        <v>9.9667774086379564E-3</v>
      </c>
      <c r="H2" s="13">
        <v>-2.1535960991466929E-2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96.32</v>
      </c>
      <c r="C3" s="13">
        <v>-2.1535960991466929E-2</v>
      </c>
      <c r="D3" s="14">
        <v>-0.26341802316407364</v>
      </c>
      <c r="F3" s="13">
        <v>9.9667774086379564E-3</v>
      </c>
      <c r="G3" s="13">
        <v>-2.1535960991466929E-2</v>
      </c>
      <c r="H3" s="13">
        <v>2.8846153846153751E-2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98.44</v>
      </c>
      <c r="C4" s="13">
        <v>2.8846153846153751E-2</v>
      </c>
      <c r="D4" s="14">
        <v>-1.0060927661305124E-2</v>
      </c>
      <c r="F4" s="13">
        <v>-2.1535960991466929E-2</v>
      </c>
      <c r="G4" s="13">
        <v>2.8846153846153751E-2</v>
      </c>
      <c r="H4" s="13">
        <v>-3.7327698963678373E-2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95.68</v>
      </c>
      <c r="C5" s="13">
        <v>-3.7327698963678373E-2</v>
      </c>
      <c r="D5" s="14">
        <v>-0.20595118422061204</v>
      </c>
      <c r="F5" s="13">
        <v>2.8846153846153751E-2</v>
      </c>
      <c r="G5" s="13">
        <v>-3.7327698963678373E-2</v>
      </c>
      <c r="H5" s="13">
        <v>3.2301620274200242E-2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99.39</v>
      </c>
      <c r="C6" s="13">
        <v>3.2301620274200242E-2</v>
      </c>
      <c r="D6" s="14">
        <v>-0.11883065734918301</v>
      </c>
      <c r="F6" s="13">
        <v>-3.7327698963678373E-2</v>
      </c>
      <c r="G6" s="13">
        <v>3.2301620274200242E-2</v>
      </c>
      <c r="H6" s="13">
        <v>-0.11507352941176467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96.28</v>
      </c>
      <c r="C7" s="13">
        <v>-0.11507352941176467</v>
      </c>
      <c r="D7" s="14">
        <v>3.1907220238021443E-2</v>
      </c>
      <c r="F7" s="13">
        <v>3.2301620274200242E-2</v>
      </c>
      <c r="G7" s="13">
        <v>-0.11507352941176467</v>
      </c>
      <c r="H7" s="13">
        <v>4.6455708377416548E-2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108.8</v>
      </c>
      <c r="C8" s="13">
        <v>4.6455708377416548E-2</v>
      </c>
      <c r="D8" s="14">
        <v>-0.35427594827488063</v>
      </c>
      <c r="F8" s="13">
        <v>-0.11507352941176467</v>
      </c>
      <c r="G8" s="13">
        <v>4.6455708377416548E-2</v>
      </c>
      <c r="H8" s="13">
        <v>-8.7822424986839842E-2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103.97</v>
      </c>
      <c r="C9" s="13">
        <v>-8.7822424986839842E-2</v>
      </c>
      <c r="D9" s="14">
        <v>-6.778317345306277E-2</v>
      </c>
      <c r="F9" s="13">
        <v>4.6455708377416548E-2</v>
      </c>
      <c r="G9" s="13">
        <v>-8.7822424986839842E-2</v>
      </c>
      <c r="H9" s="13">
        <v>-3.9440418001011231E-2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113.98</v>
      </c>
      <c r="C10" s="13">
        <v>-3.9440418001011231E-2</v>
      </c>
      <c r="D10" s="14">
        <v>-5.6557500781491396E-2</v>
      </c>
      <c r="F10" s="13">
        <v>-8.7822424986839842E-2</v>
      </c>
      <c r="G10" s="13">
        <v>-3.9440418001011231E-2</v>
      </c>
      <c r="H10" s="13">
        <v>5.4849319939550202E-2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118.66</v>
      </c>
      <c r="C11" s="13">
        <v>5.4849319939550202E-2</v>
      </c>
      <c r="D11" s="14">
        <v>4.3987865692802837E-2</v>
      </c>
      <c r="F11" s="13">
        <v>-3.9440418001011231E-2</v>
      </c>
      <c r="G11" s="13">
        <v>5.4849319939550202E-2</v>
      </c>
      <c r="H11" s="13">
        <v>-6.9561621174524482E-2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6"/>
  <sheetViews>
    <sheetView workbookViewId="0">
      <selection activeCell="B13" sqref="B13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97.28</v>
      </c>
    </row>
    <row r="3" spans="1:2" x14ac:dyDescent="0.25">
      <c r="A3" s="17">
        <f>'ALL VARS'!A3</f>
        <v>43910</v>
      </c>
      <c r="B3" s="18">
        <f>'ALL VARS'!B3</f>
        <v>96.32</v>
      </c>
    </row>
    <row r="4" spans="1:2" x14ac:dyDescent="0.25">
      <c r="A4" s="17">
        <f>'ALL VARS'!A4</f>
        <v>43909</v>
      </c>
      <c r="B4" s="18">
        <f>'ALL VARS'!B4</f>
        <v>98.44</v>
      </c>
    </row>
    <row r="5" spans="1:2" x14ac:dyDescent="0.25">
      <c r="A5" s="17">
        <f>'ALL VARS'!A5</f>
        <v>43908</v>
      </c>
      <c r="B5" s="18">
        <f>'ALL VARS'!B5</f>
        <v>95.68</v>
      </c>
    </row>
    <row r="6" spans="1:2" x14ac:dyDescent="0.25">
      <c r="A6" s="17">
        <f>'ALL VARS'!A6</f>
        <v>43907</v>
      </c>
      <c r="B6" s="18">
        <f>'ALL VARS'!B6</f>
        <v>99.39</v>
      </c>
    </row>
    <row r="7" spans="1:2" x14ac:dyDescent="0.25">
      <c r="A7" s="17">
        <f>'ALL VARS'!A7</f>
        <v>43906</v>
      </c>
      <c r="B7" s="18">
        <f>'ALL VARS'!B7</f>
        <v>96.28</v>
      </c>
    </row>
    <row r="8" spans="1:2" x14ac:dyDescent="0.25">
      <c r="A8" s="17">
        <f>'ALL VARS'!A8</f>
        <v>43903</v>
      </c>
      <c r="B8" s="18">
        <f>'ALL VARS'!B8</f>
        <v>108.8</v>
      </c>
    </row>
    <row r="9" spans="1:2" x14ac:dyDescent="0.25">
      <c r="A9" s="17">
        <f>'ALL VARS'!A9</f>
        <v>43902</v>
      </c>
      <c r="B9" s="18">
        <f>'ALL VARS'!B9</f>
        <v>103.97</v>
      </c>
    </row>
    <row r="10" spans="1:2" x14ac:dyDescent="0.25">
      <c r="A10" s="17">
        <f>'ALL VARS'!A10</f>
        <v>43901</v>
      </c>
      <c r="B10" s="18">
        <f>'ALL VARS'!B10</f>
        <v>113.98</v>
      </c>
    </row>
    <row r="11" spans="1:2" x14ac:dyDescent="0.25">
      <c r="A11" s="17">
        <f>'ALL VARS'!A11</f>
        <v>43900</v>
      </c>
      <c r="B11" s="18">
        <f>'ALL VARS'!B11</f>
        <v>118.66</v>
      </c>
    </row>
    <row r="13" spans="1:2" x14ac:dyDescent="0.25">
      <c r="B13" s="19">
        <f>(B2-'[1]SPTSX Information Tech_ret'!$G$123)/'[1]SPTSX Information Tech_ret'!$G$123</f>
        <v>-0.13521201884611961</v>
      </c>
    </row>
    <row r="20" spans="1:8" x14ac:dyDescent="0.25">
      <c r="D20" s="17" t="s">
        <v>104</v>
      </c>
      <c r="E20" s="18">
        <f>MAX(B2:B11)</f>
        <v>118.66</v>
      </c>
      <c r="G20" s="19"/>
      <c r="H20" s="19"/>
    </row>
    <row r="21" spans="1:8" x14ac:dyDescent="0.25">
      <c r="D21" s="17" t="s">
        <v>31</v>
      </c>
      <c r="E21" s="18">
        <f>QUARTILE(B2:B11, 3)</f>
        <v>107.5925</v>
      </c>
    </row>
    <row r="22" spans="1:8" x14ac:dyDescent="0.25">
      <c r="A22" s="13"/>
      <c r="B22" s="13"/>
      <c r="D22" s="17" t="s">
        <v>32</v>
      </c>
      <c r="E22" s="18">
        <f>MEDIAN(B2:B11)</f>
        <v>98.914999999999992</v>
      </c>
    </row>
    <row r="23" spans="1:8" x14ac:dyDescent="0.25">
      <c r="A23" s="13"/>
      <c r="B23" s="13"/>
      <c r="D23" s="17" t="s">
        <v>33</v>
      </c>
      <c r="E23" s="18">
        <f>QUARTILE(B2:B11, 1)</f>
        <v>96.56</v>
      </c>
    </row>
    <row r="24" spans="1:8" x14ac:dyDescent="0.25">
      <c r="A24" s="13"/>
      <c r="B24" s="13"/>
      <c r="D24" s="17" t="s">
        <v>105</v>
      </c>
      <c r="E24" s="18">
        <f>MIN(B2:B11)</f>
        <v>95.68</v>
      </c>
    </row>
    <row r="25" spans="1:8" x14ac:dyDescent="0.25">
      <c r="A25" s="13"/>
      <c r="B25" s="13"/>
    </row>
    <row r="26" spans="1:8" x14ac:dyDescent="0.25">
      <c r="A26" s="13"/>
      <c r="B26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36</v>
      </c>
      <c r="J5" s="15">
        <v>0.50645362375773018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37</v>
      </c>
      <c r="J6" s="15">
        <v>0.25649527301733654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37</v>
      </c>
      <c r="J7" s="15">
        <v>-0.5383085085687942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38</v>
      </c>
      <c r="J8" s="15">
        <v>7.5446709414685773E-2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9.8185248135008278E-3</v>
      </c>
      <c r="L13" s="15">
        <v>1.9637049627001654E-3</v>
      </c>
      <c r="M13" s="15">
        <v>0.34498136152847525</v>
      </c>
      <c r="N13" s="15">
        <v>0.86312860432480487</v>
      </c>
    </row>
    <row r="14" spans="1:14" x14ac:dyDescent="0.25">
      <c r="I14" s="15" t="s">
        <v>42</v>
      </c>
      <c r="J14" s="15">
        <v>5</v>
      </c>
      <c r="K14" s="15">
        <v>2.8461029807520171E-2</v>
      </c>
      <c r="L14" s="15">
        <v>5.692205961504034E-3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-0.64467721488167684</v>
      </c>
      <c r="K19" s="15">
        <v>1.0609128033284312</v>
      </c>
      <c r="L19" s="15">
        <v>-0.60766277196308038</v>
      </c>
      <c r="M19" s="15">
        <v>0.56995003484565365</v>
      </c>
      <c r="N19" s="15">
        <v>-3.371840396311744</v>
      </c>
      <c r="O19" s="15">
        <v>2.0824859665483908</v>
      </c>
      <c r="P19" s="15">
        <v>-3.371840396311744</v>
      </c>
      <c r="Q19" s="15">
        <v>2.0824859665483908</v>
      </c>
    </row>
    <row r="20" spans="9:17" x14ac:dyDescent="0.25">
      <c r="I20" s="15" t="s">
        <v>95</v>
      </c>
      <c r="J20" s="15">
        <v>5.6191493151590746E-3</v>
      </c>
      <c r="K20" s="15">
        <v>0.89920340086104633</v>
      </c>
      <c r="L20" s="15">
        <v>6.2490303192563219E-3</v>
      </c>
      <c r="M20" s="15">
        <v>0.99525568962518007</v>
      </c>
      <c r="N20" s="15">
        <v>-2.3058567794806466</v>
      </c>
      <c r="O20" s="15">
        <v>2.3170950781109649</v>
      </c>
      <c r="P20" s="15">
        <v>-2.3058567794806466</v>
      </c>
      <c r="Q20" s="15">
        <v>2.3170950781109649</v>
      </c>
    </row>
    <row r="21" spans="9:17" x14ac:dyDescent="0.25">
      <c r="I21" s="15" t="s">
        <v>5</v>
      </c>
      <c r="J21" s="15">
        <v>3.9740910720875336E-2</v>
      </c>
      <c r="K21" s="15">
        <v>0.34045787616089707</v>
      </c>
      <c r="L21" s="15">
        <v>0.11672783478827252</v>
      </c>
      <c r="M21" s="15">
        <v>0.91161937887980471</v>
      </c>
      <c r="N21" s="15">
        <v>-0.83543392153764462</v>
      </c>
      <c r="O21" s="15">
        <v>0.91491574297939537</v>
      </c>
      <c r="P21" s="15">
        <v>-0.83543392153764462</v>
      </c>
      <c r="Q21" s="15">
        <v>0.91491574297939537</v>
      </c>
    </row>
    <row r="22" spans="9:17" x14ac:dyDescent="0.25">
      <c r="I22" s="15" t="s">
        <v>18</v>
      </c>
      <c r="J22" s="15">
        <v>-1.3426286806113985E-2</v>
      </c>
      <c r="K22" s="15">
        <v>2.2691726468025829E-2</v>
      </c>
      <c r="L22" s="15">
        <v>-0.59168203111528461</v>
      </c>
      <c r="M22" s="15">
        <v>0.57980079043958721</v>
      </c>
      <c r="N22" s="15">
        <v>-7.1757226684048978E-2</v>
      </c>
      <c r="O22" s="15">
        <v>4.490465307182101E-2</v>
      </c>
      <c r="P22" s="15">
        <v>-7.1757226684048978E-2</v>
      </c>
      <c r="Q22" s="15">
        <v>4.490465307182101E-2</v>
      </c>
    </row>
    <row r="23" spans="9:17" ht="15.75" thickBot="1" x14ac:dyDescent="0.3">
      <c r="I23" s="21" t="s">
        <v>3</v>
      </c>
      <c r="J23" s="21">
        <v>-2.4687602222548587E-4</v>
      </c>
      <c r="K23" s="21">
        <v>5.9436606803115312E-4</v>
      </c>
      <c r="L23" s="21">
        <v>-0.4153602224354202</v>
      </c>
      <c r="M23" s="21">
        <v>0.6951012094307133</v>
      </c>
      <c r="N23" s="21">
        <v>-1.7747426404249463E-3</v>
      </c>
      <c r="O23" s="21">
        <v>1.2809905959739747E-3</v>
      </c>
      <c r="P23" s="21">
        <v>-1.7747426404249463E-3</v>
      </c>
      <c r="Q23" s="21">
        <v>1.2809905959739747E-3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36</v>
      </c>
      <c r="J5" s="15">
        <v>0.57750815407584233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37</v>
      </c>
      <c r="J6" s="15">
        <v>0.33351566802408689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37</v>
      </c>
      <c r="J7" s="15">
        <v>-0.39967179755664362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38</v>
      </c>
      <c r="J8" s="15">
        <v>7.1432098373107669E-2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1.2766831231094341E-2</v>
      </c>
      <c r="L13" s="15">
        <v>2.5533662462188683E-3</v>
      </c>
      <c r="M13" s="15">
        <v>0.50041036528993788</v>
      </c>
      <c r="N13" s="15">
        <v>0.7668678301224372</v>
      </c>
    </row>
    <row r="14" spans="1:14" x14ac:dyDescent="0.25">
      <c r="I14" s="15" t="s">
        <v>42</v>
      </c>
      <c r="J14" s="15">
        <v>5</v>
      </c>
      <c r="K14" s="15">
        <v>2.5512723389926658E-2</v>
      </c>
      <c r="L14" s="15">
        <v>5.1025446779853316E-3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-0.49453349960825327</v>
      </c>
      <c r="K19" s="15">
        <v>0.57502000304795164</v>
      </c>
      <c r="L19" s="15">
        <v>-0.86002834160016772</v>
      </c>
      <c r="M19" s="15">
        <v>0.42907282312263395</v>
      </c>
      <c r="N19" s="15">
        <v>-1.9726694745708564</v>
      </c>
      <c r="O19" s="15">
        <v>0.98360247535434975</v>
      </c>
      <c r="P19" s="15">
        <v>-1.9726694745708564</v>
      </c>
      <c r="Q19" s="15">
        <v>0.98360247535434975</v>
      </c>
    </row>
    <row r="20" spans="9:17" x14ac:dyDescent="0.25">
      <c r="I20" s="15" t="s">
        <v>95</v>
      </c>
      <c r="J20" s="15">
        <v>-2.9573004396051924E-2</v>
      </c>
      <c r="K20" s="15">
        <v>0.66910491224967539</v>
      </c>
      <c r="L20" s="15">
        <v>-4.4197858743288986E-2</v>
      </c>
      <c r="M20" s="15">
        <v>0.96645749799143854</v>
      </c>
      <c r="N20" s="15">
        <v>-1.749561937960098</v>
      </c>
      <c r="O20" s="15">
        <v>1.6904159291679943</v>
      </c>
      <c r="P20" s="15">
        <v>-1.749561937960098</v>
      </c>
      <c r="Q20" s="15">
        <v>1.6904159291679943</v>
      </c>
    </row>
    <row r="21" spans="9:17" x14ac:dyDescent="0.25">
      <c r="I21" s="15" t="s">
        <v>8</v>
      </c>
      <c r="J21" s="15">
        <v>3.6277242507587579</v>
      </c>
      <c r="K21" s="15">
        <v>3.7740986334403805</v>
      </c>
      <c r="L21" s="15">
        <v>0.96121606855086583</v>
      </c>
      <c r="M21" s="15">
        <v>0.38058934970836056</v>
      </c>
      <c r="N21" s="15">
        <v>-6.0739051422629231</v>
      </c>
      <c r="O21" s="15">
        <v>13.32935364378044</v>
      </c>
      <c r="P21" s="15">
        <v>-6.0739051422629231</v>
      </c>
      <c r="Q21" s="15">
        <v>13.32935364378044</v>
      </c>
    </row>
    <row r="22" spans="9:17" x14ac:dyDescent="0.25">
      <c r="I22" s="15" t="s">
        <v>60</v>
      </c>
      <c r="J22" s="15">
        <v>-0.32936182882745185</v>
      </c>
      <c r="K22" s="15">
        <v>0.31431148759088595</v>
      </c>
      <c r="L22" s="15">
        <v>-1.0478835226543031</v>
      </c>
      <c r="M22" s="15">
        <v>0.34268022493971023</v>
      </c>
      <c r="N22" s="15">
        <v>-1.1373252295604124</v>
      </c>
      <c r="O22" s="15">
        <v>0.47860157190550862</v>
      </c>
      <c r="P22" s="15">
        <v>-1.1373252295604124</v>
      </c>
      <c r="Q22" s="15">
        <v>0.47860157190550862</v>
      </c>
    </row>
    <row r="23" spans="9:17" ht="15.75" thickBot="1" x14ac:dyDescent="0.3">
      <c r="I23" s="21" t="s">
        <v>3</v>
      </c>
      <c r="J23" s="21">
        <v>1.3588948041309316E-4</v>
      </c>
      <c r="K23" s="21">
        <v>5.6731244145796246E-4</v>
      </c>
      <c r="L23" s="21">
        <v>0.23953199415804191</v>
      </c>
      <c r="M23" s="21">
        <v>0.82020257413749009</v>
      </c>
      <c r="N23" s="21">
        <v>-1.3224335767292356E-3</v>
      </c>
      <c r="O23" s="21">
        <v>1.5942125375554218E-3</v>
      </c>
      <c r="P23" s="21">
        <v>-1.3224335767292356E-3</v>
      </c>
      <c r="Q23" s="21">
        <v>1.5942125375554218E-3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36</v>
      </c>
      <c r="J5" s="15">
        <v>0.50877868198463738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37</v>
      </c>
      <c r="J6" s="15">
        <v>0.25885574724202476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37</v>
      </c>
      <c r="J7" s="15">
        <v>-0.53405965496435548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38</v>
      </c>
      <c r="J8" s="15">
        <v>7.5326850333071418E-2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9.9088827155162928E-3</v>
      </c>
      <c r="L13" s="15">
        <v>1.9817765431032587E-3</v>
      </c>
      <c r="M13" s="15">
        <v>0.34926499973353442</v>
      </c>
      <c r="N13" s="15">
        <v>0.86048328540488039</v>
      </c>
    </row>
    <row r="14" spans="1:14" x14ac:dyDescent="0.25">
      <c r="I14" s="15" t="s">
        <v>42</v>
      </c>
      <c r="J14" s="15">
        <v>5</v>
      </c>
      <c r="K14" s="15">
        <v>2.8370671905504706E-2</v>
      </c>
      <c r="L14" s="15">
        <v>5.6741343811009416E-3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2.1365422032068385E-2</v>
      </c>
      <c r="K19" s="15">
        <v>1.1394510604654575</v>
      </c>
      <c r="L19" s="15">
        <v>1.8750627186516256E-2</v>
      </c>
      <c r="M19" s="15">
        <v>0.9857652738953242</v>
      </c>
      <c r="N19" s="15">
        <v>-2.9076867765969734</v>
      </c>
      <c r="O19" s="15">
        <v>2.9504176206611099</v>
      </c>
      <c r="P19" s="15">
        <v>-2.9076867765969734</v>
      </c>
      <c r="Q19" s="15">
        <v>2.9504176206611099</v>
      </c>
    </row>
    <row r="20" spans="9:17" x14ac:dyDescent="0.25">
      <c r="I20" s="15" t="s">
        <v>95</v>
      </c>
      <c r="J20" s="15">
        <v>0.47472109917982247</v>
      </c>
      <c r="K20" s="15">
        <v>0.92930259025654027</v>
      </c>
      <c r="L20" s="15">
        <v>0.51083587214447823</v>
      </c>
      <c r="M20" s="15">
        <v>0.63121440431477427</v>
      </c>
      <c r="N20" s="15">
        <v>-1.9141272591434173</v>
      </c>
      <c r="O20" s="15">
        <v>2.8635694575030621</v>
      </c>
      <c r="P20" s="15">
        <v>-1.9141272591434173</v>
      </c>
      <c r="Q20" s="15">
        <v>2.8635694575030621</v>
      </c>
    </row>
    <row r="21" spans="9:17" x14ac:dyDescent="0.25">
      <c r="I21" s="15" t="s">
        <v>9</v>
      </c>
      <c r="J21" s="15">
        <v>-2.0801883360754978</v>
      </c>
      <c r="K21" s="15">
        <v>3.8463094435420135</v>
      </c>
      <c r="L21" s="15">
        <v>-0.54082708804621837</v>
      </c>
      <c r="M21" s="15">
        <v>0.61184038750250447</v>
      </c>
      <c r="N21" s="15">
        <v>-11.96744152588102</v>
      </c>
      <c r="O21" s="15">
        <v>7.807064853730024</v>
      </c>
      <c r="P21" s="15">
        <v>-11.96744152588102</v>
      </c>
      <c r="Q21" s="15">
        <v>7.807064853730024</v>
      </c>
    </row>
    <row r="22" spans="9:17" x14ac:dyDescent="0.25">
      <c r="I22" s="15" t="s">
        <v>55</v>
      </c>
      <c r="J22" s="15">
        <v>-0.11172473454554287</v>
      </c>
      <c r="K22" s="15">
        <v>0.31126969895303785</v>
      </c>
      <c r="L22" s="15">
        <v>-0.35893225367368348</v>
      </c>
      <c r="M22" s="15">
        <v>0.73430471458379554</v>
      </c>
      <c r="N22" s="15">
        <v>-0.9118689686582061</v>
      </c>
      <c r="O22" s="15">
        <v>0.68841949956712034</v>
      </c>
      <c r="P22" s="15">
        <v>-0.9118689686582061</v>
      </c>
      <c r="Q22" s="15">
        <v>0.68841949956712034</v>
      </c>
    </row>
    <row r="23" spans="9:17" ht="15.75" thickBot="1" x14ac:dyDescent="0.3">
      <c r="I23" s="21" t="s">
        <v>3</v>
      </c>
      <c r="J23" s="21">
        <v>-2.5094591696755849E-5</v>
      </c>
      <c r="K23" s="21">
        <v>5.7229023291488544E-4</v>
      </c>
      <c r="L23" s="21">
        <v>-4.3849414603740186E-2</v>
      </c>
      <c r="M23" s="21">
        <v>0.96672173405705242</v>
      </c>
      <c r="N23" s="21">
        <v>-1.4962134691398363E-3</v>
      </c>
      <c r="O23" s="21">
        <v>1.4460242857463246E-3</v>
      </c>
      <c r="P23" s="21">
        <v>-1.4962134691398363E-3</v>
      </c>
      <c r="Q23" s="21">
        <v>1.4460242857463246E-3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36</v>
      </c>
      <c r="J5" s="15">
        <v>0.75316019974826154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37</v>
      </c>
      <c r="J6" s="15">
        <v>0.56725028648484122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37</v>
      </c>
      <c r="J7" s="15">
        <v>2.1050515672714099E-2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38</v>
      </c>
      <c r="J8" s="15">
        <v>5.7559475841488877E-2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2.171408832528629E-2</v>
      </c>
      <c r="L13" s="15">
        <v>4.3428176650572581E-3</v>
      </c>
      <c r="M13" s="15">
        <v>1.3108045338196881</v>
      </c>
      <c r="N13" s="15">
        <v>0.40816097322646883</v>
      </c>
    </row>
    <row r="14" spans="1:14" x14ac:dyDescent="0.25">
      <c r="I14" s="15" t="s">
        <v>42</v>
      </c>
      <c r="J14" s="15">
        <v>5</v>
      </c>
      <c r="K14" s="15">
        <v>1.6565466295734708E-2</v>
      </c>
      <c r="L14" s="15">
        <v>3.3130932591469418E-3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-0.24280143598115411</v>
      </c>
      <c r="K19" s="15">
        <v>0.71683031374027173</v>
      </c>
      <c r="L19" s="15">
        <v>-0.33871535749411408</v>
      </c>
      <c r="M19" s="15">
        <v>0.74858525045926561</v>
      </c>
      <c r="N19" s="15">
        <v>-2.0854724197153773</v>
      </c>
      <c r="O19" s="15">
        <v>1.5998695477530691</v>
      </c>
      <c r="P19" s="15">
        <v>-2.0854724197153773</v>
      </c>
      <c r="Q19" s="15">
        <v>1.5998695477530691</v>
      </c>
    </row>
    <row r="20" spans="9:17" x14ac:dyDescent="0.25">
      <c r="I20" s="15" t="s">
        <v>95</v>
      </c>
      <c r="J20" s="15">
        <v>0.1470692646191761</v>
      </c>
      <c r="K20" s="15">
        <v>0.52618210968057444</v>
      </c>
      <c r="L20" s="15">
        <v>0.2795025940894425</v>
      </c>
      <c r="M20" s="15">
        <v>0.79105238104925513</v>
      </c>
      <c r="N20" s="15">
        <v>-1.205524908762504</v>
      </c>
      <c r="O20" s="15">
        <v>1.499663438000856</v>
      </c>
      <c r="P20" s="15">
        <v>-1.205524908762504</v>
      </c>
      <c r="Q20" s="15">
        <v>1.499663438000856</v>
      </c>
    </row>
    <row r="21" spans="9:17" x14ac:dyDescent="0.25">
      <c r="I21" s="15" t="s">
        <v>10</v>
      </c>
      <c r="J21" s="15">
        <v>-2.4359031775576976</v>
      </c>
      <c r="K21" s="15">
        <v>2.5880501138672769</v>
      </c>
      <c r="L21" s="15">
        <v>-0.94121175030794557</v>
      </c>
      <c r="M21" s="15">
        <v>0.38981043337130578</v>
      </c>
      <c r="N21" s="15">
        <v>-9.088697789981417</v>
      </c>
      <c r="O21" s="15">
        <v>4.2168914348660209</v>
      </c>
      <c r="P21" s="15">
        <v>-9.088697789981417</v>
      </c>
      <c r="Q21" s="15">
        <v>4.2168914348660209</v>
      </c>
    </row>
    <row r="22" spans="9:17" x14ac:dyDescent="0.25">
      <c r="I22" s="15" t="s">
        <v>56</v>
      </c>
      <c r="J22" s="15">
        <v>-0.53002519441440776</v>
      </c>
      <c r="K22" s="15">
        <v>0.25567885677824576</v>
      </c>
      <c r="L22" s="15">
        <v>-2.0730114374459476</v>
      </c>
      <c r="M22" s="15">
        <v>9.288331479143308E-2</v>
      </c>
      <c r="N22" s="15">
        <v>-1.1872686194048252</v>
      </c>
      <c r="O22" s="15">
        <v>0.12721823057600967</v>
      </c>
      <c r="P22" s="15">
        <v>-1.1872686194048252</v>
      </c>
      <c r="Q22" s="15">
        <v>0.12721823057600967</v>
      </c>
    </row>
    <row r="23" spans="9:17" ht="15.75" thickBot="1" x14ac:dyDescent="0.3">
      <c r="I23" s="21" t="s">
        <v>3</v>
      </c>
      <c r="J23" s="21">
        <v>-5.5120440228738495E-4</v>
      </c>
      <c r="K23" s="21">
        <v>4.7915382417579804E-4</v>
      </c>
      <c r="L23" s="21">
        <v>-1.1503704540718682</v>
      </c>
      <c r="M23" s="21">
        <v>0.30201974011596444</v>
      </c>
      <c r="N23" s="21">
        <v>-1.7829085191893679E-3</v>
      </c>
      <c r="O23" s="21">
        <v>6.8049971461459806E-4</v>
      </c>
      <c r="P23" s="21">
        <v>-1.7829085191893679E-3</v>
      </c>
      <c r="Q23" s="21">
        <v>6.8049971461459806E-4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36</v>
      </c>
      <c r="J5" s="15">
        <v>0.7421331508911595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37</v>
      </c>
      <c r="J6" s="15">
        <v>0.55076161365164045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37</v>
      </c>
      <c r="J7" s="15">
        <v>-8.6290954270472394E-3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38</v>
      </c>
      <c r="J8" s="15">
        <v>5.8645793281498659E-2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2.1082909272939633E-2</v>
      </c>
      <c r="L13" s="15">
        <v>4.216581854587927E-3</v>
      </c>
      <c r="M13" s="15">
        <v>1.225989653574606</v>
      </c>
      <c r="N13" s="15">
        <v>0.43394401564692192</v>
      </c>
    </row>
    <row r="14" spans="1:14" x14ac:dyDescent="0.25">
      <c r="I14" s="15" t="s">
        <v>42</v>
      </c>
      <c r="J14" s="15">
        <v>5</v>
      </c>
      <c r="K14" s="15">
        <v>1.7196645348081366E-2</v>
      </c>
      <c r="L14" s="15">
        <v>3.4393290696162733E-3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-0.17145554043225056</v>
      </c>
      <c r="K19" s="15">
        <v>0.71110433223391312</v>
      </c>
      <c r="L19" s="15">
        <v>-0.2411116522010604</v>
      </c>
      <c r="M19" s="15">
        <v>0.81904389377974063</v>
      </c>
      <c r="N19" s="15">
        <v>-1.9994074201150391</v>
      </c>
      <c r="O19" s="15">
        <v>1.6564963392505379</v>
      </c>
      <c r="P19" s="15">
        <v>-1.9994074201150391</v>
      </c>
      <c r="Q19" s="15">
        <v>1.6564963392505379</v>
      </c>
    </row>
    <row r="20" spans="9:17" x14ac:dyDescent="0.25">
      <c r="I20" s="15" t="s">
        <v>95</v>
      </c>
      <c r="J20" s="15">
        <v>0.30410780348419875</v>
      </c>
      <c r="K20" s="15">
        <v>0.60790171570808671</v>
      </c>
      <c r="L20" s="15">
        <v>0.50025817599473721</v>
      </c>
      <c r="M20" s="15">
        <v>0.63812956274614474</v>
      </c>
      <c r="N20" s="15">
        <v>-1.25855330476716</v>
      </c>
      <c r="O20" s="15">
        <v>1.8667689117355577</v>
      </c>
      <c r="P20" s="15">
        <v>-1.25855330476716</v>
      </c>
      <c r="Q20" s="15">
        <v>1.8667689117355577</v>
      </c>
    </row>
    <row r="21" spans="9:17" x14ac:dyDescent="0.25">
      <c r="I21" s="15" t="s">
        <v>11</v>
      </c>
      <c r="J21" s="15">
        <v>-2.7845677066240784</v>
      </c>
      <c r="K21" s="15">
        <v>2.1445730280492206</v>
      </c>
      <c r="L21" s="15">
        <v>-1.2984252204071687</v>
      </c>
      <c r="M21" s="15">
        <v>0.25080022443773992</v>
      </c>
      <c r="N21" s="15">
        <v>-8.2973681777229746</v>
      </c>
      <c r="O21" s="15">
        <v>2.7282327644748179</v>
      </c>
      <c r="P21" s="15">
        <v>-8.2973681777229746</v>
      </c>
      <c r="Q21" s="15">
        <v>2.7282327644748179</v>
      </c>
    </row>
    <row r="22" spans="9:17" x14ac:dyDescent="0.25">
      <c r="I22" s="15" t="s">
        <v>57</v>
      </c>
      <c r="J22" s="15">
        <v>-0.48927351263045205</v>
      </c>
      <c r="K22" s="15">
        <v>0.25268120975921987</v>
      </c>
      <c r="L22" s="15">
        <v>-1.9363272524169137</v>
      </c>
      <c r="M22" s="15">
        <v>0.11058998524102637</v>
      </c>
      <c r="N22" s="15">
        <v>-1.1388112406441122</v>
      </c>
      <c r="O22" s="15">
        <v>0.16026421538320812</v>
      </c>
      <c r="P22" s="15">
        <v>-1.1388112406441122</v>
      </c>
      <c r="Q22" s="15">
        <v>0.16026421538320812</v>
      </c>
    </row>
    <row r="23" spans="9:17" ht="15.75" thickBot="1" x14ac:dyDescent="0.3">
      <c r="I23" s="21" t="s">
        <v>3</v>
      </c>
      <c r="J23" s="21">
        <v>-5.3823075726914301E-4</v>
      </c>
      <c r="K23" s="21">
        <v>4.815334571704968E-4</v>
      </c>
      <c r="L23" s="21">
        <v>-1.1177432206513771</v>
      </c>
      <c r="M23" s="21">
        <v>0.31448568186064135</v>
      </c>
      <c r="N23" s="21">
        <v>-1.7760519155227796E-3</v>
      </c>
      <c r="O23" s="21">
        <v>6.9959040098449359E-4</v>
      </c>
      <c r="P23" s="21">
        <v>-1.7760519155227796E-3</v>
      </c>
      <c r="Q23" s="21">
        <v>6.9959040098449359E-4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36</v>
      </c>
      <c r="J5" s="15">
        <v>0.62454127203842191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37</v>
      </c>
      <c r="J6" s="15">
        <v>0.3900518004793701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37</v>
      </c>
      <c r="J7" s="15">
        <v>-0.29790675913713383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38</v>
      </c>
      <c r="J8" s="15">
        <v>6.8335269692221701E-2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1.4931009201477632E-2</v>
      </c>
      <c r="L13" s="15">
        <v>2.9862018402955263E-3</v>
      </c>
      <c r="M13" s="15">
        <v>0.63948348529583221</v>
      </c>
      <c r="N13" s="15">
        <v>0.68570088498673565</v>
      </c>
    </row>
    <row r="14" spans="1:14" x14ac:dyDescent="0.25">
      <c r="I14" s="15" t="s">
        <v>42</v>
      </c>
      <c r="J14" s="15">
        <v>5</v>
      </c>
      <c r="K14" s="15">
        <v>2.3348545419543367E-2</v>
      </c>
      <c r="L14" s="15">
        <v>4.6697090839086736E-3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-0.73449320546741792</v>
      </c>
      <c r="K19" s="15">
        <v>0.58623633297728395</v>
      </c>
      <c r="L19" s="15">
        <v>-1.2528960832863949</v>
      </c>
      <c r="M19" s="15">
        <v>0.26564535949221579</v>
      </c>
      <c r="N19" s="15">
        <v>-2.2414616744088667</v>
      </c>
      <c r="O19" s="15">
        <v>0.77247526347403073</v>
      </c>
      <c r="P19" s="15">
        <v>-2.2414616744088667</v>
      </c>
      <c r="Q19" s="15">
        <v>0.77247526347403073</v>
      </c>
    </row>
    <row r="20" spans="9:17" x14ac:dyDescent="0.25">
      <c r="I20" s="15" t="s">
        <v>95</v>
      </c>
      <c r="J20" s="15">
        <v>-0.17427284922969213</v>
      </c>
      <c r="K20" s="15">
        <v>0.60472219591160781</v>
      </c>
      <c r="L20" s="15">
        <v>-0.28818662587203198</v>
      </c>
      <c r="M20" s="15">
        <v>0.78476807801893389</v>
      </c>
      <c r="N20" s="15">
        <v>-1.7287607416461763</v>
      </c>
      <c r="O20" s="15">
        <v>1.3802150431867921</v>
      </c>
      <c r="P20" s="15">
        <v>-1.7287607416461763</v>
      </c>
      <c r="Q20" s="15">
        <v>1.3802150431867921</v>
      </c>
    </row>
    <row r="21" spans="9:17" x14ac:dyDescent="0.25">
      <c r="I21" s="15" t="s">
        <v>12</v>
      </c>
      <c r="J21" s="15">
        <v>3.7945434280796588</v>
      </c>
      <c r="K21" s="15">
        <v>3.3732573753339614</v>
      </c>
      <c r="L21" s="15">
        <v>1.1248899819581626</v>
      </c>
      <c r="M21" s="15">
        <v>0.31171738826790352</v>
      </c>
      <c r="N21" s="15">
        <v>-4.8766907078800541</v>
      </c>
      <c r="O21" s="15">
        <v>12.465777564039371</v>
      </c>
      <c r="P21" s="15">
        <v>-4.8766907078800541</v>
      </c>
      <c r="Q21" s="15">
        <v>12.465777564039371</v>
      </c>
    </row>
    <row r="22" spans="9:17" x14ac:dyDescent="0.25">
      <c r="I22" s="15" t="s">
        <v>61</v>
      </c>
      <c r="J22" s="15">
        <v>-0.32683635489329715</v>
      </c>
      <c r="K22" s="15">
        <v>0.24903752014022457</v>
      </c>
      <c r="L22" s="15">
        <v>-1.3123980463235689</v>
      </c>
      <c r="M22" s="15">
        <v>0.24639933941935363</v>
      </c>
      <c r="N22" s="15">
        <v>-0.9670076805576715</v>
      </c>
      <c r="O22" s="15">
        <v>0.31333497077107714</v>
      </c>
      <c r="P22" s="15">
        <v>-0.9670076805576715</v>
      </c>
      <c r="Q22" s="15">
        <v>0.31333497077107714</v>
      </c>
    </row>
    <row r="23" spans="9:17" ht="15.75" thickBot="1" x14ac:dyDescent="0.3">
      <c r="I23" s="21" t="s">
        <v>3</v>
      </c>
      <c r="J23" s="21">
        <v>-5.2353694900528435E-5</v>
      </c>
      <c r="K23" s="21">
        <v>5.5225328677132007E-4</v>
      </c>
      <c r="L23" s="21">
        <v>-9.4800150863035657E-2</v>
      </c>
      <c r="M23" s="21">
        <v>0.92815554487224761</v>
      </c>
      <c r="N23" s="21">
        <v>-1.4719659625453366E-3</v>
      </c>
      <c r="O23" s="21">
        <v>1.3672585727442798E-3</v>
      </c>
      <c r="P23" s="21">
        <v>-1.4719659625453366E-3</v>
      </c>
      <c r="Q23" s="21">
        <v>1.3672585727442798E-3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36</v>
      </c>
      <c r="J5" s="15">
        <v>0.86048621932354197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37</v>
      </c>
      <c r="J6" s="15">
        <v>0.74043653364572271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37</v>
      </c>
      <c r="J7" s="15">
        <v>0.33278576056230091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38</v>
      </c>
      <c r="J8" s="15">
        <v>4.4577962914269881E-2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2.8343580733090894E-2</v>
      </c>
      <c r="L13" s="15">
        <v>5.6687161466181784E-3</v>
      </c>
      <c r="M13" s="15">
        <v>2.8526223048474133</v>
      </c>
      <c r="N13" s="15">
        <v>0.16585035718568111</v>
      </c>
    </row>
    <row r="14" spans="1:14" x14ac:dyDescent="0.25">
      <c r="I14" s="15" t="s">
        <v>42</v>
      </c>
      <c r="J14" s="15">
        <v>5</v>
      </c>
      <c r="K14" s="15">
        <v>9.9359738879301052E-3</v>
      </c>
      <c r="L14" s="15">
        <v>1.987194777586021E-3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-1.3679953998397549</v>
      </c>
      <c r="K19" s="15">
        <v>0.50532161627490801</v>
      </c>
      <c r="L19" s="15">
        <v>-2.7071776780978434</v>
      </c>
      <c r="M19" s="15">
        <v>4.241884734108517E-2</v>
      </c>
      <c r="N19" s="15">
        <v>-2.6669659677904178</v>
      </c>
      <c r="O19" s="15">
        <v>-6.9024831889092253E-2</v>
      </c>
      <c r="P19" s="15">
        <v>-2.6669659677904178</v>
      </c>
      <c r="Q19" s="15">
        <v>-6.9024831889092253E-2</v>
      </c>
    </row>
    <row r="20" spans="9:17" x14ac:dyDescent="0.25">
      <c r="I20" s="15" t="s">
        <v>95</v>
      </c>
      <c r="J20" s="15">
        <v>-6.0943247562829768E-2</v>
      </c>
      <c r="K20" s="15">
        <v>0.34230288791008395</v>
      </c>
      <c r="L20" s="15">
        <v>-0.17803895238779968</v>
      </c>
      <c r="M20" s="15">
        <v>0.865680892454742</v>
      </c>
      <c r="N20" s="15">
        <v>-0.94086083351034511</v>
      </c>
      <c r="O20" s="15">
        <v>0.81897433838468559</v>
      </c>
      <c r="P20" s="15">
        <v>-0.94086083351034511</v>
      </c>
      <c r="Q20" s="15">
        <v>0.81897433838468559</v>
      </c>
    </row>
    <row r="21" spans="9:17" x14ac:dyDescent="0.25">
      <c r="I21" s="15" t="s">
        <v>13</v>
      </c>
      <c r="J21" s="15">
        <v>9.7240120942459072</v>
      </c>
      <c r="K21" s="15">
        <v>4.2984512586062609</v>
      </c>
      <c r="L21" s="15">
        <v>2.2622129481581794</v>
      </c>
      <c r="M21" s="15">
        <v>7.3148628866055262E-2</v>
      </c>
      <c r="N21" s="15">
        <v>-1.3255086324954028</v>
      </c>
      <c r="O21" s="15">
        <v>20.773532820987217</v>
      </c>
      <c r="P21" s="15">
        <v>-1.3255086324954028</v>
      </c>
      <c r="Q21" s="15">
        <v>20.773532820987217</v>
      </c>
    </row>
    <row r="22" spans="9:17" x14ac:dyDescent="0.25">
      <c r="I22" s="15" t="s">
        <v>62</v>
      </c>
      <c r="J22" s="15">
        <v>-1.3349656236040794</v>
      </c>
      <c r="K22" s="15">
        <v>0.41620516476310582</v>
      </c>
      <c r="L22" s="15">
        <v>-3.207470105191776</v>
      </c>
      <c r="M22" s="15">
        <v>2.379583231856814E-2</v>
      </c>
      <c r="N22" s="15">
        <v>-2.4048550600421388</v>
      </c>
      <c r="O22" s="15">
        <v>-0.26507618716601988</v>
      </c>
      <c r="P22" s="15">
        <v>-2.4048550600421388</v>
      </c>
      <c r="Q22" s="15">
        <v>-0.26507618716601988</v>
      </c>
    </row>
    <row r="23" spans="9:17" ht="15.75" thickBot="1" x14ac:dyDescent="0.3">
      <c r="I23" s="21" t="s">
        <v>3</v>
      </c>
      <c r="J23" s="21">
        <v>-1.0945277506820598E-4</v>
      </c>
      <c r="K23" s="21">
        <v>3.8097306735876879E-4</v>
      </c>
      <c r="L23" s="21">
        <v>-0.28729793375428414</v>
      </c>
      <c r="M23" s="21">
        <v>0.7854103474300822</v>
      </c>
      <c r="N23" s="21">
        <v>-1.0887752218873073E-3</v>
      </c>
      <c r="O23" s="21">
        <v>8.6986967175089536E-4</v>
      </c>
      <c r="P23" s="21">
        <v>-1.0887752218873073E-3</v>
      </c>
      <c r="Q23" s="21">
        <v>8.6986967175089536E-4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36</v>
      </c>
      <c r="J5" s="15">
        <v>0.45018840478967714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37</v>
      </c>
      <c r="J6" s="15">
        <v>0.20266959980707419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37</v>
      </c>
      <c r="J7" s="15">
        <v>-0.63519472034726643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38</v>
      </c>
      <c r="J8" s="15">
        <v>7.8129959177239597E-2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7.7581020158353636E-3</v>
      </c>
      <c r="L13" s="15">
        <v>1.5516204031670727E-3</v>
      </c>
      <c r="M13" s="15">
        <v>0.25418521576254377</v>
      </c>
      <c r="N13" s="15">
        <v>0.91728926813862932</v>
      </c>
    </row>
    <row r="14" spans="1:14" x14ac:dyDescent="0.25">
      <c r="I14" s="15" t="s">
        <v>42</v>
      </c>
      <c r="J14" s="15">
        <v>5</v>
      </c>
      <c r="K14" s="15">
        <v>3.0521452605185635E-2</v>
      </c>
      <c r="L14" s="15">
        <v>6.1042905210371267E-3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-0.40533319223781139</v>
      </c>
      <c r="K19" s="15">
        <v>0.96218669358304942</v>
      </c>
      <c r="L19" s="15">
        <v>-0.42126252102739747</v>
      </c>
      <c r="M19" s="15">
        <v>0.69105947872846185</v>
      </c>
      <c r="N19" s="15">
        <v>-2.878712829253363</v>
      </c>
      <c r="O19" s="15">
        <v>2.0680464447777407</v>
      </c>
      <c r="P19" s="15">
        <v>-2.878712829253363</v>
      </c>
      <c r="Q19" s="15">
        <v>2.0680464447777407</v>
      </c>
    </row>
    <row r="20" spans="9:17" x14ac:dyDescent="0.25">
      <c r="I20" s="15" t="s">
        <v>95</v>
      </c>
      <c r="J20" s="15">
        <v>0.11619508829869984</v>
      </c>
      <c r="K20" s="15">
        <v>0.80870114444958519</v>
      </c>
      <c r="L20" s="15">
        <v>0.14368112262012941</v>
      </c>
      <c r="M20" s="15">
        <v>0.8913635430903617</v>
      </c>
      <c r="N20" s="15">
        <v>-1.9626373840817037</v>
      </c>
      <c r="O20" s="15">
        <v>2.1950275606791032</v>
      </c>
      <c r="P20" s="15">
        <v>-1.9626373840817037</v>
      </c>
      <c r="Q20" s="15">
        <v>2.1950275606791032</v>
      </c>
    </row>
    <row r="21" spans="9:17" x14ac:dyDescent="0.25">
      <c r="I21" s="15" t="s">
        <v>14</v>
      </c>
      <c r="J21" s="15">
        <v>-0.40282950248742677</v>
      </c>
      <c r="K21" s="15">
        <v>3.279505657271927</v>
      </c>
      <c r="L21" s="15">
        <v>-0.12283238529996088</v>
      </c>
      <c r="M21" s="15">
        <v>0.90702439973600202</v>
      </c>
      <c r="N21" s="15">
        <v>-8.8330671749371756</v>
      </c>
      <c r="O21" s="15">
        <v>8.0274081699623228</v>
      </c>
      <c r="P21" s="15">
        <v>-8.8330671749371756</v>
      </c>
      <c r="Q21" s="15">
        <v>8.0274081699623228</v>
      </c>
    </row>
    <row r="22" spans="9:17" x14ac:dyDescent="0.25">
      <c r="I22" s="15" t="s">
        <v>63</v>
      </c>
      <c r="J22" s="15">
        <v>-1.1870860878905028E-3</v>
      </c>
      <c r="K22" s="15">
        <v>0.22742571250476931</v>
      </c>
      <c r="L22" s="15">
        <v>-5.2196652472424748E-3</v>
      </c>
      <c r="M22" s="15">
        <v>0.99603718190032275</v>
      </c>
      <c r="N22" s="15">
        <v>-0.58580349160929723</v>
      </c>
      <c r="O22" s="15">
        <v>0.58342931943351617</v>
      </c>
      <c r="P22" s="15">
        <v>-0.58580349160929723</v>
      </c>
      <c r="Q22" s="15">
        <v>0.58342931943351617</v>
      </c>
    </row>
    <row r="23" spans="9:17" ht="15.75" thickBot="1" x14ac:dyDescent="0.3">
      <c r="I23" s="21" t="s">
        <v>3</v>
      </c>
      <c r="J23" s="21">
        <v>-1.9759765735217623E-4</v>
      </c>
      <c r="K23" s="21">
        <v>6.7670205922294236E-4</v>
      </c>
      <c r="L23" s="21">
        <v>-0.29200096949472537</v>
      </c>
      <c r="M23" s="21">
        <v>0.78201361329369568</v>
      </c>
      <c r="N23" s="21">
        <v>-1.9371156789283618E-3</v>
      </c>
      <c r="O23" s="21">
        <v>1.5419203642240093E-3</v>
      </c>
      <c r="P23" s="21">
        <v>-1.9371156789283618E-3</v>
      </c>
      <c r="Q23" s="21">
        <v>1.5419203642240093E-3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36</v>
      </c>
      <c r="J5" s="15">
        <v>0.55843892031389075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37</v>
      </c>
      <c r="J6" s="15">
        <v>0.31185402772134402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37</v>
      </c>
      <c r="J7" s="15">
        <v>-0.43866275010158073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38</v>
      </c>
      <c r="J8" s="15">
        <v>7.258363635569165E-2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1.1937633287944584E-2</v>
      </c>
      <c r="L13" s="15">
        <v>2.387526657588917E-3</v>
      </c>
      <c r="M13" s="15">
        <v>0.45318005232044384</v>
      </c>
      <c r="N13" s="15">
        <v>0.79585539503212965</v>
      </c>
    </row>
    <row r="14" spans="1:14" x14ac:dyDescent="0.25">
      <c r="I14" s="15" t="s">
        <v>42</v>
      </c>
      <c r="J14" s="15">
        <v>5</v>
      </c>
      <c r="K14" s="15">
        <v>2.6341921333076414E-2</v>
      </c>
      <c r="L14" s="15">
        <v>5.2683842666152829E-3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-0.43391074795681245</v>
      </c>
      <c r="K19" s="15">
        <v>1.0610278831347011</v>
      </c>
      <c r="L19" s="15">
        <v>-0.40895319986772299</v>
      </c>
      <c r="M19" s="15">
        <v>0.69950158577743005</v>
      </c>
      <c r="N19" s="15">
        <v>-3.161369751446526</v>
      </c>
      <c r="O19" s="15">
        <v>2.293548255532901</v>
      </c>
      <c r="P19" s="15">
        <v>-3.161369751446526</v>
      </c>
      <c r="Q19" s="15">
        <v>2.293548255532901</v>
      </c>
    </row>
    <row r="20" spans="9:17" x14ac:dyDescent="0.25">
      <c r="I20" s="15" t="s">
        <v>95</v>
      </c>
      <c r="J20" s="15">
        <v>0.26710016680061821</v>
      </c>
      <c r="K20" s="15">
        <v>0.95510851042849709</v>
      </c>
      <c r="L20" s="15">
        <v>0.27965426324259968</v>
      </c>
      <c r="M20" s="15">
        <v>0.79094246757508357</v>
      </c>
      <c r="N20" s="15">
        <v>-2.1880844211685342</v>
      </c>
      <c r="O20" s="15">
        <v>2.7222847547697708</v>
      </c>
      <c r="P20" s="15">
        <v>-2.1880844211685342</v>
      </c>
      <c r="Q20" s="15">
        <v>2.7222847547697708</v>
      </c>
    </row>
    <row r="21" spans="9:17" x14ac:dyDescent="0.25">
      <c r="I21" s="15" t="s">
        <v>15</v>
      </c>
      <c r="J21" s="15">
        <v>-0.21461646685280408</v>
      </c>
      <c r="K21" s="15">
        <v>1.21820689737168</v>
      </c>
      <c r="L21" s="15">
        <v>-0.17617406970510996</v>
      </c>
      <c r="M21" s="15">
        <v>0.86707042074564022</v>
      </c>
      <c r="N21" s="15">
        <v>-3.3461169892833169</v>
      </c>
      <c r="O21" s="15">
        <v>2.9168840555777091</v>
      </c>
      <c r="P21" s="15">
        <v>-3.3461169892833169</v>
      </c>
      <c r="Q21" s="15">
        <v>2.9168840555777091</v>
      </c>
    </row>
    <row r="22" spans="9:17" x14ac:dyDescent="0.25">
      <c r="I22" s="15" t="s">
        <v>64</v>
      </c>
      <c r="J22" s="15">
        <v>-7.5023225177481723E-2</v>
      </c>
      <c r="K22" s="15">
        <v>9.1055961784209813E-2</v>
      </c>
      <c r="L22" s="15">
        <v>-0.8239243615401759</v>
      </c>
      <c r="M22" s="15">
        <v>0.44748757864584748</v>
      </c>
      <c r="N22" s="15">
        <v>-0.30909002656636597</v>
      </c>
      <c r="O22" s="15">
        <v>0.1590435762114025</v>
      </c>
      <c r="P22" s="15">
        <v>-0.30909002656636597</v>
      </c>
      <c r="Q22" s="15">
        <v>0.1590435762114025</v>
      </c>
    </row>
    <row r="23" spans="9:17" ht="15.75" thickBot="1" x14ac:dyDescent="0.3">
      <c r="I23" s="21" t="s">
        <v>3</v>
      </c>
      <c r="J23" s="21">
        <v>-2.8059559557059845E-4</v>
      </c>
      <c r="K23" s="21">
        <v>5.6307689949578203E-4</v>
      </c>
      <c r="L23" s="21">
        <v>-0.4983255321286722</v>
      </c>
      <c r="M23" s="21">
        <v>0.63939757475730619</v>
      </c>
      <c r="N23" s="21">
        <v>-1.7280308454808708E-3</v>
      </c>
      <c r="O23" s="21">
        <v>1.1668396543396738E-3</v>
      </c>
      <c r="P23" s="21">
        <v>-1.7280308454808708E-3</v>
      </c>
      <c r="Q23" s="21">
        <v>1.1668396543396738E-3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36</v>
      </c>
      <c r="J5" s="15">
        <v>0.4558829968504538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37</v>
      </c>
      <c r="J6" s="15">
        <v>0.20782930681735087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37</v>
      </c>
      <c r="J7" s="15">
        <v>-0.62590724772876849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38</v>
      </c>
      <c r="J8" s="15">
        <v>7.7876750470030898E-2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7.9556133021637145E-3</v>
      </c>
      <c r="L13" s="15">
        <v>1.5911226604327429E-3</v>
      </c>
      <c r="M13" s="15">
        <v>0.26235419790950548</v>
      </c>
      <c r="N13" s="15">
        <v>0.91263594559631389</v>
      </c>
    </row>
    <row r="14" spans="1:14" x14ac:dyDescent="0.25">
      <c r="I14" s="15" t="s">
        <v>42</v>
      </c>
      <c r="J14" s="15">
        <v>5</v>
      </c>
      <c r="K14" s="15">
        <v>3.0323941318857284E-2</v>
      </c>
      <c r="L14" s="15">
        <v>6.0647882637714567E-3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-0.50949373125468367</v>
      </c>
      <c r="K19" s="15">
        <v>1.1377505515163162</v>
      </c>
      <c r="L19" s="15">
        <v>-0.44780794048015643</v>
      </c>
      <c r="M19" s="15">
        <v>0.67302735109979217</v>
      </c>
      <c r="N19" s="15">
        <v>-3.4341746324677258</v>
      </c>
      <c r="O19" s="15">
        <v>2.415187169958358</v>
      </c>
      <c r="P19" s="15">
        <v>-3.4341746324677258</v>
      </c>
      <c r="Q19" s="15">
        <v>2.415187169958358</v>
      </c>
    </row>
    <row r="20" spans="9:17" x14ac:dyDescent="0.25">
      <c r="I20" s="15" t="s">
        <v>95</v>
      </c>
      <c r="J20" s="15">
        <v>7.1118341376177577E-2</v>
      </c>
      <c r="K20" s="15">
        <v>0.9410008075924855</v>
      </c>
      <c r="L20" s="15">
        <v>7.5577343613690548E-2</v>
      </c>
      <c r="M20" s="15">
        <v>0.94268612919284656</v>
      </c>
      <c r="N20" s="15">
        <v>-2.3478012419401684</v>
      </c>
      <c r="O20" s="15">
        <v>2.4900379246925239</v>
      </c>
      <c r="P20" s="15">
        <v>-2.3478012419401684</v>
      </c>
      <c r="Q20" s="15">
        <v>2.4900379246925239</v>
      </c>
    </row>
    <row r="21" spans="9:17" x14ac:dyDescent="0.25">
      <c r="I21" s="15" t="s">
        <v>16</v>
      </c>
      <c r="J21" s="15">
        <v>8.3139667344454812E-2</v>
      </c>
      <c r="K21" s="15">
        <v>2.5598489701291833</v>
      </c>
      <c r="L21" s="15">
        <v>3.2478348650490561E-2</v>
      </c>
      <c r="M21" s="15">
        <v>0.97534720390285612</v>
      </c>
      <c r="N21" s="15">
        <v>-6.4971615972419521</v>
      </c>
      <c r="O21" s="15">
        <v>6.663440931930861</v>
      </c>
      <c r="P21" s="15">
        <v>-6.4971615972419521</v>
      </c>
      <c r="Q21" s="15">
        <v>6.663440931930861</v>
      </c>
    </row>
    <row r="22" spans="9:17" x14ac:dyDescent="0.25">
      <c r="I22" s="15" t="s">
        <v>65</v>
      </c>
      <c r="J22" s="15">
        <v>-3.5398558646707753E-2</v>
      </c>
      <c r="K22" s="15">
        <v>0.16892400523953327</v>
      </c>
      <c r="L22" s="15">
        <v>-0.20955315732960986</v>
      </c>
      <c r="M22" s="15">
        <v>0.84228712348489376</v>
      </c>
      <c r="N22" s="15">
        <v>-0.46963153811838571</v>
      </c>
      <c r="O22" s="15">
        <v>0.39883442082497017</v>
      </c>
      <c r="P22" s="15">
        <v>-0.46963153811838571</v>
      </c>
      <c r="Q22" s="15">
        <v>0.39883442082497017</v>
      </c>
    </row>
    <row r="23" spans="9:17" ht="15.75" thickBot="1" x14ac:dyDescent="0.3">
      <c r="I23" s="21" t="s">
        <v>3</v>
      </c>
      <c r="J23" s="21">
        <v>-1.8445093418188678E-4</v>
      </c>
      <c r="K23" s="21">
        <v>6.063391752758314E-4</v>
      </c>
      <c r="L23" s="21">
        <v>-0.30420421721551755</v>
      </c>
      <c r="M23" s="21">
        <v>0.77322574113232578</v>
      </c>
      <c r="N23" s="21">
        <v>-1.743095404380643E-3</v>
      </c>
      <c r="O23" s="21">
        <v>1.3741935360168692E-3</v>
      </c>
      <c r="P23" s="21">
        <v>-1.743095404380643E-3</v>
      </c>
      <c r="Q23" s="21">
        <v>1.3741935360168692E-3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36</v>
      </c>
      <c r="J5" s="15">
        <v>0.46340024176647909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37</v>
      </c>
      <c r="J6" s="15">
        <v>0.21473978406923125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37</v>
      </c>
      <c r="J7" s="15">
        <v>-0.61346838867538378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38</v>
      </c>
      <c r="J8" s="15">
        <v>7.7536328682026992E-2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8.2201432935843921E-3</v>
      </c>
      <c r="L13" s="15">
        <v>1.6440286587168784E-3</v>
      </c>
      <c r="M13" s="15">
        <v>0.27346321603049789</v>
      </c>
      <c r="N13" s="15">
        <v>0.90621784093897295</v>
      </c>
    </row>
    <row r="14" spans="1:14" x14ac:dyDescent="0.25">
      <c r="I14" s="15" t="s">
        <v>42</v>
      </c>
      <c r="J14" s="15">
        <v>5</v>
      </c>
      <c r="K14" s="15">
        <v>3.0059411327436607E-2</v>
      </c>
      <c r="L14" s="15">
        <v>6.011882265487321E-3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-0.3235921486468587</v>
      </c>
      <c r="K19" s="15">
        <v>1.1012387039646467</v>
      </c>
      <c r="L19" s="15">
        <v>-0.29384378471431477</v>
      </c>
      <c r="M19" s="15">
        <v>0.78068414844237433</v>
      </c>
      <c r="N19" s="15">
        <v>-3.1544163577580564</v>
      </c>
      <c r="O19" s="15">
        <v>2.5072320604643394</v>
      </c>
      <c r="P19" s="15">
        <v>-3.1544163577580564</v>
      </c>
      <c r="Q19" s="15">
        <v>2.5072320604643394</v>
      </c>
    </row>
    <row r="20" spans="9:17" x14ac:dyDescent="0.25">
      <c r="I20" s="15" t="s">
        <v>95</v>
      </c>
      <c r="J20" s="15">
        <v>0.19053580611996535</v>
      </c>
      <c r="K20" s="15">
        <v>0.88194117781594039</v>
      </c>
      <c r="L20" s="15">
        <v>0.21604139925954319</v>
      </c>
      <c r="M20" s="15">
        <v>0.83749262100556454</v>
      </c>
      <c r="N20" s="15">
        <v>-2.0765661656733885</v>
      </c>
      <c r="O20" s="15">
        <v>2.4576377779133187</v>
      </c>
      <c r="P20" s="15">
        <v>-2.0765661656733885</v>
      </c>
      <c r="Q20" s="15">
        <v>2.4576377779133187</v>
      </c>
    </row>
    <row r="21" spans="9:17" x14ac:dyDescent="0.25">
      <c r="I21" s="15" t="s">
        <v>17</v>
      </c>
      <c r="J21" s="15">
        <v>-0.70725381686829292</v>
      </c>
      <c r="K21" s="15">
        <v>3.5276021024705431</v>
      </c>
      <c r="L21" s="15">
        <v>-0.20049138092217667</v>
      </c>
      <c r="M21" s="15">
        <v>0.84899628449192632</v>
      </c>
      <c r="N21" s="15">
        <v>-9.7752437048315457</v>
      </c>
      <c r="O21" s="15">
        <v>8.3607360710949585</v>
      </c>
      <c r="P21" s="15">
        <v>-9.7752437048315457</v>
      </c>
      <c r="Q21" s="15">
        <v>8.3607360710949585</v>
      </c>
    </row>
    <row r="22" spans="9:17" x14ac:dyDescent="0.25">
      <c r="I22" s="15" t="s">
        <v>66</v>
      </c>
      <c r="J22" s="15">
        <v>-2.8974753074587085E-2</v>
      </c>
      <c r="K22" s="15">
        <v>0.25619638086072521</v>
      </c>
      <c r="L22" s="15">
        <v>-0.11309587191373514</v>
      </c>
      <c r="M22" s="15">
        <v>0.9143550800970055</v>
      </c>
      <c r="N22" s="15">
        <v>-0.68754851607093059</v>
      </c>
      <c r="O22" s="15">
        <v>0.62959900992175644</v>
      </c>
      <c r="P22" s="15">
        <v>-0.68754851607093059</v>
      </c>
      <c r="Q22" s="15">
        <v>0.62959900992175644</v>
      </c>
    </row>
    <row r="23" spans="9:17" ht="15.75" thickBot="1" x14ac:dyDescent="0.3">
      <c r="I23" s="21" t="s">
        <v>3</v>
      </c>
      <c r="J23" s="21">
        <v>-1.7206738381486558E-4</v>
      </c>
      <c r="K23" s="21">
        <v>6.1599791693060151E-4</v>
      </c>
      <c r="L23" s="21">
        <v>-0.27933111311844055</v>
      </c>
      <c r="M23" s="21">
        <v>0.79117665862715902</v>
      </c>
      <c r="N23" s="21">
        <v>-1.7555404398664775E-3</v>
      </c>
      <c r="O23" s="21">
        <v>1.4114056722367462E-3</v>
      </c>
      <c r="P23" s="21">
        <v>-1.7555404398664775E-3</v>
      </c>
      <c r="Q23" s="21">
        <v>1.4114056722367462E-3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36</v>
      </c>
      <c r="J5" s="15">
        <v>0.6797427386129633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37</v>
      </c>
      <c r="J6" s="15">
        <v>0.46205019069705139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37</v>
      </c>
      <c r="J7" s="15">
        <v>-0.16830965674530757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38</v>
      </c>
      <c r="J8" s="15">
        <v>6.4175507958379341E-2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1.7687075512440947E-2</v>
      </c>
      <c r="L13" s="15">
        <v>3.5374151024881893E-3</v>
      </c>
      <c r="M13" s="15">
        <v>0.85890947948425789</v>
      </c>
      <c r="N13" s="15">
        <v>0.57455762524418785</v>
      </c>
    </row>
    <row r="14" spans="1:14" x14ac:dyDescent="0.25">
      <c r="I14" s="15" t="s">
        <v>42</v>
      </c>
      <c r="J14" s="15">
        <v>5</v>
      </c>
      <c r="K14" s="15">
        <v>2.0592479108580052E-2</v>
      </c>
      <c r="L14" s="15">
        <v>4.1184958217160101E-3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-0.42344752864650709</v>
      </c>
      <c r="K19" s="15">
        <v>0.50399561150619476</v>
      </c>
      <c r="L19" s="15">
        <v>-0.84018098368164529</v>
      </c>
      <c r="M19" s="15">
        <v>0.43912311624949102</v>
      </c>
      <c r="N19" s="15">
        <v>-1.7190094928247484</v>
      </c>
      <c r="O19" s="15">
        <v>0.87211443553173407</v>
      </c>
      <c r="P19" s="15">
        <v>-1.7190094928247484</v>
      </c>
      <c r="Q19" s="15">
        <v>0.87211443553173407</v>
      </c>
    </row>
    <row r="20" spans="9:17" x14ac:dyDescent="0.25">
      <c r="I20" s="15" t="s">
        <v>95</v>
      </c>
      <c r="J20" s="15">
        <v>-9.1515149930130602E-2</v>
      </c>
      <c r="K20" s="15">
        <v>0.52344854860802015</v>
      </c>
      <c r="L20" s="15">
        <v>-0.17483122299888335</v>
      </c>
      <c r="M20" s="15">
        <v>0.86807131640375301</v>
      </c>
      <c r="N20" s="15">
        <v>-1.4370824808720999</v>
      </c>
      <c r="O20" s="15">
        <v>1.2540521810118388</v>
      </c>
      <c r="P20" s="15">
        <v>-1.4370824808720999</v>
      </c>
      <c r="Q20" s="15">
        <v>1.2540521810118388</v>
      </c>
    </row>
    <row r="21" spans="9:17" x14ac:dyDescent="0.25">
      <c r="I21" s="15" t="s">
        <v>19</v>
      </c>
      <c r="J21" s="15">
        <v>0.30618811280978958</v>
      </c>
      <c r="K21" s="15">
        <v>0.19694695955601646</v>
      </c>
      <c r="L21" s="15">
        <v>1.5546729611873105</v>
      </c>
      <c r="M21" s="15">
        <v>0.18074194952611156</v>
      </c>
      <c r="N21" s="15">
        <v>-0.20008016400870626</v>
      </c>
      <c r="O21" s="15">
        <v>0.81245638962828548</v>
      </c>
      <c r="P21" s="15">
        <v>-0.20008016400870626</v>
      </c>
      <c r="Q21" s="15">
        <v>0.81245638962828548</v>
      </c>
    </row>
    <row r="22" spans="9:17" x14ac:dyDescent="0.25">
      <c r="I22" s="15" t="s">
        <v>30</v>
      </c>
      <c r="J22" s="15">
        <v>-1.1118581298394227E-2</v>
      </c>
      <c r="K22" s="15">
        <v>1.6365934345277673E-2</v>
      </c>
      <c r="L22" s="15">
        <v>-0.679373451207963</v>
      </c>
      <c r="M22" s="15">
        <v>0.52707197700550346</v>
      </c>
      <c r="N22" s="15">
        <v>-5.3188554849581522E-2</v>
      </c>
      <c r="O22" s="15">
        <v>3.0951392252793065E-2</v>
      </c>
      <c r="P22" s="15">
        <v>-5.3188554849581522E-2</v>
      </c>
      <c r="Q22" s="15">
        <v>3.0951392252793065E-2</v>
      </c>
    </row>
    <row r="23" spans="9:17" ht="15.75" thickBot="1" x14ac:dyDescent="0.3">
      <c r="I23" s="21" t="s">
        <v>3</v>
      </c>
      <c r="J23" s="21">
        <v>2.1966748521621044E-4</v>
      </c>
      <c r="K23" s="21">
        <v>5.4102722970583391E-4</v>
      </c>
      <c r="L23" s="21">
        <v>0.40601927806045462</v>
      </c>
      <c r="M23" s="21">
        <v>0.70152110366127562</v>
      </c>
      <c r="N23" s="21">
        <v>-1.1710872840502422E-3</v>
      </c>
      <c r="O23" s="21">
        <v>1.6104222544826633E-3</v>
      </c>
      <c r="P23" s="21">
        <v>-1.1710872840502422E-3</v>
      </c>
      <c r="Q23" s="21">
        <v>1.6104222544826633E-3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36</v>
      </c>
      <c r="J5" s="15">
        <v>0.53031689473908949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37</v>
      </c>
      <c r="J6" s="15">
        <v>0.28123600884571048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37</v>
      </c>
      <c r="J7" s="15">
        <v>-0.49377518407772109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38</v>
      </c>
      <c r="J8" s="15">
        <v>7.4180813501893705E-2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1.076558916200732E-2</v>
      </c>
      <c r="L13" s="15">
        <v>2.1531178324014641E-3</v>
      </c>
      <c r="M13" s="15">
        <v>0.39127726528712614</v>
      </c>
      <c r="N13" s="15">
        <v>0.83437301864426561</v>
      </c>
    </row>
    <row r="14" spans="1:14" x14ac:dyDescent="0.25">
      <c r="I14" s="15" t="s">
        <v>42</v>
      </c>
      <c r="J14" s="15">
        <v>5</v>
      </c>
      <c r="K14" s="15">
        <v>2.7513965459013679E-2</v>
      </c>
      <c r="L14" s="15">
        <v>5.5027930918027362E-3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-0.47020563558879797</v>
      </c>
      <c r="K19" s="15">
        <v>0.59590194447947253</v>
      </c>
      <c r="L19" s="15">
        <v>-0.7890654493492687</v>
      </c>
      <c r="M19" s="15">
        <v>0.46582509107902026</v>
      </c>
      <c r="N19" s="15">
        <v>-2.00202034988809</v>
      </c>
      <c r="O19" s="15">
        <v>1.0616090787104939</v>
      </c>
      <c r="P19" s="15">
        <v>-2.00202034988809</v>
      </c>
      <c r="Q19" s="15">
        <v>1.0616090787104939</v>
      </c>
    </row>
    <row r="20" spans="9:17" x14ac:dyDescent="0.25">
      <c r="I20" s="15" t="s">
        <v>95</v>
      </c>
      <c r="J20" s="15">
        <v>0.15891895202087383</v>
      </c>
      <c r="K20" s="15">
        <v>0.55780580821662917</v>
      </c>
      <c r="L20" s="15">
        <v>0.28490013850690515</v>
      </c>
      <c r="M20" s="15">
        <v>0.78714422986419075</v>
      </c>
      <c r="N20" s="15">
        <v>-1.2749665263932271</v>
      </c>
      <c r="O20" s="15">
        <v>1.5928044304349747</v>
      </c>
      <c r="P20" s="15">
        <v>-1.2749665263932271</v>
      </c>
      <c r="Q20" s="15">
        <v>1.5928044304349747</v>
      </c>
    </row>
    <row r="21" spans="9:17" x14ac:dyDescent="0.25">
      <c r="I21" s="15" t="s">
        <v>20</v>
      </c>
      <c r="J21" s="15">
        <v>1.5927032011620375</v>
      </c>
      <c r="K21" s="15">
        <v>4.3912354033293397</v>
      </c>
      <c r="L21" s="15">
        <v>0.36270048286513729</v>
      </c>
      <c r="M21" s="15">
        <v>0.73165614748372598</v>
      </c>
      <c r="N21" s="15">
        <v>-9.6953267626394712</v>
      </c>
      <c r="O21" s="15">
        <v>12.880733164963544</v>
      </c>
      <c r="P21" s="15">
        <v>-9.6953267626394712</v>
      </c>
      <c r="Q21" s="15">
        <v>12.880733164963544</v>
      </c>
    </row>
    <row r="22" spans="9:17" x14ac:dyDescent="0.25">
      <c r="I22" s="15" t="s">
        <v>67</v>
      </c>
      <c r="J22" s="15">
        <v>5.0583598147678739E-3</v>
      </c>
      <c r="K22" s="15">
        <v>0.31397200743621734</v>
      </c>
      <c r="L22" s="15">
        <v>1.6110862417553155E-2</v>
      </c>
      <c r="M22" s="15">
        <v>0.98776905262104786</v>
      </c>
      <c r="N22" s="15">
        <v>-0.80203237939904248</v>
      </c>
      <c r="O22" s="15">
        <v>0.81214909902857824</v>
      </c>
      <c r="P22" s="15">
        <v>-0.80203237939904248</v>
      </c>
      <c r="Q22" s="15">
        <v>0.81214909902857824</v>
      </c>
    </row>
    <row r="23" spans="9:17" ht="15.75" thickBot="1" x14ac:dyDescent="0.3">
      <c r="I23" s="21" t="s">
        <v>3</v>
      </c>
      <c r="J23" s="21">
        <v>2.417699845688696E-5</v>
      </c>
      <c r="K23" s="21">
        <v>5.9289703435245361E-4</v>
      </c>
      <c r="L23" s="21">
        <v>4.077773551910651E-2</v>
      </c>
      <c r="M23" s="21">
        <v>0.96905128936771279</v>
      </c>
      <c r="N23" s="21">
        <v>-1.4999133484521706E-3</v>
      </c>
      <c r="O23" s="21">
        <v>1.5482673453659445E-3</v>
      </c>
      <c r="P23" s="21">
        <v>-1.4999133484521706E-3</v>
      </c>
      <c r="Q23" s="21">
        <v>1.5482673453659445E-3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36</v>
      </c>
      <c r="J5" s="15">
        <v>0.79605395257142741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37</v>
      </c>
      <c r="J6" s="15">
        <v>0.63370189540459232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37</v>
      </c>
      <c r="J7" s="15">
        <v>0.14066341172826621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38</v>
      </c>
      <c r="J8" s="15">
        <v>5.2956072933019446E-2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2.4257826318584627E-2</v>
      </c>
      <c r="L13" s="15">
        <v>4.8515652637169254E-3</v>
      </c>
      <c r="M13" s="15">
        <v>1.7300168563649645</v>
      </c>
      <c r="N13" s="15">
        <v>0.30770100154261243</v>
      </c>
    </row>
    <row r="14" spans="1:14" x14ac:dyDescent="0.25">
      <c r="I14" s="15" t="s">
        <v>42</v>
      </c>
      <c r="J14" s="15">
        <v>5</v>
      </c>
      <c r="K14" s="15">
        <v>1.4021728302436373E-2</v>
      </c>
      <c r="L14" s="15">
        <v>2.8043456604872749E-3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-0.42787918075409692</v>
      </c>
      <c r="K19" s="15">
        <v>0.41157547766214064</v>
      </c>
      <c r="L19" s="15">
        <v>-1.0396129117909689</v>
      </c>
      <c r="M19" s="15">
        <v>0.34615627688888512</v>
      </c>
      <c r="N19" s="15">
        <v>-1.4858676276257357</v>
      </c>
      <c r="O19" s="15">
        <v>0.63010926611754181</v>
      </c>
      <c r="P19" s="15">
        <v>-1.4858676276257357</v>
      </c>
      <c r="Q19" s="15">
        <v>0.63010926611754181</v>
      </c>
    </row>
    <row r="20" spans="9:17" x14ac:dyDescent="0.25">
      <c r="I20" s="15" t="s">
        <v>95</v>
      </c>
      <c r="J20" s="15">
        <v>-0.20467104425267282</v>
      </c>
      <c r="K20" s="15">
        <v>0.41921334882540617</v>
      </c>
      <c r="L20" s="15">
        <v>-0.48822644800348225</v>
      </c>
      <c r="M20" s="15">
        <v>0.64604625028380658</v>
      </c>
      <c r="N20" s="15">
        <v>-1.2822932639995324</v>
      </c>
      <c r="O20" s="15">
        <v>0.87295117549418666</v>
      </c>
      <c r="P20" s="15">
        <v>-1.2822932639995324</v>
      </c>
      <c r="Q20" s="15">
        <v>0.87295117549418666</v>
      </c>
    </row>
    <row r="21" spans="9:17" x14ac:dyDescent="0.25">
      <c r="I21" s="15" t="s">
        <v>21</v>
      </c>
      <c r="J21" s="15">
        <v>3.0678159925412558</v>
      </c>
      <c r="K21" s="15">
        <v>1.772109613858535</v>
      </c>
      <c r="L21" s="15">
        <v>1.731166045570675</v>
      </c>
      <c r="M21" s="15">
        <v>0.14397489789551549</v>
      </c>
      <c r="N21" s="15">
        <v>-1.4875367915999789</v>
      </c>
      <c r="O21" s="15">
        <v>7.6231687766824905</v>
      </c>
      <c r="P21" s="15">
        <v>-1.4875367915999789</v>
      </c>
      <c r="Q21" s="15">
        <v>7.6231687766824905</v>
      </c>
    </row>
    <row r="22" spans="9:17" x14ac:dyDescent="0.25">
      <c r="I22" s="15" t="s">
        <v>58</v>
      </c>
      <c r="J22" s="15">
        <v>0.18602657876541714</v>
      </c>
      <c r="K22" s="15">
        <v>0.24131924145555889</v>
      </c>
      <c r="L22" s="15">
        <v>0.7708733777023562</v>
      </c>
      <c r="M22" s="15">
        <v>0.47561208501354835</v>
      </c>
      <c r="N22" s="15">
        <v>-0.43430427990977649</v>
      </c>
      <c r="O22" s="15">
        <v>0.80635743744061084</v>
      </c>
      <c r="P22" s="15">
        <v>-0.43430427990977649</v>
      </c>
      <c r="Q22" s="15">
        <v>0.80635743744061084</v>
      </c>
    </row>
    <row r="23" spans="9:17" ht="15.75" thickBot="1" x14ac:dyDescent="0.3">
      <c r="I23" s="21" t="s">
        <v>3</v>
      </c>
      <c r="J23" s="21">
        <v>1.7004858871038022E-5</v>
      </c>
      <c r="K23" s="21">
        <v>4.0014414346692433E-4</v>
      </c>
      <c r="L23" s="21">
        <v>4.249683307546305E-2</v>
      </c>
      <c r="M23" s="21">
        <v>0.96774748437999292</v>
      </c>
      <c r="N23" s="21">
        <v>-1.0115984079612894E-3</v>
      </c>
      <c r="O23" s="21">
        <v>1.0456081257033654E-3</v>
      </c>
      <c r="P23" s="21">
        <v>-1.0115984079612894E-3</v>
      </c>
      <c r="Q23" s="21">
        <v>1.0456081257033654E-3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36</v>
      </c>
      <c r="J5" s="15">
        <v>0.75073901914074381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37</v>
      </c>
      <c r="J6" s="15">
        <v>0.56360907486040612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37</v>
      </c>
      <c r="J7" s="15">
        <v>1.4496334748731066E-2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38</v>
      </c>
      <c r="J8" s="15">
        <v>5.7801124997700473E-2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2.1574704366022029E-2</v>
      </c>
      <c r="L13" s="15">
        <v>4.3149408732044061E-3</v>
      </c>
      <c r="M13" s="15">
        <v>1.2915233621783435</v>
      </c>
      <c r="N13" s="15">
        <v>0.4138332475029059</v>
      </c>
    </row>
    <row r="14" spans="1:14" x14ac:dyDescent="0.25">
      <c r="I14" s="15" t="s">
        <v>42</v>
      </c>
      <c r="J14" s="15">
        <v>5</v>
      </c>
      <c r="K14" s="15">
        <v>1.670485025499897E-2</v>
      </c>
      <c r="L14" s="15">
        <v>3.3409700509997942E-3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-0.49466977334185575</v>
      </c>
      <c r="K19" s="15">
        <v>0.46338480548500227</v>
      </c>
      <c r="L19" s="15">
        <v>-1.0675140131625789</v>
      </c>
      <c r="M19" s="15">
        <v>0.33454770721241178</v>
      </c>
      <c r="N19" s="15">
        <v>-1.6858383372314696</v>
      </c>
      <c r="O19" s="15">
        <v>0.69649879054775821</v>
      </c>
      <c r="P19" s="15">
        <v>-1.6858383372314696</v>
      </c>
      <c r="Q19" s="15">
        <v>0.69649879054775821</v>
      </c>
    </row>
    <row r="20" spans="9:17" x14ac:dyDescent="0.25">
      <c r="I20" s="15" t="s">
        <v>95</v>
      </c>
      <c r="J20" s="15">
        <v>-0.41880603168055469</v>
      </c>
      <c r="K20" s="15">
        <v>0.49414641685789124</v>
      </c>
      <c r="L20" s="15">
        <v>-0.84753428820469767</v>
      </c>
      <c r="M20" s="15">
        <v>0.43537882185249749</v>
      </c>
      <c r="N20" s="15">
        <v>-1.6890498350002203</v>
      </c>
      <c r="O20" s="15">
        <v>0.85143777163911105</v>
      </c>
      <c r="P20" s="15">
        <v>-1.6890498350002203</v>
      </c>
      <c r="Q20" s="15">
        <v>0.85143777163911105</v>
      </c>
    </row>
    <row r="21" spans="9:17" x14ac:dyDescent="0.25">
      <c r="I21" s="15" t="s">
        <v>22</v>
      </c>
      <c r="J21" s="15">
        <v>3.9225975355025184</v>
      </c>
      <c r="K21" s="15">
        <v>1.8706781982508389</v>
      </c>
      <c r="L21" s="15">
        <v>2.0968852575340367</v>
      </c>
      <c r="M21" s="15">
        <v>9.0108744535254887E-2</v>
      </c>
      <c r="N21" s="15">
        <v>-0.88613386124195781</v>
      </c>
      <c r="O21" s="15">
        <v>8.7313289322469956</v>
      </c>
      <c r="P21" s="15">
        <v>-0.88613386124195781</v>
      </c>
      <c r="Q21" s="15">
        <v>8.7313289322469956</v>
      </c>
    </row>
    <row r="22" spans="9:17" x14ac:dyDescent="0.25">
      <c r="I22" s="15" t="s">
        <v>68</v>
      </c>
      <c r="J22" s="15">
        <v>-1.4035206316759731E-2</v>
      </c>
      <c r="K22" s="15">
        <v>0.36474001693471469</v>
      </c>
      <c r="L22" s="15">
        <v>-3.8480028691976267E-2</v>
      </c>
      <c r="M22" s="15">
        <v>0.97079409596574351</v>
      </c>
      <c r="N22" s="15">
        <v>-0.95162926857881924</v>
      </c>
      <c r="O22" s="15">
        <v>0.92355885594529985</v>
      </c>
      <c r="P22" s="15">
        <v>-0.95162926857881924</v>
      </c>
      <c r="Q22" s="15">
        <v>0.92355885594529985</v>
      </c>
    </row>
    <row r="23" spans="9:17" ht="15.75" thickBot="1" x14ac:dyDescent="0.3">
      <c r="I23" s="21" t="s">
        <v>3</v>
      </c>
      <c r="J23" s="21">
        <v>2.0342375863214047E-4</v>
      </c>
      <c r="K23" s="21">
        <v>4.750259763669445E-4</v>
      </c>
      <c r="L23" s="21">
        <v>0.42823712544722231</v>
      </c>
      <c r="M23" s="21">
        <v>0.68629846202192479</v>
      </c>
      <c r="N23" s="21">
        <v>-1.0176693876721326E-3</v>
      </c>
      <c r="O23" s="21">
        <v>1.4245169049364136E-3</v>
      </c>
      <c r="P23" s="21">
        <v>-1.0176693876721326E-3</v>
      </c>
      <c r="Q23" s="21">
        <v>1.4245169049364136E-3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36</v>
      </c>
      <c r="J5" s="15">
        <v>0.75542627717038058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37</v>
      </c>
      <c r="J6" s="15">
        <v>0.57066886023950059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37</v>
      </c>
      <c r="J7" s="15">
        <v>2.7203948431101032E-2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38</v>
      </c>
      <c r="J8" s="15">
        <v>5.7331675040883358E-2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2.1844949806053761E-2</v>
      </c>
      <c r="L13" s="15">
        <v>4.3689899612107518E-3</v>
      </c>
      <c r="M13" s="15">
        <v>1.329204447079813</v>
      </c>
      <c r="N13" s="15">
        <v>0.40284774805859652</v>
      </c>
    </row>
    <row r="14" spans="1:14" x14ac:dyDescent="0.25">
      <c r="I14" s="15" t="s">
        <v>42</v>
      </c>
      <c r="J14" s="15">
        <v>5</v>
      </c>
      <c r="K14" s="15">
        <v>1.6434604814967238E-2</v>
      </c>
      <c r="L14" s="15">
        <v>3.2869209629934476E-3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-0.40956696704395645</v>
      </c>
      <c r="K19" s="15">
        <v>0.44920120095204508</v>
      </c>
      <c r="L19" s="15">
        <v>-0.91176730199276601</v>
      </c>
      <c r="M19" s="15">
        <v>0.40370825731761739</v>
      </c>
      <c r="N19" s="15">
        <v>-1.5642754147573017</v>
      </c>
      <c r="O19" s="15">
        <v>0.7451414806693889</v>
      </c>
      <c r="P19" s="15">
        <v>-1.5642754147573017</v>
      </c>
      <c r="Q19" s="15">
        <v>0.7451414806693889</v>
      </c>
    </row>
    <row r="20" spans="9:17" x14ac:dyDescent="0.25">
      <c r="I20" s="15" t="s">
        <v>95</v>
      </c>
      <c r="J20" s="15">
        <v>-0.1901308466231405</v>
      </c>
      <c r="K20" s="15">
        <v>0.44706818365772488</v>
      </c>
      <c r="L20" s="15">
        <v>-0.4252837790145777</v>
      </c>
      <c r="M20" s="15">
        <v>0.68831248584956506</v>
      </c>
      <c r="N20" s="15">
        <v>-1.3393561988246083</v>
      </c>
      <c r="O20" s="15">
        <v>0.95909450557832721</v>
      </c>
      <c r="P20" s="15">
        <v>-1.3393561988246083</v>
      </c>
      <c r="Q20" s="15">
        <v>0.95909450557832721</v>
      </c>
    </row>
    <row r="21" spans="9:17" x14ac:dyDescent="0.25">
      <c r="I21" s="15" t="s">
        <v>23</v>
      </c>
      <c r="J21" s="15">
        <v>2.805117554186964</v>
      </c>
      <c r="K21" s="15">
        <v>1.3208596351691293</v>
      </c>
      <c r="L21" s="15">
        <v>2.1237060165199031</v>
      </c>
      <c r="M21" s="15">
        <v>8.7095662807493757E-2</v>
      </c>
      <c r="N21" s="15">
        <v>-0.59026023140400996</v>
      </c>
      <c r="O21" s="15">
        <v>6.2004953397779374</v>
      </c>
      <c r="P21" s="15">
        <v>-0.59026023140400996</v>
      </c>
      <c r="Q21" s="15">
        <v>6.2004953397779374</v>
      </c>
    </row>
    <row r="22" spans="9:17" x14ac:dyDescent="0.25">
      <c r="I22" s="15" t="s">
        <v>69</v>
      </c>
      <c r="J22" s="15">
        <v>-1.8639131606858751E-2</v>
      </c>
      <c r="K22" s="15">
        <v>0.41117810211392986</v>
      </c>
      <c r="L22" s="15">
        <v>-4.5331041490371468E-2</v>
      </c>
      <c r="M22" s="15">
        <v>0.96559820409814878</v>
      </c>
      <c r="N22" s="15">
        <v>-1.0756060921123407</v>
      </c>
      <c r="O22" s="15">
        <v>1.0383278288986231</v>
      </c>
      <c r="P22" s="15">
        <v>-1.0756060921123407</v>
      </c>
      <c r="Q22" s="15">
        <v>1.0383278288986231</v>
      </c>
    </row>
    <row r="23" spans="9:17" ht="15.75" thickBot="1" x14ac:dyDescent="0.3">
      <c r="I23" s="21" t="s">
        <v>3</v>
      </c>
      <c r="J23" s="21">
        <v>1.9157734603163543E-4</v>
      </c>
      <c r="K23" s="21">
        <v>4.6745032984714488E-4</v>
      </c>
      <c r="L23" s="21">
        <v>0.40983465792885582</v>
      </c>
      <c r="M23" s="21">
        <v>0.69889539687044044</v>
      </c>
      <c r="N23" s="21">
        <v>-1.0100419809356391E-3</v>
      </c>
      <c r="O23" s="21">
        <v>1.39319667299891E-3</v>
      </c>
      <c r="P23" s="21">
        <v>-1.0100419809356391E-3</v>
      </c>
      <c r="Q23" s="21">
        <v>1.39319667299891E-3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36</v>
      </c>
      <c r="J5" s="15">
        <v>0.48287788221900602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37</v>
      </c>
      <c r="J6" s="15">
        <v>0.23317104913631223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37</v>
      </c>
      <c r="J7" s="15">
        <v>-0.580292111554638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38</v>
      </c>
      <c r="J8" s="15">
        <v>7.6620977166265328E-2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8.9256839114542352E-3</v>
      </c>
      <c r="L13" s="15">
        <v>1.785136782290847E-3</v>
      </c>
      <c r="M13" s="15">
        <v>0.30407178663988771</v>
      </c>
      <c r="N13" s="15">
        <v>0.88808675749273491</v>
      </c>
    </row>
    <row r="14" spans="1:14" x14ac:dyDescent="0.25">
      <c r="I14" s="15" t="s">
        <v>42</v>
      </c>
      <c r="J14" s="15">
        <v>5</v>
      </c>
      <c r="K14" s="15">
        <v>2.9353870709566764E-2</v>
      </c>
      <c r="L14" s="15">
        <v>5.8707741419133531E-3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-0.48569959295233933</v>
      </c>
      <c r="K19" s="15">
        <v>0.62882042205561206</v>
      </c>
      <c r="L19" s="15">
        <v>-0.77239793097779619</v>
      </c>
      <c r="M19" s="15">
        <v>0.47478620297017721</v>
      </c>
      <c r="N19" s="15">
        <v>-2.1021339477656569</v>
      </c>
      <c r="O19" s="15">
        <v>1.1307347618609782</v>
      </c>
      <c r="P19" s="15">
        <v>-2.1021339477656569</v>
      </c>
      <c r="Q19" s="15">
        <v>1.1307347618609782</v>
      </c>
    </row>
    <row r="20" spans="9:17" x14ac:dyDescent="0.25">
      <c r="I20" s="15" t="s">
        <v>95</v>
      </c>
      <c r="J20" s="15">
        <v>7.3004139794117767E-2</v>
      </c>
      <c r="K20" s="15">
        <v>0.62517852195282009</v>
      </c>
      <c r="L20" s="15">
        <v>0.1167732691233227</v>
      </c>
      <c r="M20" s="15">
        <v>0.91158516510271081</v>
      </c>
      <c r="N20" s="15">
        <v>-1.5340684127677608</v>
      </c>
      <c r="O20" s="15">
        <v>1.6800766923559962</v>
      </c>
      <c r="P20" s="15">
        <v>-1.5340684127677608</v>
      </c>
      <c r="Q20" s="15">
        <v>1.6800766923559962</v>
      </c>
    </row>
    <row r="21" spans="9:17" x14ac:dyDescent="0.25">
      <c r="I21" s="15" t="s">
        <v>24</v>
      </c>
      <c r="J21" s="15">
        <v>2.6076203680768764</v>
      </c>
      <c r="K21" s="15">
        <v>4.8190914777927203</v>
      </c>
      <c r="L21" s="15">
        <v>0.54110206873915578</v>
      </c>
      <c r="M21" s="15">
        <v>0.61166436899080701</v>
      </c>
      <c r="N21" s="15">
        <v>-9.7802486490068574</v>
      </c>
      <c r="O21" s="15">
        <v>14.99548938516061</v>
      </c>
      <c r="P21" s="15">
        <v>-9.7802486490068574</v>
      </c>
      <c r="Q21" s="15">
        <v>14.99548938516061</v>
      </c>
    </row>
    <row r="22" spans="9:17" x14ac:dyDescent="0.25">
      <c r="I22" s="15" t="s">
        <v>70</v>
      </c>
      <c r="J22" s="15">
        <v>-0.1306630185737028</v>
      </c>
      <c r="K22" s="15">
        <v>0.31650750134584843</v>
      </c>
      <c r="L22" s="15">
        <v>-0.41282755706610264</v>
      </c>
      <c r="M22" s="15">
        <v>0.69683904469433244</v>
      </c>
      <c r="N22" s="15">
        <v>-0.94427145237597732</v>
      </c>
      <c r="O22" s="15">
        <v>0.68294541522857177</v>
      </c>
      <c r="P22" s="15">
        <v>-0.94427145237597732</v>
      </c>
      <c r="Q22" s="15">
        <v>0.68294541522857177</v>
      </c>
    </row>
    <row r="23" spans="9:17" ht="15.75" thickBot="1" x14ac:dyDescent="0.3">
      <c r="I23" s="21" t="s">
        <v>3</v>
      </c>
      <c r="J23" s="21">
        <v>1.0514768213682726E-4</v>
      </c>
      <c r="K23" s="21">
        <v>6.878156034989813E-4</v>
      </c>
      <c r="L23" s="21">
        <v>0.15287190578685816</v>
      </c>
      <c r="M23" s="21">
        <v>0.88447704945431393</v>
      </c>
      <c r="N23" s="21">
        <v>-1.6629386144848841E-3</v>
      </c>
      <c r="O23" s="21">
        <v>1.8732339787585384E-3</v>
      </c>
      <c r="P23" s="21">
        <v>-1.6629386144848841E-3</v>
      </c>
      <c r="Q23" s="21">
        <v>1.8732339787585384E-3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36</v>
      </c>
      <c r="J5" s="15">
        <v>0.52780971077385563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37</v>
      </c>
      <c r="J6" s="15">
        <v>0.27858309078718119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37</v>
      </c>
      <c r="J7" s="15">
        <v>-0.49855043658307385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38</v>
      </c>
      <c r="J8" s="15">
        <v>7.4317586048983378E-2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1.0664036640280754E-2</v>
      </c>
      <c r="L13" s="15">
        <v>2.1328073280561508E-3</v>
      </c>
      <c r="M13" s="15">
        <v>0.38616102177471812</v>
      </c>
      <c r="N13" s="15">
        <v>0.83756259703973512</v>
      </c>
    </row>
    <row r="14" spans="1:14" x14ac:dyDescent="0.25">
      <c r="I14" s="15" t="s">
        <v>42</v>
      </c>
      <c r="J14" s="15">
        <v>5</v>
      </c>
      <c r="K14" s="15">
        <v>2.7615517980740245E-2</v>
      </c>
      <c r="L14" s="15">
        <v>5.523103596148049E-3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-0.84828758611857513</v>
      </c>
      <c r="K19" s="15">
        <v>0.8564389720045924</v>
      </c>
      <c r="L19" s="15">
        <v>-0.99048223381645273</v>
      </c>
      <c r="M19" s="15">
        <v>0.36741911064431804</v>
      </c>
      <c r="N19" s="15">
        <v>-3.0498340508846189</v>
      </c>
      <c r="O19" s="15">
        <v>1.3532588786474689</v>
      </c>
      <c r="P19" s="15">
        <v>-3.0498340508846189</v>
      </c>
      <c r="Q19" s="15">
        <v>1.3532588786474689</v>
      </c>
    </row>
    <row r="20" spans="9:17" x14ac:dyDescent="0.25">
      <c r="I20" s="15" t="s">
        <v>95</v>
      </c>
      <c r="J20" s="15">
        <v>-0.55213842186255813</v>
      </c>
      <c r="K20" s="15">
        <v>1.0172972836300176</v>
      </c>
      <c r="L20" s="15">
        <v>-0.54275031571141619</v>
      </c>
      <c r="M20" s="15">
        <v>0.61060992847938689</v>
      </c>
      <c r="N20" s="15">
        <v>-3.1671843406040456</v>
      </c>
      <c r="O20" s="15">
        <v>2.0629074968789296</v>
      </c>
      <c r="P20" s="15">
        <v>-3.1671843406040456</v>
      </c>
      <c r="Q20" s="15">
        <v>2.0629074968789296</v>
      </c>
    </row>
    <row r="21" spans="9:17" x14ac:dyDescent="0.25">
      <c r="I21" s="15" t="s">
        <v>25</v>
      </c>
      <c r="J21" s="15">
        <v>8.5028973838855979</v>
      </c>
      <c r="K21" s="15">
        <v>11.382354514469533</v>
      </c>
      <c r="L21" s="15">
        <v>0.7470244731067287</v>
      </c>
      <c r="M21" s="15">
        <v>0.48866691658719541</v>
      </c>
      <c r="N21" s="15">
        <v>-20.756376377782793</v>
      </c>
      <c r="O21" s="15">
        <v>37.762171145553985</v>
      </c>
      <c r="P21" s="15">
        <v>-20.756376377782793</v>
      </c>
      <c r="Q21" s="15">
        <v>37.762171145553985</v>
      </c>
    </row>
    <row r="22" spans="9:17" x14ac:dyDescent="0.25">
      <c r="I22" s="15" t="s">
        <v>71</v>
      </c>
      <c r="J22" s="15">
        <v>-0.47212425254641904</v>
      </c>
      <c r="K22" s="15">
        <v>1.0111189869516601</v>
      </c>
      <c r="L22" s="15">
        <v>-0.46693243687351554</v>
      </c>
      <c r="M22" s="15">
        <v>0.66018783272951287</v>
      </c>
      <c r="N22" s="15">
        <v>-3.0712883540713487</v>
      </c>
      <c r="O22" s="15">
        <v>2.1270398489785109</v>
      </c>
      <c r="P22" s="15">
        <v>-3.0712883540713487</v>
      </c>
      <c r="Q22" s="15">
        <v>2.1270398489785109</v>
      </c>
    </row>
    <row r="23" spans="9:17" ht="15.75" thickBot="1" x14ac:dyDescent="0.3">
      <c r="I23" s="21" t="s">
        <v>3</v>
      </c>
      <c r="J23" s="21">
        <v>-4.9070308606779897E-5</v>
      </c>
      <c r="K23" s="21">
        <v>6.0245352744088337E-4</v>
      </c>
      <c r="L23" s="21">
        <v>-8.1450778145862865E-2</v>
      </c>
      <c r="M23" s="21">
        <v>0.93824339919816224</v>
      </c>
      <c r="N23" s="21">
        <v>-1.5977264030613389E-3</v>
      </c>
      <c r="O23" s="21">
        <v>1.4995857858477791E-3</v>
      </c>
      <c r="P23" s="21">
        <v>-1.5977264030613389E-3</v>
      </c>
      <c r="Q23" s="21">
        <v>1.4995857858477791E-3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36</v>
      </c>
      <c r="J5" s="15">
        <v>0.65802787748284342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37</v>
      </c>
      <c r="J6" s="15">
        <v>0.43300068754457605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37</v>
      </c>
      <c r="J7" s="15">
        <v>-0.22059876241976309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38</v>
      </c>
      <c r="J8" s="15">
        <v>6.588547814385011E-2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1.6575073469802245E-2</v>
      </c>
      <c r="L13" s="15">
        <v>3.3150146939604488E-3</v>
      </c>
      <c r="M13" s="15">
        <v>0.76367056896319852</v>
      </c>
      <c r="N13" s="15">
        <v>0.62011314392019279</v>
      </c>
    </row>
    <row r="14" spans="1:14" x14ac:dyDescent="0.25">
      <c r="I14" s="15" t="s">
        <v>42</v>
      </c>
      <c r="J14" s="15">
        <v>5</v>
      </c>
      <c r="K14" s="15">
        <v>2.1704481151218754E-2</v>
      </c>
      <c r="L14" s="15">
        <v>4.3408962302437506E-3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-0.36210804533899188</v>
      </c>
      <c r="K19" s="15">
        <v>0.52522554603202631</v>
      </c>
      <c r="L19" s="15">
        <v>-0.68943342165027111</v>
      </c>
      <c r="M19" s="15">
        <v>0.52123366644138902</v>
      </c>
      <c r="N19" s="15">
        <v>-1.7122432935810838</v>
      </c>
      <c r="O19" s="15">
        <v>0.9880272029031002</v>
      </c>
      <c r="P19" s="15">
        <v>-1.7122432935810838</v>
      </c>
      <c r="Q19" s="15">
        <v>0.9880272029031002</v>
      </c>
    </row>
    <row r="20" spans="9:17" x14ac:dyDescent="0.25">
      <c r="I20" s="15" t="s">
        <v>95</v>
      </c>
      <c r="J20" s="15">
        <v>-8.911094396345921E-3</v>
      </c>
      <c r="K20" s="15">
        <v>0.52907604780672479</v>
      </c>
      <c r="L20" s="15">
        <v>-1.6842747717056371E-2</v>
      </c>
      <c r="M20" s="15">
        <v>0.98721348602592152</v>
      </c>
      <c r="N20" s="15">
        <v>-1.3689443725585633</v>
      </c>
      <c r="O20" s="15">
        <v>1.3511221837658713</v>
      </c>
      <c r="P20" s="15">
        <v>-1.3689443725585633</v>
      </c>
      <c r="Q20" s="15">
        <v>1.3511221837658713</v>
      </c>
    </row>
    <row r="21" spans="9:17" x14ac:dyDescent="0.25">
      <c r="I21" s="15" t="s">
        <v>26</v>
      </c>
      <c r="J21" s="15">
        <v>3.1495698648544113</v>
      </c>
      <c r="K21" s="15">
        <v>2.1103365120507087</v>
      </c>
      <c r="L21" s="15">
        <v>1.4924491174129537</v>
      </c>
      <c r="M21" s="15">
        <v>0.19579294699544969</v>
      </c>
      <c r="N21" s="15">
        <v>-2.2752228401032384</v>
      </c>
      <c r="O21" s="15">
        <v>8.5743625698120614</v>
      </c>
      <c r="P21" s="15">
        <v>-2.2752228401032384</v>
      </c>
      <c r="Q21" s="15">
        <v>8.5743625698120614</v>
      </c>
    </row>
    <row r="22" spans="9:17" x14ac:dyDescent="0.25">
      <c r="I22" s="15" t="s">
        <v>72</v>
      </c>
      <c r="J22" s="15">
        <v>-0.16722441739825691</v>
      </c>
      <c r="K22" s="15">
        <v>0.12221934876978943</v>
      </c>
      <c r="L22" s="15">
        <v>-1.3682319459354866</v>
      </c>
      <c r="M22" s="15">
        <v>0.22951896650923373</v>
      </c>
      <c r="N22" s="15">
        <v>-0.48139925530917727</v>
      </c>
      <c r="O22" s="15">
        <v>0.14695042051266341</v>
      </c>
      <c r="P22" s="15">
        <v>-0.48139925530917727</v>
      </c>
      <c r="Q22" s="15">
        <v>0.14695042051266341</v>
      </c>
    </row>
    <row r="23" spans="9:17" ht="15.75" thickBot="1" x14ac:dyDescent="0.3">
      <c r="I23" s="21" t="s">
        <v>3</v>
      </c>
      <c r="J23" s="21">
        <v>3.8090708747229142E-5</v>
      </c>
      <c r="K23" s="21">
        <v>5.706340343281216E-4</v>
      </c>
      <c r="L23" s="21">
        <v>6.6751554333905214E-2</v>
      </c>
      <c r="M23" s="21">
        <v>0.94936644109505419</v>
      </c>
      <c r="N23" s="21">
        <v>-1.4287707746925098E-3</v>
      </c>
      <c r="O23" s="21">
        <v>1.5049521921869679E-3</v>
      </c>
      <c r="P23" s="21">
        <v>-1.4287707746925098E-3</v>
      </c>
      <c r="Q23" s="21">
        <v>1.5049521921869679E-3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36</v>
      </c>
      <c r="J5" s="15">
        <v>0.6406524628621294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37</v>
      </c>
      <c r="J6" s="15">
        <v>0.41043557817131204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37</v>
      </c>
      <c r="J7" s="15">
        <v>-0.26121595929163827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38</v>
      </c>
      <c r="J8" s="15">
        <v>6.7183723457399896E-2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1.5711291133019074E-2</v>
      </c>
      <c r="L13" s="15">
        <v>3.1422582266038149E-3</v>
      </c>
      <c r="M13" s="15">
        <v>0.69616748055833999</v>
      </c>
      <c r="N13" s="15">
        <v>0.65489931463724582</v>
      </c>
    </row>
    <row r="14" spans="1:14" x14ac:dyDescent="0.25">
      <c r="I14" s="15" t="s">
        <v>42</v>
      </c>
      <c r="J14" s="15">
        <v>5</v>
      </c>
      <c r="K14" s="15">
        <v>2.2568263488001925E-2</v>
      </c>
      <c r="L14" s="15">
        <v>4.5136526976003854E-3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-0.42449116947244631</v>
      </c>
      <c r="K19" s="15">
        <v>0.52526961677510109</v>
      </c>
      <c r="L19" s="15">
        <v>-0.80813958377911665</v>
      </c>
      <c r="M19" s="15">
        <v>0.45572333434908918</v>
      </c>
      <c r="N19" s="15">
        <v>-1.7747397051661693</v>
      </c>
      <c r="O19" s="15">
        <v>0.9257573662212768</v>
      </c>
      <c r="P19" s="15">
        <v>-1.7747397051661693</v>
      </c>
      <c r="Q19" s="15">
        <v>0.9257573662212768</v>
      </c>
    </row>
    <row r="20" spans="9:17" x14ac:dyDescent="0.25">
      <c r="I20" s="15" t="s">
        <v>95</v>
      </c>
      <c r="J20" s="15">
        <v>-0.10412518269918487</v>
      </c>
      <c r="K20" s="15">
        <v>0.55378627168422834</v>
      </c>
      <c r="L20" s="15">
        <v>-0.18802413137203511</v>
      </c>
      <c r="M20" s="15">
        <v>0.85825040468012881</v>
      </c>
      <c r="N20" s="15">
        <v>-1.5276781135154196</v>
      </c>
      <c r="O20" s="15">
        <v>1.3194277481170498</v>
      </c>
      <c r="P20" s="15">
        <v>-1.5276781135154196</v>
      </c>
      <c r="Q20" s="15">
        <v>1.3194277481170498</v>
      </c>
    </row>
    <row r="21" spans="9:17" x14ac:dyDescent="0.25">
      <c r="I21" s="15" t="s">
        <v>27</v>
      </c>
      <c r="J21" s="15">
        <v>0.97793811275510878</v>
      </c>
      <c r="K21" s="15">
        <v>0.73750438985244471</v>
      </c>
      <c r="L21" s="15">
        <v>1.3260098871421884</v>
      </c>
      <c r="M21" s="15">
        <v>0.2421808554745814</v>
      </c>
      <c r="N21" s="15">
        <v>-0.91787727550162912</v>
      </c>
      <c r="O21" s="15">
        <v>2.8737535010118469</v>
      </c>
      <c r="P21" s="15">
        <v>-0.91787727550162912</v>
      </c>
      <c r="Q21" s="15">
        <v>2.8737535010118469</v>
      </c>
    </row>
    <row r="22" spans="9:17" x14ac:dyDescent="0.25">
      <c r="I22" s="15" t="s">
        <v>73</v>
      </c>
      <c r="J22" s="15">
        <v>-3.9060292789352663E-2</v>
      </c>
      <c r="K22" s="15">
        <v>8.7767593094191854E-2</v>
      </c>
      <c r="L22" s="15">
        <v>-0.44504231473493072</v>
      </c>
      <c r="M22" s="15">
        <v>0.6748947353340301</v>
      </c>
      <c r="N22" s="15">
        <v>-0.26467407335480153</v>
      </c>
      <c r="O22" s="15">
        <v>0.18655348777609621</v>
      </c>
      <c r="P22" s="15">
        <v>-0.26467407335480153</v>
      </c>
      <c r="Q22" s="15">
        <v>0.18655348777609621</v>
      </c>
    </row>
    <row r="23" spans="9:17" ht="15.75" thickBot="1" x14ac:dyDescent="0.3">
      <c r="I23" s="21" t="s">
        <v>3</v>
      </c>
      <c r="J23" s="21">
        <v>1.4788507747374527E-4</v>
      </c>
      <c r="K23" s="21">
        <v>5.5514438523497091E-4</v>
      </c>
      <c r="L23" s="21">
        <v>0.266390296663365</v>
      </c>
      <c r="M23" s="21">
        <v>0.80057529153072149</v>
      </c>
      <c r="N23" s="21">
        <v>-1.27915899536676E-3</v>
      </c>
      <c r="O23" s="21">
        <v>1.5749291503142505E-3</v>
      </c>
      <c r="P23" s="21">
        <v>-1.27915899536676E-3</v>
      </c>
      <c r="Q23" s="21">
        <v>1.5749291503142505E-3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36</v>
      </c>
      <c r="J5" s="15">
        <v>0.59562046164846694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37</v>
      </c>
      <c r="J6" s="15">
        <v>0.35476373433433284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37</v>
      </c>
      <c r="J7" s="15">
        <v>-0.36142527819820086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38</v>
      </c>
      <c r="J8" s="15">
        <v>7.0284218534479734E-2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1.3580197746008476E-2</v>
      </c>
      <c r="L13" s="15">
        <v>2.7160395492016954E-3</v>
      </c>
      <c r="M13" s="15">
        <v>0.54981989266882847</v>
      </c>
      <c r="N13" s="15">
        <v>0.73721099263130141</v>
      </c>
    </row>
    <row r="14" spans="1:14" x14ac:dyDescent="0.25">
      <c r="I14" s="15" t="s">
        <v>42</v>
      </c>
      <c r="J14" s="15">
        <v>5</v>
      </c>
      <c r="K14" s="15">
        <v>2.4699356875012523E-2</v>
      </c>
      <c r="L14" s="15">
        <v>4.9398713750025049E-3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-0.38065620763920854</v>
      </c>
      <c r="K19" s="15">
        <v>0.55081880440007935</v>
      </c>
      <c r="L19" s="15">
        <v>-0.69107337040498773</v>
      </c>
      <c r="M19" s="15">
        <v>0.52028610625255134</v>
      </c>
      <c r="N19" s="15">
        <v>-1.796581020956965</v>
      </c>
      <c r="O19" s="15">
        <v>1.0352686056785478</v>
      </c>
      <c r="P19" s="15">
        <v>-1.796581020956965</v>
      </c>
      <c r="Q19" s="15">
        <v>1.0352686056785478</v>
      </c>
    </row>
    <row r="20" spans="9:17" x14ac:dyDescent="0.25">
      <c r="I20" s="15" t="s">
        <v>95</v>
      </c>
      <c r="J20" s="15">
        <v>4.6793603675323724E-2</v>
      </c>
      <c r="K20" s="15">
        <v>0.56097256212788071</v>
      </c>
      <c r="L20" s="15">
        <v>8.3415137984336099E-2</v>
      </c>
      <c r="M20" s="15">
        <v>0.93675809520033626</v>
      </c>
      <c r="N20" s="15">
        <v>-1.3952322748209707</v>
      </c>
      <c r="O20" s="15">
        <v>1.4888194821716183</v>
      </c>
      <c r="P20" s="15">
        <v>-1.3952322748209707</v>
      </c>
      <c r="Q20" s="15">
        <v>1.4888194821716183</v>
      </c>
    </row>
    <row r="21" spans="9:17" x14ac:dyDescent="0.25">
      <c r="I21" s="15" t="s">
        <v>28</v>
      </c>
      <c r="J21" s="15">
        <v>1.4816777246981707</v>
      </c>
      <c r="K21" s="15">
        <v>1.3898069029664746</v>
      </c>
      <c r="L21" s="15">
        <v>1.0661032993400754</v>
      </c>
      <c r="M21" s="15">
        <v>0.33512662250349662</v>
      </c>
      <c r="N21" s="15">
        <v>-2.0909346551094115</v>
      </c>
      <c r="O21" s="15">
        <v>5.0542901045057533</v>
      </c>
      <c r="P21" s="15">
        <v>-2.0909346551094115</v>
      </c>
      <c r="Q21" s="15">
        <v>5.0542901045057533</v>
      </c>
    </row>
    <row r="22" spans="9:17" x14ac:dyDescent="0.25">
      <c r="I22" s="15" t="s">
        <v>74</v>
      </c>
      <c r="J22" s="15">
        <v>-5.2964659525831639E-2</v>
      </c>
      <c r="K22" s="15">
        <v>9.2586306562881457E-2</v>
      </c>
      <c r="L22" s="15">
        <v>-0.57205715933662238</v>
      </c>
      <c r="M22" s="15">
        <v>0.5920413555164723</v>
      </c>
      <c r="N22" s="15">
        <v>-0.29096533740503006</v>
      </c>
      <c r="O22" s="15">
        <v>0.1850360183533668</v>
      </c>
      <c r="P22" s="15">
        <v>-0.29096533740503006</v>
      </c>
      <c r="Q22" s="15">
        <v>0.1850360183533668</v>
      </c>
    </row>
    <row r="23" spans="9:17" ht="15.75" thickBot="1" x14ac:dyDescent="0.3">
      <c r="I23" s="21" t="s">
        <v>3</v>
      </c>
      <c r="J23" s="21">
        <v>1.4183396200153213E-4</v>
      </c>
      <c r="K23" s="21">
        <v>5.8140102866278195E-4</v>
      </c>
      <c r="L23" s="21">
        <v>0.24395203140205857</v>
      </c>
      <c r="M23" s="21">
        <v>0.81696179218935705</v>
      </c>
      <c r="N23" s="21">
        <v>-1.3527049614992838E-3</v>
      </c>
      <c r="O23" s="21">
        <v>1.636372885502348E-3</v>
      </c>
      <c r="P23" s="21">
        <v>-1.3527049614992838E-3</v>
      </c>
      <c r="Q23" s="21">
        <v>1.636372885502348E-3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9.8889802631578996E-2</v>
      </c>
      <c r="C2" s="13">
        <f>'ALL VARS'!G2</f>
        <v>9.9667774086379564E-3</v>
      </c>
      <c r="D2" s="13">
        <f>'ALL VARS'!H2</f>
        <v>-2.1535960991466929E-2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34</v>
      </c>
    </row>
    <row r="3" spans="1:14" ht="15.75" thickBot="1" x14ac:dyDescent="0.3">
      <c r="A3" s="17">
        <f>'ALL VARS'!A3</f>
        <v>43910</v>
      </c>
      <c r="B3" s="13">
        <f>'ALL VARS'!F3</f>
        <v>9.9667774086379564E-3</v>
      </c>
      <c r="C3" s="13">
        <f>'ALL VARS'!G3</f>
        <v>-2.1535960991466929E-2</v>
      </c>
      <c r="D3" s="13">
        <f>'ALL VARS'!H3</f>
        <v>2.8846153846153751E-2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-2.1535960991466929E-2</v>
      </c>
      <c r="C4" s="13">
        <f>'ALL VARS'!G4</f>
        <v>2.8846153846153751E-2</v>
      </c>
      <c r="D4" s="13">
        <f>'ALL VARS'!H4</f>
        <v>-3.7327698963678373E-2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35</v>
      </c>
      <c r="J4" s="20"/>
    </row>
    <row r="5" spans="1:14" x14ac:dyDescent="0.25">
      <c r="A5" s="17">
        <f>'ALL VARS'!A5</f>
        <v>43908</v>
      </c>
      <c r="B5" s="13">
        <f>'ALL VARS'!F5</f>
        <v>2.8846153846153751E-2</v>
      </c>
      <c r="C5" s="13">
        <f>'ALL VARS'!G5</f>
        <v>-3.7327698963678373E-2</v>
      </c>
      <c r="D5" s="13">
        <f>'ALL VARS'!H5</f>
        <v>3.2301620274200242E-2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36</v>
      </c>
      <c r="J5" s="15">
        <v>0.7128162721858754</v>
      </c>
    </row>
    <row r="6" spans="1:14" x14ac:dyDescent="0.25">
      <c r="A6" s="17">
        <f>'ALL VARS'!A6</f>
        <v>43907</v>
      </c>
      <c r="B6" s="13">
        <f>'ALL VARS'!F6</f>
        <v>-3.7327698963678373E-2</v>
      </c>
      <c r="C6" s="13">
        <f>'ALL VARS'!G6</f>
        <v>3.2301620274200242E-2</v>
      </c>
      <c r="D6" s="13">
        <f>'ALL VARS'!H6</f>
        <v>-0.11507352941176467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37</v>
      </c>
      <c r="J6" s="15">
        <v>0.50810703789296796</v>
      </c>
    </row>
    <row r="7" spans="1:14" x14ac:dyDescent="0.25">
      <c r="A7" s="17">
        <f>'ALL VARS'!A7</f>
        <v>43906</v>
      </c>
      <c r="B7" s="13">
        <f>'ALL VARS'!F7</f>
        <v>3.2301620274200242E-2</v>
      </c>
      <c r="C7" s="13">
        <f>'ALL VARS'!G7</f>
        <v>-0.11507352941176467</v>
      </c>
      <c r="D7" s="13">
        <f>'ALL VARS'!H7</f>
        <v>4.6455708377416548E-2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37</v>
      </c>
      <c r="J7" s="15">
        <v>-8.540733179265772E-2</v>
      </c>
    </row>
    <row r="8" spans="1:14" x14ac:dyDescent="0.25">
      <c r="A8" s="17">
        <f>'ALL VARS'!A8</f>
        <v>43903</v>
      </c>
      <c r="B8" s="13">
        <f>'ALL VARS'!F8</f>
        <v>-0.11507352941176467</v>
      </c>
      <c r="C8" s="13">
        <f>'ALL VARS'!G8</f>
        <v>4.6455708377416548E-2</v>
      </c>
      <c r="D8" s="13">
        <f>'ALL VARS'!H8</f>
        <v>-8.7822424986839842E-2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38</v>
      </c>
      <c r="J8" s="15">
        <v>6.1366837152768347E-2</v>
      </c>
    </row>
    <row r="9" spans="1:14" ht="15.75" thickBot="1" x14ac:dyDescent="0.3">
      <c r="A9" s="17">
        <f>'ALL VARS'!A9</f>
        <v>43902</v>
      </c>
      <c r="B9" s="13">
        <f>'ALL VARS'!F9</f>
        <v>4.6455708377416548E-2</v>
      </c>
      <c r="C9" s="13">
        <f>'ALL VARS'!G9</f>
        <v>-8.7822424986839842E-2</v>
      </c>
      <c r="D9" s="13">
        <f>'ALL VARS'!H9</f>
        <v>-3.9440418001011231E-2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39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-8.7822424986839842E-2</v>
      </c>
      <c r="C10" s="13">
        <f>'ALL VARS'!G10</f>
        <v>-3.9440418001011231E-2</v>
      </c>
      <c r="D10" s="13">
        <f>'ALL VARS'!H10</f>
        <v>5.4849319939550202E-2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-3.9440418001011231E-2</v>
      </c>
      <c r="C11" s="13">
        <f>'ALL VARS'!G11</f>
        <v>5.4849319939550202E-2</v>
      </c>
      <c r="D11" s="13">
        <f>'ALL VARS'!H11</f>
        <v>-6.9561621174524482E-2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40</v>
      </c>
    </row>
    <row r="12" spans="1:14" x14ac:dyDescent="0.25">
      <c r="I12" s="22"/>
      <c r="J12" s="22" t="s">
        <v>45</v>
      </c>
      <c r="K12" s="22" t="s">
        <v>46</v>
      </c>
      <c r="L12" s="22" t="s">
        <v>47</v>
      </c>
      <c r="M12" s="22" t="s">
        <v>48</v>
      </c>
      <c r="N12" s="22" t="s">
        <v>49</v>
      </c>
    </row>
    <row r="13" spans="1:14" x14ac:dyDescent="0.25">
      <c r="I13" s="15" t="s">
        <v>41</v>
      </c>
      <c r="J13" s="15">
        <v>5</v>
      </c>
      <c r="K13" s="15">
        <v>1.9450111110349052E-2</v>
      </c>
      <c r="L13" s="15">
        <v>3.8900222220698104E-3</v>
      </c>
      <c r="M13" s="15">
        <v>1.0329626098256877</v>
      </c>
      <c r="N13" s="15">
        <v>0.50145029234088412</v>
      </c>
    </row>
    <row r="14" spans="1:14" x14ac:dyDescent="0.25">
      <c r="I14" s="15" t="s">
        <v>42</v>
      </c>
      <c r="J14" s="15">
        <v>5</v>
      </c>
      <c r="K14" s="15">
        <v>1.8829443510671947E-2</v>
      </c>
      <c r="L14" s="15">
        <v>3.7658887021343895E-3</v>
      </c>
    </row>
    <row r="15" spans="1:14" ht="15.75" thickBot="1" x14ac:dyDescent="0.3">
      <c r="I15" s="21" t="s">
        <v>43</v>
      </c>
      <c r="J15" s="21">
        <v>10</v>
      </c>
      <c r="K15" s="21">
        <v>3.8279554621020999E-2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50</v>
      </c>
      <c r="K17" s="22" t="s">
        <v>38</v>
      </c>
      <c r="L17" s="22" t="s">
        <v>51</v>
      </c>
      <c r="M17" s="22" t="s">
        <v>52</v>
      </c>
      <c r="N17" s="22" t="s">
        <v>53</v>
      </c>
      <c r="O17" s="22" t="s">
        <v>54</v>
      </c>
      <c r="P17" s="22" t="s">
        <v>96</v>
      </c>
      <c r="Q17" s="22" t="s">
        <v>97</v>
      </c>
    </row>
    <row r="18" spans="9:17" x14ac:dyDescent="0.25">
      <c r="I18" s="15" t="s">
        <v>44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94</v>
      </c>
      <c r="J19" s="15">
        <v>-0.31798736862072047</v>
      </c>
      <c r="K19" s="15">
        <v>0.47865225520631188</v>
      </c>
      <c r="L19" s="15">
        <v>-0.66433901681641394</v>
      </c>
      <c r="M19" s="15">
        <v>0.53587916952892234</v>
      </c>
      <c r="N19" s="15">
        <v>-1.5484021614404235</v>
      </c>
      <c r="O19" s="15">
        <v>0.91242742419898271</v>
      </c>
      <c r="P19" s="15">
        <v>-1.5484021614404235</v>
      </c>
      <c r="Q19" s="15">
        <v>0.91242742419898271</v>
      </c>
    </row>
    <row r="20" spans="9:17" x14ac:dyDescent="0.25">
      <c r="I20" s="15" t="s">
        <v>95</v>
      </c>
      <c r="J20" s="15">
        <v>-0.1065792203362777</v>
      </c>
      <c r="K20" s="15">
        <v>0.49431176525424181</v>
      </c>
      <c r="L20" s="15">
        <v>-0.2156113364638616</v>
      </c>
      <c r="M20" s="15">
        <v>0.83781017237203481</v>
      </c>
      <c r="N20" s="15">
        <v>-1.3772480652401538</v>
      </c>
      <c r="O20" s="15">
        <v>1.1640896245675985</v>
      </c>
      <c r="P20" s="15">
        <v>-1.3772480652401538</v>
      </c>
      <c r="Q20" s="15">
        <v>1.1640896245675985</v>
      </c>
    </row>
    <row r="21" spans="9:17" x14ac:dyDescent="0.25">
      <c r="I21" s="15" t="s">
        <v>29</v>
      </c>
      <c r="J21" s="15">
        <v>3.6498026814568627</v>
      </c>
      <c r="K21" s="15">
        <v>2.1119744749622007</v>
      </c>
      <c r="L21" s="15">
        <v>1.7281471555295125</v>
      </c>
      <c r="M21" s="15">
        <v>0.14453620681180826</v>
      </c>
      <c r="N21" s="15">
        <v>-1.7792005412085139</v>
      </c>
      <c r="O21" s="15">
        <v>9.0788059041222393</v>
      </c>
      <c r="P21" s="15">
        <v>-1.7792005412085139</v>
      </c>
      <c r="Q21" s="15">
        <v>9.0788059041222393</v>
      </c>
    </row>
    <row r="22" spans="9:17" x14ac:dyDescent="0.25">
      <c r="I22" s="15" t="s">
        <v>59</v>
      </c>
      <c r="J22" s="15">
        <v>-0.13012472737096969</v>
      </c>
      <c r="K22" s="15">
        <v>0.15760722439821775</v>
      </c>
      <c r="L22" s="15">
        <v>-0.8256266669742911</v>
      </c>
      <c r="M22" s="15">
        <v>0.44660610784258059</v>
      </c>
      <c r="N22" s="15">
        <v>-0.53526699557408497</v>
      </c>
      <c r="O22" s="15">
        <v>0.27501754083214552</v>
      </c>
      <c r="P22" s="15">
        <v>-0.53526699557408497</v>
      </c>
      <c r="Q22" s="15">
        <v>0.27501754083214552</v>
      </c>
    </row>
    <row r="23" spans="9:17" ht="15.75" thickBot="1" x14ac:dyDescent="0.3">
      <c r="I23" s="21" t="s">
        <v>3</v>
      </c>
      <c r="J23" s="21">
        <v>2.1189710121038204E-4</v>
      </c>
      <c r="K23" s="21">
        <v>4.9486024724415664E-4</v>
      </c>
      <c r="L23" s="21">
        <v>0.4281958439588201</v>
      </c>
      <c r="M23" s="21">
        <v>0.68632659351237812</v>
      </c>
      <c r="N23" s="21">
        <v>-1.0601816615339427E-3</v>
      </c>
      <c r="O23" s="21">
        <v>1.4839758639547068E-3</v>
      </c>
      <c r="P23" s="21">
        <v>-1.0601816615339427E-3</v>
      </c>
      <c r="Q23" s="21">
        <v>1.4839758639547068E-3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75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77</v>
      </c>
      <c r="C4" s="3" t="s">
        <v>78</v>
      </c>
      <c r="D4" s="3" t="s">
        <v>79</v>
      </c>
      <c r="E4" s="4" t="s">
        <v>90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76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89</v>
      </c>
      <c r="B6" s="4" t="str">
        <f>IF('Eq4 avec Sent__t_+_1_k, k=0'!M21&lt;0.1,'Eq4 avec Sent__t_+_1_k, k=0'!J21,"-")</f>
        <v>-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80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81</v>
      </c>
      <c r="B8" s="4" t="str">
        <f>IF('Eq4 avec Sent__t_+_1_k, k=2'!M21&lt;0.1,'Eq4 avec Sent__t_+_1_k, k=2'!J21,"-")</f>
        <v>-</v>
      </c>
      <c r="C8" s="4">
        <f>IF('Eq4 avec Sent__t_+_1_k, k=2'!M22&lt;0.1,'Eq4 avec Sent__t_+_1_k, k=2'!J22,"-")</f>
        <v>-0.53002519441440776</v>
      </c>
      <c r="D8" s="4">
        <f>IF('Eq7 avec Sent__t_k, k=2'!M21&lt;0.1,'Eq7 avec Sent__t_k, k=2'!J21,"-")</f>
        <v>3.9225975355025184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82</v>
      </c>
      <c r="B9" s="4" t="str">
        <f>IF('Eq4 avec Sent__t_+_1_k, k=3'!M21&lt;0.1,'Eq4 avec Sent__t_+_1_k, k=3'!J21,"-")</f>
        <v>-</v>
      </c>
      <c r="C9" s="4" t="str">
        <f>IF('Eq4 avec Sent__t_+_1_k, k=3'!M22&lt;0.1,'Eq4 avec Sent__t_+_1_k, k=3'!J22,"-")</f>
        <v>-</v>
      </c>
      <c r="D9" s="4">
        <f>IF('Eq7 avec Sent__t_k, k=3'!M21&lt;0.1,'Eq7 avec Sent__t_k, k=3'!J21,"-")</f>
        <v>2.805117554186964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83</v>
      </c>
      <c r="B10" s="4" t="str">
        <f>IF('Eq4 avec Sent__t_+_1_k, k=4'!M21&lt;0.1,'Eq4 avec Sent__t_+_1_k, k=4'!J21,"-")</f>
        <v>-</v>
      </c>
      <c r="C10" s="4" t="str">
        <f>IF('Eq4 avec Sent__t_+_1_k, k=4'!M22&lt;0.1,'Eq4 avec Sent__t_+_1_k, k=4'!J22,"-")</f>
        <v>-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84</v>
      </c>
      <c r="B11" s="4">
        <f>IF('Eq4 avec Sent__t_+_1_k, k=5'!M21&lt;0.1,'Eq4 avec Sent__t_+_1_k, k=5'!J21,"-")</f>
        <v>9.7240120942459072</v>
      </c>
      <c r="C11" s="4">
        <f>IF('Eq4 avec Sent__t_+_1_k, k=5'!M22&lt;0.1,'Eq4 avec Sent__t_+_1_k, k=5'!J22,"-")</f>
        <v>-1.3349656236040794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85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86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87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88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