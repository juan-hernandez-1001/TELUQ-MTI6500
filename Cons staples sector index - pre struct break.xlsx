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AB2CE5D8-EA9A-4F95-9728-92F0E1061866}" xr6:coauthVersionLast="47" xr6:coauthVersionMax="47" xr10:uidLastSave="{00000000-0000-0000-0000-000000000000}"/>
  <bookViews>
    <workbookView xWindow="-120" yWindow="-120" windowWidth="20730" windowHeight="11160" tabRatio="847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I15" i="112" s="1"/>
  <c r="G13" i="112"/>
  <c r="I13" i="112" s="1"/>
  <c r="G12" i="112"/>
  <c r="H12" i="112" s="1"/>
  <c r="G11" i="112"/>
  <c r="H11" i="112" s="1"/>
  <c r="G10" i="112"/>
  <c r="I10" i="112" s="1"/>
  <c r="G9" i="112"/>
  <c r="H9" i="112" s="1"/>
  <c r="G8" i="112"/>
  <c r="I8" i="112" s="1"/>
  <c r="G7" i="112"/>
  <c r="H7" i="112" s="1"/>
  <c r="G6" i="112"/>
  <c r="I6" i="112" s="1"/>
  <c r="G5" i="112"/>
  <c r="H5" i="112" s="1"/>
  <c r="I14" i="112" l="1"/>
  <c r="J14" i="112" s="1"/>
  <c r="H15" i="112"/>
  <c r="J15" i="112" s="1"/>
  <c r="H13" i="112"/>
  <c r="J13" i="112" s="1"/>
  <c r="I12" i="112"/>
  <c r="J12" i="112" s="1"/>
  <c r="I11" i="112"/>
  <c r="J11" i="112" s="1"/>
  <c r="H10" i="112"/>
  <c r="J10" i="112" s="1"/>
  <c r="I9" i="112"/>
  <c r="J9" i="112" s="1"/>
  <c r="H8" i="112"/>
  <c r="J8" i="112" s="1"/>
  <c r="I7" i="112"/>
  <c r="J7" i="112" s="1"/>
  <c r="H6" i="112"/>
  <c r="J6" i="112" s="1"/>
  <c r="I5" i="112"/>
  <c r="J5" i="112" s="1"/>
  <c r="B16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B13" i="42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<sst xmlns="http://schemas.openxmlformats.org/spreadsheetml/2006/main" count="768" uniqueCount="106">
  <si>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</si>
  <si>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</si>
  <si>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</si>
  <si>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</si>
  <si>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</si>
  <si>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</si>
  <si>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</si>
  <si>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</si>
  <si>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</si>
  <si>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</si>
  <si>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</si>
  <si>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</si>
  <si>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</si>
  <si>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</si>
  <si>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</si>
  <si>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</si>
  <si>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</si>
  <si>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</si>
  <si>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</si>
  <si>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</si>
  <si>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</si>
  <si>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</si>
  <si>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</si>
  <si>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</si>
  <si>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</si>
  <si>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</si>
  <si>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</si>
  <si>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</si>
  <si>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</si>
  <si>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</si>
  <si>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</si>
  <si>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</si>
  <si>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</si>
  <si>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</si>
  <si>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</si>
  <si>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</si>
  <si>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</si>
  <si>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</si>
  <si>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</si>
  <si>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</si>
  <si>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</si>
  <si>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</si>
  <si>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</si>
  <si>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</si>
  <si>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</si>
  <si>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</si>
  <si>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</si>
  <si>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</si>
  <si>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</si>
  <si>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</si>
  <si>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</si>
  <si>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</si>
  <si>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</si>
  <si>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</si>
  <si>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</si>
  <si>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</si>
  <si>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</si>
  <si>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</si>
  <si>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</si>
  <si>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</si>
  <si>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</si>
  <si>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</si>
  <si>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</si>
  <si>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</si>
  <si>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</si>
  <si>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</si>
  <si>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</si>
  <si>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</si>
  <si>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</si>
  <si>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</si>
  <si>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</si>
  <si>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</si>
  <si>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</si>
  <si>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</si>
  <si>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</si>
  <si>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</si>
  <si>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</si>
  <si>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</si>
  <si>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</si>
  <si>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</si>
  <si>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</si>
  <si>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</si>
  <si>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</si>
  <si>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</si>
  <si>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</si>
  <si>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</si>
  <si>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</si>
  <si>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</si>
  <si>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</si>
  <si>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</si>
  <si>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</si>
  <si>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</si>
  <si>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</si>
  <si>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</si>
  <si>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</si>
  <si>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</si>
  <si>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</si>
  <si>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</si>
  <si>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c3 ou d3 null?</t>
  </si>
  <si>
    <t>Overreaction + -</t>
  </si>
  <si>
    <t>Overreaction -+</t>
  </si>
  <si>
    <t>Overreaction</t>
  </si>
  <si>
    <t>Overreaction =</t>
  </si>
  <si>
    <t>Max</t>
  </si>
  <si>
    <t>Min</t>
  </si>
  <si>
    <t>S&amp;P/TSX Consumer Staples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</si>
</sst>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790418721024358"/>
          <c:h val="0.76429553962953001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510.51</c:v>
                </c:pt>
                <c:pt idx="1">
                  <c:v>558.58000000000004</c:v>
                </c:pt>
                <c:pt idx="2">
                  <c:v>558.64</c:v>
                </c:pt>
                <c:pt idx="3">
                  <c:v>551.22</c:v>
                </c:pt>
                <c:pt idx="4">
                  <c:v>560.74</c:v>
                </c:pt>
                <c:pt idx="5">
                  <c:v>544.33000000000004</c:v>
                </c:pt>
                <c:pt idx="6">
                  <c:v>583.58000000000004</c:v>
                </c:pt>
                <c:pt idx="7">
                  <c:v>528.13</c:v>
                </c:pt>
                <c:pt idx="8">
                  <c:v>591.4</c:v>
                </c:pt>
                <c:pt idx="9">
                  <c:v>610.57000000000005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  <c:minorUnit val="1"/>
      </c:valAx>
      <c:valAx>
        <c:axId val="119367040"/>
        <c:scaling>
          <c:orientation val="minMax"/>
          <c:min val="5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>
        <row r="1">
          <cell r="C1" t="str">
            <v>Date_2</v>
          </cell>
        </row>
        <row r="123">
          <cell r="G123">
            <v>599.36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510.51</v>
      </c>
      <c r="C2" s="13">
        <v>-8.6057502953918952E-2</v>
      </c>
      <c r="D2" s="14">
        <v>9.646422257646918E-2</v>
      </c>
      <c r="F2" s="13">
        <v>7.4846721905545505E-2</v>
      </c>
      <c r="G2" s="13">
        <v>-8.6057502953918952E-2</v>
      </c>
      <c r="H2" s="13">
        <v>-1.0740369468699955E-4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558.58000000000004</v>
      </c>
      <c r="C3" s="13">
        <v>-1.0740369468699955E-4</v>
      </c>
      <c r="D3" s="14">
        <v>-0.26341802316407364</v>
      </c>
      <c r="F3" s="13">
        <v>-8.6057502953918952E-2</v>
      </c>
      <c r="G3" s="13">
        <v>-1.0740369468699955E-4</v>
      </c>
      <c r="H3" s="13">
        <v>1.3461050034468921E-2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558.64</v>
      </c>
      <c r="C4" s="13">
        <v>1.3461050034468921E-2</v>
      </c>
      <c r="D4" s="14">
        <v>-1.0060927661305124E-2</v>
      </c>
      <c r="F4" s="13">
        <v>-1.0740369468699955E-4</v>
      </c>
      <c r="G4" s="13">
        <v>1.3461050034468921E-2</v>
      </c>
      <c r="H4" s="13">
        <v>-1.6977565360059888E-2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551.22</v>
      </c>
      <c r="C5" s="13">
        <v>-1.6977565360059888E-2</v>
      </c>
      <c r="D5" s="14">
        <v>-0.20595118422061204</v>
      </c>
      <c r="F5" s="13">
        <v>1.3461050034468921E-2</v>
      </c>
      <c r="G5" s="13">
        <v>-1.6977565360059888E-2</v>
      </c>
      <c r="H5" s="13">
        <v>3.0147153381220891E-2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560.74</v>
      </c>
      <c r="C6" s="13">
        <v>3.0147153381220891E-2</v>
      </c>
      <c r="D6" s="14">
        <v>-0.11883065734918301</v>
      </c>
      <c r="F6" s="13">
        <v>-1.6977565360059888E-2</v>
      </c>
      <c r="G6" s="13">
        <v>3.0147153381220891E-2</v>
      </c>
      <c r="H6" s="13">
        <v>-6.7257274066965966E-2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544.33000000000004</v>
      </c>
      <c r="C7" s="13">
        <v>-6.7257274066965966E-2</v>
      </c>
      <c r="D7" s="14">
        <v>3.1907220238021443E-2</v>
      </c>
      <c r="F7" s="13">
        <v>3.0147153381220891E-2</v>
      </c>
      <c r="G7" s="13">
        <v>-6.7257274066965966E-2</v>
      </c>
      <c r="H7" s="13">
        <v>0.1049930888228278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583.58000000000004</v>
      </c>
      <c r="C8" s="13">
        <v>0.1049930888228278</v>
      </c>
      <c r="D8" s="14">
        <v>-0.35427594827488063</v>
      </c>
      <c r="F8" s="13">
        <v>-6.7257274066965966E-2</v>
      </c>
      <c r="G8" s="13">
        <v>0.1049930888228278</v>
      </c>
      <c r="H8" s="13">
        <v>-0.1069834291511667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528.13</v>
      </c>
      <c r="C9" s="13">
        <v>-0.1069834291511667</v>
      </c>
      <c r="D9" s="14">
        <v>-6.778317345306277E-2</v>
      </c>
      <c r="F9" s="13">
        <v>0.1049930888228278</v>
      </c>
      <c r="G9" s="13">
        <v>-0.1069834291511667</v>
      </c>
      <c r="H9" s="13">
        <v>-3.1396891429320263E-2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591.4</v>
      </c>
      <c r="C10" s="13">
        <v>-3.1396891429320263E-2</v>
      </c>
      <c r="D10" s="14">
        <v>-5.6557500781491396E-2</v>
      </c>
      <c r="F10" s="13">
        <v>-0.1069834291511667</v>
      </c>
      <c r="G10" s="13">
        <v>-3.1396891429320263E-2</v>
      </c>
      <c r="H10" s="13">
        <v>1.8703283502402624E-2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610.57000000000005</v>
      </c>
      <c r="C11" s="13">
        <v>1.8703283502402624E-2</v>
      </c>
      <c r="D11" s="14">
        <v>4.3987865692802837E-2</v>
      </c>
      <c r="F11" s="13">
        <v>-3.1396891429320263E-2</v>
      </c>
      <c r="G11" s="13">
        <v>1.8703283502402624E-2</v>
      </c>
      <c r="H11" s="13">
        <v>-5.6898288016112741E-2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workbookViewId="0">
      <selection activeCell="B13" sqref="B13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510.51</v>
      </c>
    </row>
    <row r="3" spans="1:2" x14ac:dyDescent="0.25">
      <c r="A3" s="17">
        <f>'ALL VARS'!A3</f>
        <v>43910</v>
      </c>
      <c r="B3" s="18">
        <f>'ALL VARS'!B3</f>
        <v>558.58000000000004</v>
      </c>
    </row>
    <row r="4" spans="1:2" x14ac:dyDescent="0.25">
      <c r="A4" s="17">
        <f>'ALL VARS'!A4</f>
        <v>43909</v>
      </c>
      <c r="B4" s="18">
        <f>'ALL VARS'!B4</f>
        <v>558.64</v>
      </c>
    </row>
    <row r="5" spans="1:2" x14ac:dyDescent="0.25">
      <c r="A5" s="17">
        <f>'ALL VARS'!A5</f>
        <v>43908</v>
      </c>
      <c r="B5" s="18">
        <f>'ALL VARS'!B5</f>
        <v>551.22</v>
      </c>
    </row>
    <row r="6" spans="1:2" x14ac:dyDescent="0.25">
      <c r="A6" s="17">
        <f>'ALL VARS'!A6</f>
        <v>43907</v>
      </c>
      <c r="B6" s="18">
        <f>'ALL VARS'!B6</f>
        <v>560.74</v>
      </c>
    </row>
    <row r="7" spans="1:2" x14ac:dyDescent="0.25">
      <c r="A7" s="17">
        <f>'ALL VARS'!A7</f>
        <v>43906</v>
      </c>
      <c r="B7" s="18">
        <f>'ALL VARS'!B7</f>
        <v>544.33000000000004</v>
      </c>
    </row>
    <row r="8" spans="1:2" x14ac:dyDescent="0.25">
      <c r="A8" s="17">
        <f>'ALL VARS'!A8</f>
        <v>43903</v>
      </c>
      <c r="B8" s="18">
        <f>'ALL VARS'!B8</f>
        <v>583.58000000000004</v>
      </c>
    </row>
    <row r="9" spans="1:2" x14ac:dyDescent="0.25">
      <c r="A9" s="17">
        <f>'ALL VARS'!A9</f>
        <v>43902</v>
      </c>
      <c r="B9" s="18">
        <f>'ALL VARS'!B9</f>
        <v>528.13</v>
      </c>
    </row>
    <row r="10" spans="1:2" x14ac:dyDescent="0.25">
      <c r="A10" s="17">
        <f>'ALL VARS'!A10</f>
        <v>43901</v>
      </c>
      <c r="B10" s="18">
        <f>'ALL VARS'!B10</f>
        <v>591.4</v>
      </c>
    </row>
    <row r="11" spans="1:2" x14ac:dyDescent="0.25">
      <c r="A11" s="17">
        <f>'ALL VARS'!A11</f>
        <v>43900</v>
      </c>
      <c r="B11" s="18">
        <f>'ALL VARS'!B11</f>
        <v>610.57000000000005</v>
      </c>
    </row>
    <row r="13" spans="1:2" x14ac:dyDescent="0.25">
      <c r="B13" s="19">
        <f>(B2-'[1]SPTSX Cons Staples_ret'!$G$123)/'[1]SPTSX Cons Staples_ret'!$G$123</f>
        <v>-0.14824145755472506</v>
      </c>
    </row>
    <row r="20" spans="4:8" x14ac:dyDescent="0.25">
      <c r="D20" s="17" t="s">
        <v>103</v>
      </c>
      <c r="E20" s="18">
        <f>MAX(B2:B11)</f>
        <v>610.57000000000005</v>
      </c>
      <c r="G20" s="19"/>
      <c r="H20" s="19"/>
    </row>
    <row r="21" spans="4:8" x14ac:dyDescent="0.25">
      <c r="D21" s="17" t="s">
        <v>31</v>
      </c>
      <c r="E21" s="18">
        <f>QUARTILE(B2:B11, 3)</f>
        <v>577.87</v>
      </c>
    </row>
    <row r="22" spans="4:8" x14ac:dyDescent="0.25">
      <c r="D22" s="17" t="s">
        <v>32</v>
      </c>
      <c r="E22" s="18">
        <f>MEDIAN(B2:B11)</f>
        <v>558.61</v>
      </c>
    </row>
    <row r="23" spans="4:8" x14ac:dyDescent="0.25">
      <c r="D23" s="17" t="s">
        <v>33</v>
      </c>
      <c r="E23" s="18">
        <f>QUARTILE(B2:B11, 1)</f>
        <v>546.05250000000001</v>
      </c>
    </row>
    <row r="24" spans="4:8" x14ac:dyDescent="0.25">
      <c r="D24" s="17" t="s">
        <v>104</v>
      </c>
      <c r="E24" s="18">
        <f>MIN(B2:B11)</f>
        <v>510.51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0.81069663086147525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0.65722902729014709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0.18301224912226477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5.3891247085361797E-2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2.7843201538566731E-2</v>
      </c>
      <c r="L13" s="15">
        <v>5.5686403077133458E-3</v>
      </c>
      <c r="M13" s="15">
        <v>1.917399895604565</v>
      </c>
      <c r="N13" s="15">
        <v>0.27398264689435448</v>
      </c>
    </row>
    <row r="14" spans="1:14" x14ac:dyDescent="0.25">
      <c r="I14" s="15" t="s">
        <v>63</v>
      </c>
      <c r="J14" s="15">
        <v>5</v>
      </c>
      <c r="K14" s="15">
        <v>1.4521332562077584E-2</v>
      </c>
      <c r="L14" s="15">
        <v>2.9042665124155167E-3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-0.95315262590150562</v>
      </c>
      <c r="K19" s="15">
        <v>0.532394498202166</v>
      </c>
      <c r="L19" s="15">
        <v>-1.7903126894064283</v>
      </c>
      <c r="M19" s="15">
        <v>0.13341127447004517</v>
      </c>
      <c r="N19" s="15">
        <v>-2.3217162523727044</v>
      </c>
      <c r="O19" s="15">
        <v>0.41541100056969305</v>
      </c>
      <c r="P19" s="15">
        <v>-2.3217162523727044</v>
      </c>
      <c r="Q19" s="15">
        <v>0.41541100056969305</v>
      </c>
    </row>
    <row r="20" spans="9:17" x14ac:dyDescent="0.25">
      <c r="I20" s="15" t="s">
        <v>54</v>
      </c>
      <c r="J20" s="15">
        <v>-0.37373280030953243</v>
      </c>
      <c r="K20" s="15">
        <v>0.47474779553767904</v>
      </c>
      <c r="L20" s="15">
        <v>-0.78722387722992726</v>
      </c>
      <c r="M20" s="15">
        <v>0.46680906132134331</v>
      </c>
      <c r="N20" s="15">
        <v>-1.5941108600270733</v>
      </c>
      <c r="O20" s="15">
        <v>0.8466452594080085</v>
      </c>
      <c r="P20" s="15">
        <v>-1.5941108600270733</v>
      </c>
      <c r="Q20" s="15">
        <v>0.8466452594080085</v>
      </c>
    </row>
    <row r="21" spans="9:17" x14ac:dyDescent="0.25">
      <c r="I21" s="15" t="s">
        <v>5</v>
      </c>
      <c r="J21" s="15">
        <v>-3.8854705041686199E-2</v>
      </c>
      <c r="K21" s="15">
        <v>0.19736784765621027</v>
      </c>
      <c r="L21" s="15">
        <v>-0.19686441081004319</v>
      </c>
      <c r="M21" s="15">
        <v>0.85168572680455656</v>
      </c>
      <c r="N21" s="15">
        <v>-0.54620490916537578</v>
      </c>
      <c r="O21" s="15">
        <v>0.46849549908200339</v>
      </c>
      <c r="P21" s="15">
        <v>-0.54620490916537578</v>
      </c>
      <c r="Q21" s="15">
        <v>0.46849549908200339</v>
      </c>
    </row>
    <row r="22" spans="9:17" x14ac:dyDescent="0.25">
      <c r="I22" s="15" t="s">
        <v>18</v>
      </c>
      <c r="J22" s="15">
        <v>-1.2567479516916108E-2</v>
      </c>
      <c r="K22" s="15">
        <v>1.2825289643424741E-2</v>
      </c>
      <c r="L22" s="15">
        <v>-0.97989829986874366</v>
      </c>
      <c r="M22" s="15">
        <v>0.37213830321349067</v>
      </c>
      <c r="N22" s="15">
        <v>-4.5535936111078298E-2</v>
      </c>
      <c r="O22" s="15">
        <v>2.0400977077246085E-2</v>
      </c>
      <c r="P22" s="15">
        <v>-4.5535936111078298E-2</v>
      </c>
      <c r="Q22" s="15">
        <v>2.0400977077246085E-2</v>
      </c>
    </row>
    <row r="23" spans="9:17" ht="15.75" thickBot="1" x14ac:dyDescent="0.3">
      <c r="I23" s="21" t="s">
        <v>3</v>
      </c>
      <c r="J23" s="21">
        <v>-6.6514888708167099E-4</v>
      </c>
      <c r="K23" s="21">
        <v>4.1029782387946195E-4</v>
      </c>
      <c r="L23" s="21">
        <v>-1.621136765465955</v>
      </c>
      <c r="M23" s="21">
        <v>0.16591461879106006</v>
      </c>
      <c r="N23" s="21">
        <v>-1.7198530203473236E-3</v>
      </c>
      <c r="O23" s="21">
        <v>3.8955524618398171E-4</v>
      </c>
      <c r="P23" s="21">
        <v>-1.7198530203473236E-3</v>
      </c>
      <c r="Q23" s="21">
        <v>3.8955524618398171E-4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0.89043089704119538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0.79286718240558784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0.42716092833005809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4.1892923780373729E-2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3.3589448786303301E-2</v>
      </c>
      <c r="L13" s="15">
        <v>6.7178897572606599E-3</v>
      </c>
      <c r="M13" s="15">
        <v>3.8278201958228806</v>
      </c>
      <c r="N13" s="15">
        <v>0.10888886149777531</v>
      </c>
    </row>
    <row r="14" spans="1:14" x14ac:dyDescent="0.25">
      <c r="I14" s="15" t="s">
        <v>63</v>
      </c>
      <c r="J14" s="15">
        <v>5</v>
      </c>
      <c r="K14" s="15">
        <v>8.7750853143410135E-3</v>
      </c>
      <c r="L14" s="15">
        <v>1.7550170628682026E-3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-0.97042954803333537</v>
      </c>
      <c r="K19" s="15">
        <v>0.29115706395136803</v>
      </c>
      <c r="L19" s="15">
        <v>-3.3330104887835597</v>
      </c>
      <c r="M19" s="15">
        <v>2.0710496272687898E-2</v>
      </c>
      <c r="N19" s="15">
        <v>-1.7188726079439229</v>
      </c>
      <c r="O19" s="15">
        <v>-0.22198648812274779</v>
      </c>
      <c r="P19" s="15">
        <v>-1.7188726079439229</v>
      </c>
      <c r="Q19" s="15">
        <v>-0.22198648812274779</v>
      </c>
    </row>
    <row r="20" spans="9:17" x14ac:dyDescent="0.25">
      <c r="I20" s="15" t="s">
        <v>54</v>
      </c>
      <c r="J20" s="15">
        <v>-0.45247364113263921</v>
      </c>
      <c r="K20" s="15">
        <v>0.3259930317054146</v>
      </c>
      <c r="L20" s="15">
        <v>-1.3879856227771135</v>
      </c>
      <c r="M20" s="15">
        <v>0.22381028198111094</v>
      </c>
      <c r="N20" s="15">
        <v>-1.2904654069785915</v>
      </c>
      <c r="O20" s="15">
        <v>0.38551812471331293</v>
      </c>
      <c r="P20" s="15">
        <v>-1.2904654069785915</v>
      </c>
      <c r="Q20" s="15">
        <v>0.38551812471331293</v>
      </c>
    </row>
    <row r="21" spans="9:17" x14ac:dyDescent="0.25">
      <c r="I21" s="15" t="s">
        <v>8</v>
      </c>
      <c r="J21" s="15">
        <v>3.8247024609026608</v>
      </c>
      <c r="K21" s="15">
        <v>2.1270981665198661</v>
      </c>
      <c r="L21" s="15">
        <v>1.798084602348295</v>
      </c>
      <c r="M21" s="15">
        <v>0.13208289250898378</v>
      </c>
      <c r="N21" s="15">
        <v>-1.643177448568617</v>
      </c>
      <c r="O21" s="15">
        <v>9.292582370373939</v>
      </c>
      <c r="P21" s="15">
        <v>-1.643177448568617</v>
      </c>
      <c r="Q21" s="15">
        <v>9.292582370373939</v>
      </c>
    </row>
    <row r="22" spans="9:17" x14ac:dyDescent="0.25">
      <c r="I22" s="15" t="s">
        <v>78</v>
      </c>
      <c r="J22" s="15">
        <v>-0.45064736220735585</v>
      </c>
      <c r="K22" s="15">
        <v>0.18498972786634199</v>
      </c>
      <c r="L22" s="15">
        <v>-2.4360669503387546</v>
      </c>
      <c r="M22" s="15">
        <v>5.8938467403810611E-2</v>
      </c>
      <c r="N22" s="15">
        <v>-0.92617859643987965</v>
      </c>
      <c r="O22" s="15">
        <v>2.4883872025167952E-2</v>
      </c>
      <c r="P22" s="15">
        <v>-0.92617859643987965</v>
      </c>
      <c r="Q22" s="15">
        <v>2.4883872025167952E-2</v>
      </c>
    </row>
    <row r="23" spans="9:17" ht="15.75" thickBot="1" x14ac:dyDescent="0.3">
      <c r="I23" s="21" t="s">
        <v>3</v>
      </c>
      <c r="J23" s="21">
        <v>-1.6364926366963203E-4</v>
      </c>
      <c r="K23" s="21">
        <v>3.1870471098833608E-4</v>
      </c>
      <c r="L23" s="21">
        <v>-0.51348241186061805</v>
      </c>
      <c r="M23" s="21">
        <v>0.62949085523340498</v>
      </c>
      <c r="N23" s="21">
        <v>-9.8290580466797034E-4</v>
      </c>
      <c r="O23" s="21">
        <v>6.5560727732870622E-4</v>
      </c>
      <c r="P23" s="21">
        <v>-9.8290580466797034E-4</v>
      </c>
      <c r="Q23" s="21">
        <v>6.5560727732870622E-4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0.83539775697520913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0.69788941235921054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0.25620094224657902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5.0594019987097123E-2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2.9565759808370399E-2</v>
      </c>
      <c r="L13" s="15">
        <v>5.9131519616740799E-3</v>
      </c>
      <c r="M13" s="15">
        <v>2.3100461913933441</v>
      </c>
      <c r="N13" s="15">
        <v>0.21874547039964964</v>
      </c>
    </row>
    <row r="14" spans="1:14" x14ac:dyDescent="0.25">
      <c r="I14" s="15" t="s">
        <v>63</v>
      </c>
      <c r="J14" s="15">
        <v>5</v>
      </c>
      <c r="K14" s="15">
        <v>1.2798774292273916E-2</v>
      </c>
      <c r="L14" s="15">
        <v>2.559754858454783E-3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-0.52661093649087398</v>
      </c>
      <c r="K19" s="15">
        <v>0.56523135804272573</v>
      </c>
      <c r="L19" s="15">
        <v>-0.9316732502499756</v>
      </c>
      <c r="M19" s="15">
        <v>0.39427011577557769</v>
      </c>
      <c r="N19" s="15">
        <v>-1.9795843984075512</v>
      </c>
      <c r="O19" s="15">
        <v>0.92636252542580322</v>
      </c>
      <c r="P19" s="15">
        <v>-1.9795843984075512</v>
      </c>
      <c r="Q19" s="15">
        <v>0.92636252542580322</v>
      </c>
    </row>
    <row r="20" spans="9:17" x14ac:dyDescent="0.25">
      <c r="I20" s="15" t="s">
        <v>54</v>
      </c>
      <c r="J20" s="15">
        <v>-0.10921482619877372</v>
      </c>
      <c r="K20" s="15">
        <v>0.4713124692820051</v>
      </c>
      <c r="L20" s="15">
        <v>-0.23172488172263087</v>
      </c>
      <c r="M20" s="15">
        <v>0.82593667610412413</v>
      </c>
      <c r="N20" s="15">
        <v>-1.3207620986439947</v>
      </c>
      <c r="O20" s="15">
        <v>1.1023324462464472</v>
      </c>
      <c r="P20" s="15">
        <v>-1.3207620986439947</v>
      </c>
      <c r="Q20" s="15">
        <v>1.1023324462464472</v>
      </c>
    </row>
    <row r="21" spans="9:17" x14ac:dyDescent="0.25">
      <c r="I21" s="15" t="s">
        <v>9</v>
      </c>
      <c r="J21" s="15">
        <v>-2.4645836583845449</v>
      </c>
      <c r="K21" s="15">
        <v>2.2204278594705329</v>
      </c>
      <c r="L21" s="15">
        <v>-1.1099588972785774</v>
      </c>
      <c r="M21" s="15">
        <v>0.31752518724938361</v>
      </c>
      <c r="N21" s="15">
        <v>-8.1723751812803211</v>
      </c>
      <c r="O21" s="15">
        <v>3.243207864511231</v>
      </c>
      <c r="P21" s="15">
        <v>-8.1723751812803211</v>
      </c>
      <c r="Q21" s="15">
        <v>3.243207864511231</v>
      </c>
    </row>
    <row r="22" spans="9:17" x14ac:dyDescent="0.25">
      <c r="I22" s="15" t="s">
        <v>79</v>
      </c>
      <c r="J22" s="15">
        <v>-0.23512033501437801</v>
      </c>
      <c r="K22" s="15">
        <v>0.19160203819116392</v>
      </c>
      <c r="L22" s="15">
        <v>-1.2271285693724996</v>
      </c>
      <c r="M22" s="15">
        <v>0.27439711101079045</v>
      </c>
      <c r="N22" s="15">
        <v>-0.72764905405947955</v>
      </c>
      <c r="O22" s="15">
        <v>0.25740838403072347</v>
      </c>
      <c r="P22" s="15">
        <v>-0.72764905405947955</v>
      </c>
      <c r="Q22" s="15">
        <v>0.25740838403072347</v>
      </c>
    </row>
    <row r="23" spans="9:17" ht="15.75" thickBot="1" x14ac:dyDescent="0.3">
      <c r="I23" s="21" t="s">
        <v>3</v>
      </c>
      <c r="J23" s="21">
        <v>-4.7190979918206721E-4</v>
      </c>
      <c r="K23" s="21">
        <v>3.4009673331089277E-4</v>
      </c>
      <c r="L23" s="21">
        <v>-1.3875752189324326</v>
      </c>
      <c r="M23" s="21">
        <v>0.22392751505447309</v>
      </c>
      <c r="N23" s="21">
        <v>-1.3461562841902963E-3</v>
      </c>
      <c r="O23" s="21">
        <v>4.0233668582616186E-4</v>
      </c>
      <c r="P23" s="21">
        <v>-1.3461562841902963E-3</v>
      </c>
      <c r="Q23" s="21">
        <v>4.0233668582616186E-4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0.86210538831408468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0.74322570056017867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0.33780626100832156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4.664359241050664E-2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3.1486410535856948E-2</v>
      </c>
      <c r="L13" s="15">
        <v>6.2972821071713894E-3</v>
      </c>
      <c r="M13" s="15">
        <v>2.894470755763328</v>
      </c>
      <c r="N13" s="15">
        <v>0.1625797357204937</v>
      </c>
    </row>
    <row r="14" spans="1:14" x14ac:dyDescent="0.25">
      <c r="I14" s="15" t="s">
        <v>63</v>
      </c>
      <c r="J14" s="15">
        <v>5</v>
      </c>
      <c r="K14" s="15">
        <v>1.0878123564787363E-2</v>
      </c>
      <c r="L14" s="15">
        <v>2.1756247129574727E-3</v>
      </c>
    </row>
    <row r="15" spans="1:14" ht="15.75" thickBot="1" x14ac:dyDescent="0.3">
      <c r="I15" s="21" t="s">
        <v>64</v>
      </c>
      <c r="J15" s="21">
        <v>10</v>
      </c>
      <c r="K15" s="21">
        <v>4.2364534100644308E-2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-0.46420964276362697</v>
      </c>
      <c r="K19" s="15">
        <v>0.6646712472098979</v>
      </c>
      <c r="L19" s="15">
        <v>-0.69840488017534663</v>
      </c>
      <c r="M19" s="15">
        <v>0.51606435692675334</v>
      </c>
      <c r="N19" s="15">
        <v>-2.1728014775111251</v>
      </c>
      <c r="O19" s="15">
        <v>1.2443821919838713</v>
      </c>
      <c r="P19" s="15">
        <v>-2.1728014775111251</v>
      </c>
      <c r="Q19" s="15">
        <v>1.2443821919838713</v>
      </c>
    </row>
    <row r="20" spans="9:17" x14ac:dyDescent="0.25">
      <c r="I20" s="15" t="s">
        <v>54</v>
      </c>
      <c r="J20" s="15">
        <v>-0.37712289339406491</v>
      </c>
      <c r="K20" s="15">
        <v>0.38354069129866297</v>
      </c>
      <c r="L20" s="15">
        <v>-0.98326696997164109</v>
      </c>
      <c r="M20" s="15">
        <v>0.37063090581461366</v>
      </c>
      <c r="N20" s="15">
        <v>-1.3630456276738032</v>
      </c>
      <c r="O20" s="15">
        <v>0.6087998408856734</v>
      </c>
      <c r="P20" s="15">
        <v>-1.3630456276738032</v>
      </c>
      <c r="Q20" s="15">
        <v>0.6087998408856734</v>
      </c>
    </row>
    <row r="21" spans="9:17" x14ac:dyDescent="0.25">
      <c r="I21" s="15" t="s">
        <v>10</v>
      </c>
      <c r="J21" s="15">
        <v>-3.1932310282607506</v>
      </c>
      <c r="K21" s="15">
        <v>3.0870050214064881</v>
      </c>
      <c r="L21" s="15">
        <v>-1.0344107010249903</v>
      </c>
      <c r="M21" s="15">
        <v>0.34835787871656637</v>
      </c>
      <c r="N21" s="15">
        <v>-11.128630062806362</v>
      </c>
      <c r="O21" s="15">
        <v>4.7421680062848619</v>
      </c>
      <c r="P21" s="15">
        <v>-11.128630062806362</v>
      </c>
      <c r="Q21" s="15">
        <v>4.7421680062848619</v>
      </c>
    </row>
    <row r="22" spans="9:17" x14ac:dyDescent="0.25">
      <c r="I22" s="15" t="s">
        <v>80</v>
      </c>
      <c r="J22" s="15">
        <v>-0.508434225025439</v>
      </c>
      <c r="K22" s="15">
        <v>0.26081231690301743</v>
      </c>
      <c r="L22" s="15">
        <v>-1.9494256677091646</v>
      </c>
      <c r="M22" s="15">
        <v>0.10875009999394024</v>
      </c>
      <c r="N22" s="15">
        <v>-1.1788736293665578</v>
      </c>
      <c r="O22" s="15">
        <v>0.16200517931567981</v>
      </c>
      <c r="P22" s="15">
        <v>-1.1788736293665578</v>
      </c>
      <c r="Q22" s="15">
        <v>0.16200517931567981</v>
      </c>
    </row>
    <row r="23" spans="9:17" ht="15.75" thickBot="1" x14ac:dyDescent="0.3">
      <c r="I23" s="21" t="s">
        <v>3</v>
      </c>
      <c r="J23" s="21">
        <v>-9.2935441563531183E-4</v>
      </c>
      <c r="K23" s="21">
        <v>4.4038762748310637E-4</v>
      </c>
      <c r="L23" s="21">
        <v>-2.1103100033639404</v>
      </c>
      <c r="M23" s="21">
        <v>8.8587060159520489E-2</v>
      </c>
      <c r="N23" s="21">
        <v>-2.0614068514823568E-3</v>
      </c>
      <c r="O23" s="21">
        <v>2.026980202117334E-4</v>
      </c>
      <c r="P23" s="21">
        <v>-2.0614068514823568E-3</v>
      </c>
      <c r="Q23" s="21">
        <v>2.026980202117334E-4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0.87102537022682913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0.75868519557878467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0.36563335204181246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4.5217671901354874E-2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3.2141344839751423E-2</v>
      </c>
      <c r="L13" s="15">
        <v>6.428268967950285E-3</v>
      </c>
      <c r="M13" s="15">
        <v>3.1439645710857369</v>
      </c>
      <c r="N13" s="15">
        <v>0.14492383028184222</v>
      </c>
    </row>
    <row r="14" spans="1:14" x14ac:dyDescent="0.25">
      <c r="I14" s="15" t="s">
        <v>63</v>
      </c>
      <c r="J14" s="15">
        <v>5</v>
      </c>
      <c r="K14" s="15">
        <v>1.0223189260892889E-2</v>
      </c>
      <c r="L14" s="15">
        <v>2.0446378521785779E-3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0.19081314988897227</v>
      </c>
      <c r="K19" s="15">
        <v>0.77728470665118621</v>
      </c>
      <c r="L19" s="15">
        <v>0.24548681873732203</v>
      </c>
      <c r="M19" s="15">
        <v>0.81583744763893995</v>
      </c>
      <c r="N19" s="15">
        <v>-1.8072607981464686</v>
      </c>
      <c r="O19" s="15">
        <v>2.1888870979244133</v>
      </c>
      <c r="P19" s="15">
        <v>-1.8072607981464686</v>
      </c>
      <c r="Q19" s="15">
        <v>2.1888870979244133</v>
      </c>
    </row>
    <row r="20" spans="9:17" x14ac:dyDescent="0.25">
      <c r="I20" s="15" t="s">
        <v>54</v>
      </c>
      <c r="J20" s="15">
        <v>0.27067142481520373</v>
      </c>
      <c r="K20" s="15">
        <v>0.56272573049543562</v>
      </c>
      <c r="L20" s="15">
        <v>0.4810006192126649</v>
      </c>
      <c r="M20" s="15">
        <v>0.65082647204320854</v>
      </c>
      <c r="N20" s="15">
        <v>-1.1758611164415393</v>
      </c>
      <c r="O20" s="15">
        <v>1.7172039660719469</v>
      </c>
      <c r="P20" s="15">
        <v>-1.1758611164415393</v>
      </c>
      <c r="Q20" s="15">
        <v>1.7172039660719469</v>
      </c>
    </row>
    <row r="21" spans="9:17" x14ac:dyDescent="0.25">
      <c r="I21" s="15" t="s">
        <v>11</v>
      </c>
      <c r="J21" s="15">
        <v>-5.2243424143384782</v>
      </c>
      <c r="K21" s="15">
        <v>2.9546386476728133</v>
      </c>
      <c r="L21" s="15">
        <v>-1.7681831984609593</v>
      </c>
      <c r="M21" s="15">
        <v>0.13726849973786012</v>
      </c>
      <c r="N21" s="15">
        <v>-12.819482852915257</v>
      </c>
      <c r="O21" s="15">
        <v>2.3707980242383018</v>
      </c>
      <c r="P21" s="15">
        <v>-12.819482852915257</v>
      </c>
      <c r="Q21" s="15">
        <v>2.3707980242383018</v>
      </c>
    </row>
    <row r="22" spans="9:17" x14ac:dyDescent="0.25">
      <c r="I22" s="15" t="s">
        <v>81</v>
      </c>
      <c r="J22" s="15">
        <v>-0.55685920556902713</v>
      </c>
      <c r="K22" s="15">
        <v>0.2624767235202255</v>
      </c>
      <c r="L22" s="15">
        <v>-2.121556525472696</v>
      </c>
      <c r="M22" s="15">
        <v>8.7333169608445463E-2</v>
      </c>
      <c r="N22" s="15">
        <v>-1.2315771033274538</v>
      </c>
      <c r="O22" s="15">
        <v>0.11785869218939971</v>
      </c>
      <c r="P22" s="15">
        <v>-1.2315771033274538</v>
      </c>
      <c r="Q22" s="15">
        <v>0.11785869218939971</v>
      </c>
    </row>
    <row r="23" spans="9:17" ht="15.75" thickBot="1" x14ac:dyDescent="0.3">
      <c r="I23" s="21" t="s">
        <v>3</v>
      </c>
      <c r="J23" s="21">
        <v>-9.9491966944946215E-4</v>
      </c>
      <c r="K23" s="21">
        <v>3.9583943789919877E-4</v>
      </c>
      <c r="L23" s="21">
        <v>-2.5134425077241045</v>
      </c>
      <c r="M23" s="21">
        <v>5.3602102990490834E-2</v>
      </c>
      <c r="N23" s="21">
        <v>-2.0124573383416317E-3</v>
      </c>
      <c r="O23" s="21">
        <v>2.2617999442707364E-5</v>
      </c>
      <c r="P23" s="21">
        <v>-2.0124573383416317E-3</v>
      </c>
      <c r="Q23" s="21">
        <v>2.2617999442707364E-5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0.83359153449098844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0.69487484637504071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0.25077472347507329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5.0845815905950262E-2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2.9438049124935389E-2</v>
      </c>
      <c r="L13" s="15">
        <v>5.887609824987078E-3</v>
      </c>
      <c r="M13" s="15">
        <v>2.2773437001825725</v>
      </c>
      <c r="N13" s="15">
        <v>0.22269403858096543</v>
      </c>
    </row>
    <row r="14" spans="1:14" x14ac:dyDescent="0.25">
      <c r="I14" s="15" t="s">
        <v>63</v>
      </c>
      <c r="J14" s="15">
        <v>5</v>
      </c>
      <c r="K14" s="15">
        <v>1.2926484975708925E-2</v>
      </c>
      <c r="L14" s="15">
        <v>2.5852969951417849E-3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-0.99787500559434739</v>
      </c>
      <c r="K19" s="15">
        <v>0.3463018224215697</v>
      </c>
      <c r="L19" s="15">
        <v>-2.8815182046012642</v>
      </c>
      <c r="M19" s="15">
        <v>3.4526830498057659E-2</v>
      </c>
      <c r="N19" s="15">
        <v>-1.8880721799589872</v>
      </c>
      <c r="O19" s="15">
        <v>-0.10767783122970753</v>
      </c>
      <c r="P19" s="15">
        <v>-1.8880721799589872</v>
      </c>
      <c r="Q19" s="15">
        <v>-0.10767783122970753</v>
      </c>
    </row>
    <row r="20" spans="9:17" x14ac:dyDescent="0.25">
      <c r="I20" s="15" t="s">
        <v>54</v>
      </c>
      <c r="J20" s="15">
        <v>-0.39652038693768626</v>
      </c>
      <c r="K20" s="15">
        <v>0.36762729952760914</v>
      </c>
      <c r="L20" s="15">
        <v>-1.0785934217812549</v>
      </c>
      <c r="M20" s="15">
        <v>0.33003060164841347</v>
      </c>
      <c r="N20" s="15">
        <v>-1.3415364453873893</v>
      </c>
      <c r="O20" s="15">
        <v>0.54849567151201661</v>
      </c>
      <c r="P20" s="15">
        <v>-1.3415364453873893</v>
      </c>
      <c r="Q20" s="15">
        <v>0.54849567151201661</v>
      </c>
    </row>
    <row r="21" spans="9:17" x14ac:dyDescent="0.25">
      <c r="I21" s="15" t="s">
        <v>12</v>
      </c>
      <c r="J21" s="15">
        <v>1.7259741171948753</v>
      </c>
      <c r="K21" s="15">
        <v>2.1765889034953623</v>
      </c>
      <c r="L21" s="15">
        <v>0.79297202812306489</v>
      </c>
      <c r="M21" s="15">
        <v>0.46374281530005307</v>
      </c>
      <c r="N21" s="15">
        <v>-3.8691257817778677</v>
      </c>
      <c r="O21" s="15">
        <v>7.3210740161676178</v>
      </c>
      <c r="P21" s="15">
        <v>-3.8691257817778677</v>
      </c>
      <c r="Q21" s="15">
        <v>7.3210740161676178</v>
      </c>
    </row>
    <row r="22" spans="9:17" x14ac:dyDescent="0.25">
      <c r="I22" s="15" t="s">
        <v>82</v>
      </c>
      <c r="J22" s="15">
        <v>-0.23783646618045956</v>
      </c>
      <c r="K22" s="15">
        <v>0.16805905334635693</v>
      </c>
      <c r="L22" s="15">
        <v>-1.4151957984096024</v>
      </c>
      <c r="M22" s="15">
        <v>0.21616562470579639</v>
      </c>
      <c r="N22" s="15">
        <v>-0.66984601602683913</v>
      </c>
      <c r="O22" s="15">
        <v>0.19417308366592001</v>
      </c>
      <c r="P22" s="15">
        <v>-0.66984601602683913</v>
      </c>
      <c r="Q22" s="15">
        <v>0.19417308366592001</v>
      </c>
    </row>
    <row r="23" spans="9:17" ht="15.75" thickBot="1" x14ac:dyDescent="0.3">
      <c r="I23" s="21" t="s">
        <v>3</v>
      </c>
      <c r="J23" s="21">
        <v>-5.1517895319933915E-4</v>
      </c>
      <c r="K23" s="21">
        <v>4.0769285592763863E-4</v>
      </c>
      <c r="L23" s="21">
        <v>-1.2636447897207652</v>
      </c>
      <c r="M23" s="21">
        <v>0.26207006454501131</v>
      </c>
      <c r="N23" s="21">
        <v>-1.5631868031656202E-3</v>
      </c>
      <c r="O23" s="21">
        <v>5.328288967669419E-4</v>
      </c>
      <c r="P23" s="21">
        <v>-1.5631868031656202E-3</v>
      </c>
      <c r="Q23" s="21">
        <v>5.328288967669419E-4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0.87936443598965697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0.77328181128340756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0.39190726031013357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4.3828781495999614E-2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3.2759723663523921E-2</v>
      </c>
      <c r="L13" s="15">
        <v>6.5519447327047845E-3</v>
      </c>
      <c r="M13" s="15">
        <v>3.410762125706833</v>
      </c>
      <c r="N13" s="15">
        <v>0.1290143545572042</v>
      </c>
    </row>
    <row r="14" spans="1:14" x14ac:dyDescent="0.25">
      <c r="I14" s="15" t="s">
        <v>63</v>
      </c>
      <c r="J14" s="15">
        <v>5</v>
      </c>
      <c r="K14" s="15">
        <v>9.604810437120392E-3</v>
      </c>
      <c r="L14" s="15">
        <v>1.9209620874240784E-3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-0.96220708463815396</v>
      </c>
      <c r="K19" s="15">
        <v>0.30677902221732378</v>
      </c>
      <c r="L19" s="15">
        <v>-3.1364826632654226</v>
      </c>
      <c r="M19" s="15">
        <v>2.5768319583879748E-2</v>
      </c>
      <c r="N19" s="15">
        <v>-1.750807666704276</v>
      </c>
      <c r="O19" s="15">
        <v>-0.17360650257203192</v>
      </c>
      <c r="P19" s="15">
        <v>-1.750807666704276</v>
      </c>
      <c r="Q19" s="15">
        <v>-0.17360650257203192</v>
      </c>
    </row>
    <row r="20" spans="9:17" x14ac:dyDescent="0.25">
      <c r="I20" s="15" t="s">
        <v>54</v>
      </c>
      <c r="J20" s="15">
        <v>-0.44281914827540875</v>
      </c>
      <c r="K20" s="15">
        <v>0.33793808846318335</v>
      </c>
      <c r="L20" s="15">
        <v>-1.3103558414773115</v>
      </c>
      <c r="M20" s="15">
        <v>0.24703807593649824</v>
      </c>
      <c r="N20" s="15">
        <v>-1.311516660048526</v>
      </c>
      <c r="O20" s="15">
        <v>0.42587836349770852</v>
      </c>
      <c r="P20" s="15">
        <v>-1.311516660048526</v>
      </c>
      <c r="Q20" s="15">
        <v>0.42587836349770852</v>
      </c>
    </row>
    <row r="21" spans="9:17" x14ac:dyDescent="0.25">
      <c r="I21" s="15" t="s">
        <v>13</v>
      </c>
      <c r="J21" s="15">
        <v>0.32521903190062806</v>
      </c>
      <c r="K21" s="15">
        <v>3.4271604847184114</v>
      </c>
      <c r="L21" s="15">
        <v>9.4894602499873679E-2</v>
      </c>
      <c r="M21" s="15">
        <v>0.92808422159451553</v>
      </c>
      <c r="N21" s="15">
        <v>-8.4845774579270685</v>
      </c>
      <c r="O21" s="15">
        <v>9.1350155217283255</v>
      </c>
      <c r="P21" s="15">
        <v>-8.4845774579270685</v>
      </c>
      <c r="Q21" s="15">
        <v>9.1350155217283255</v>
      </c>
    </row>
    <row r="22" spans="9:17" x14ac:dyDescent="0.25">
      <c r="I22" s="15" t="s">
        <v>83</v>
      </c>
      <c r="J22" s="15">
        <v>-0.77900714946145233</v>
      </c>
      <c r="K22" s="15">
        <v>0.34712882701581216</v>
      </c>
      <c r="L22" s="15">
        <v>-2.2441442163083956</v>
      </c>
      <c r="M22" s="15">
        <v>7.4824507282751723E-2</v>
      </c>
      <c r="N22" s="15">
        <v>-1.6713302068140397</v>
      </c>
      <c r="O22" s="15">
        <v>0.11331590789113499</v>
      </c>
      <c r="P22" s="15">
        <v>-1.6713302068140397</v>
      </c>
      <c r="Q22" s="15">
        <v>0.11331590789113499</v>
      </c>
    </row>
    <row r="23" spans="9:17" ht="15.75" thickBot="1" x14ac:dyDescent="0.3">
      <c r="I23" s="21" t="s">
        <v>3</v>
      </c>
      <c r="J23" s="21">
        <v>-7.3408075542568882E-4</v>
      </c>
      <c r="K23" s="21">
        <v>4.0045181400826018E-4</v>
      </c>
      <c r="L23" s="21">
        <v>-1.8331313025605294</v>
      </c>
      <c r="M23" s="21">
        <v>0.12625808058967444</v>
      </c>
      <c r="N23" s="21">
        <v>-1.7634749145629344E-3</v>
      </c>
      <c r="O23" s="21">
        <v>2.9531340371155676E-4</v>
      </c>
      <c r="P23" s="21">
        <v>-1.7634749145629344E-3</v>
      </c>
      <c r="Q23" s="21">
        <v>2.9531340371155676E-4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0.76839898920564664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0.59043700661225951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6.2786611902067163E-2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5.8908310788439507E-2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2.5013588700907422E-2</v>
      </c>
      <c r="L13" s="15">
        <v>5.0027177401814841E-3</v>
      </c>
      <c r="M13" s="15">
        <v>1.4416268465283006</v>
      </c>
      <c r="N13" s="15">
        <v>0.37238546181772192</v>
      </c>
    </row>
    <row r="14" spans="1:14" x14ac:dyDescent="0.25">
      <c r="I14" s="15" t="s">
        <v>63</v>
      </c>
      <c r="J14" s="15">
        <v>5</v>
      </c>
      <c r="K14" s="15">
        <v>1.7350945399736892E-2</v>
      </c>
      <c r="L14" s="15">
        <v>3.4701890799473784E-3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-1.0060684298479821</v>
      </c>
      <c r="K19" s="15">
        <v>0.5843308393678831</v>
      </c>
      <c r="L19" s="15">
        <v>-1.7217445359144929</v>
      </c>
      <c r="M19" s="15">
        <v>0.14573396463686503</v>
      </c>
      <c r="N19" s="15">
        <v>-2.508138671529184</v>
      </c>
      <c r="O19" s="15">
        <v>0.49600181183321967</v>
      </c>
      <c r="P19" s="15">
        <v>-2.508138671529184</v>
      </c>
      <c r="Q19" s="15">
        <v>0.49600181183321967</v>
      </c>
    </row>
    <row r="20" spans="9:17" x14ac:dyDescent="0.25">
      <c r="I20" s="15" t="s">
        <v>54</v>
      </c>
      <c r="J20" s="15">
        <v>-0.43364524781279379</v>
      </c>
      <c r="K20" s="15">
        <v>0.52612375598502137</v>
      </c>
      <c r="L20" s="15">
        <v>-0.82422670118917718</v>
      </c>
      <c r="M20" s="15">
        <v>0.44733092867725649</v>
      </c>
      <c r="N20" s="15">
        <v>-1.7860894182446425</v>
      </c>
      <c r="O20" s="15">
        <v>0.91879892261905505</v>
      </c>
      <c r="P20" s="15">
        <v>-1.7860894182446425</v>
      </c>
      <c r="Q20" s="15">
        <v>0.91879892261905505</v>
      </c>
    </row>
    <row r="21" spans="9:17" x14ac:dyDescent="0.25">
      <c r="I21" s="15" t="s">
        <v>14</v>
      </c>
      <c r="J21" s="15">
        <v>-0.175379222440571</v>
      </c>
      <c r="K21" s="15">
        <v>2.3780083764133466</v>
      </c>
      <c r="L21" s="15">
        <v>-7.3750464540031757E-2</v>
      </c>
      <c r="M21" s="15">
        <v>0.94406849109176472</v>
      </c>
      <c r="N21" s="15">
        <v>-6.2882443598397249</v>
      </c>
      <c r="O21" s="15">
        <v>5.9374859149585824</v>
      </c>
      <c r="P21" s="15">
        <v>-6.2882443598397249</v>
      </c>
      <c r="Q21" s="15">
        <v>5.9374859149585824</v>
      </c>
    </row>
    <row r="22" spans="9:17" x14ac:dyDescent="0.25">
      <c r="I22" s="15" t="s">
        <v>84</v>
      </c>
      <c r="J22" s="15">
        <v>-3.2016197297418579E-2</v>
      </c>
      <c r="K22" s="15">
        <v>0.15291755999266224</v>
      </c>
      <c r="L22" s="15">
        <v>-0.20936900444236017</v>
      </c>
      <c r="M22" s="15">
        <v>0.84242331803363968</v>
      </c>
      <c r="N22" s="15">
        <v>-0.42510329936438257</v>
      </c>
      <c r="O22" s="15">
        <v>0.36107090476954545</v>
      </c>
      <c r="P22" s="15">
        <v>-0.42510329936438257</v>
      </c>
      <c r="Q22" s="15">
        <v>0.36107090476954545</v>
      </c>
    </row>
    <row r="23" spans="9:17" ht="15.75" thickBot="1" x14ac:dyDescent="0.3">
      <c r="I23" s="21" t="s">
        <v>3</v>
      </c>
      <c r="J23" s="21">
        <v>-6.2683216578991849E-4</v>
      </c>
      <c r="K23" s="21">
        <v>4.4035432914363277E-4</v>
      </c>
      <c r="L23" s="21">
        <v>-1.4234722456548423</v>
      </c>
      <c r="M23" s="21">
        <v>0.21388986003895705</v>
      </c>
      <c r="N23" s="21">
        <v>-1.7587990055303562E-3</v>
      </c>
      <c r="O23" s="21">
        <v>5.0513467395051916E-4</v>
      </c>
      <c r="P23" s="21">
        <v>-1.7587990055303562E-3</v>
      </c>
      <c r="Q23" s="21">
        <v>5.0513467395051916E-4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0.80803853150852467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0.65292626840245305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0.17526728312441547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5.4228437074476242E-2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2.7660917162942167E-2</v>
      </c>
      <c r="L13" s="15">
        <v>5.5321834325884334E-3</v>
      </c>
      <c r="M13" s="15">
        <v>1.881232167577467</v>
      </c>
      <c r="N13" s="15">
        <v>0.28006100522948457</v>
      </c>
    </row>
    <row r="14" spans="1:14" x14ac:dyDescent="0.25">
      <c r="I14" s="15" t="s">
        <v>63</v>
      </c>
      <c r="J14" s="15">
        <v>5</v>
      </c>
      <c r="K14" s="15">
        <v>1.4703616937702146E-2</v>
      </c>
      <c r="L14" s="15">
        <v>2.9407233875404291E-3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-0.88979824365430371</v>
      </c>
      <c r="K19" s="15">
        <v>0.55718756553670989</v>
      </c>
      <c r="L19" s="15">
        <v>-1.5969456224264573</v>
      </c>
      <c r="M19" s="15">
        <v>0.17116739315353244</v>
      </c>
      <c r="N19" s="15">
        <v>-2.322094478665389</v>
      </c>
      <c r="O19" s="15">
        <v>0.54249799135678156</v>
      </c>
      <c r="P19" s="15">
        <v>-2.322094478665389</v>
      </c>
      <c r="Q19" s="15">
        <v>0.54249799135678156</v>
      </c>
    </row>
    <row r="20" spans="9:17" x14ac:dyDescent="0.25">
      <c r="I20" s="15" t="s">
        <v>54</v>
      </c>
      <c r="J20" s="15">
        <v>-0.30322259143183122</v>
      </c>
      <c r="K20" s="15">
        <v>0.50899127359787311</v>
      </c>
      <c r="L20" s="15">
        <v>-0.59573239692001334</v>
      </c>
      <c r="M20" s="15">
        <v>0.57729409952313948</v>
      </c>
      <c r="N20" s="15">
        <v>-1.6116263138399176</v>
      </c>
      <c r="O20" s="15">
        <v>1.0051811309762553</v>
      </c>
      <c r="P20" s="15">
        <v>-1.6116263138399176</v>
      </c>
      <c r="Q20" s="15">
        <v>1.0051811309762553</v>
      </c>
    </row>
    <row r="21" spans="9:17" x14ac:dyDescent="0.25">
      <c r="I21" s="15" t="s">
        <v>15</v>
      </c>
      <c r="J21" s="15">
        <v>-0.23458545144641449</v>
      </c>
      <c r="K21" s="15">
        <v>0.72100706940189019</v>
      </c>
      <c r="L21" s="15">
        <v>-0.32535804626855369</v>
      </c>
      <c r="M21" s="15">
        <v>0.7580839412264655</v>
      </c>
      <c r="N21" s="15">
        <v>-2.0879931274162851</v>
      </c>
      <c r="O21" s="15">
        <v>1.6188222245234563</v>
      </c>
      <c r="P21" s="15">
        <v>-2.0879931274162851</v>
      </c>
      <c r="Q21" s="15">
        <v>1.6188222245234563</v>
      </c>
    </row>
    <row r="22" spans="9:17" x14ac:dyDescent="0.25">
      <c r="I22" s="15" t="s">
        <v>85</v>
      </c>
      <c r="J22" s="15">
        <v>-6.5360056870591404E-2</v>
      </c>
      <c r="K22" s="15">
        <v>5.7660756301481153E-2</v>
      </c>
      <c r="L22" s="15">
        <v>-1.1335275681930741</v>
      </c>
      <c r="M22" s="15">
        <v>0.30839995244521007</v>
      </c>
      <c r="N22" s="15">
        <v>-0.21358174964823104</v>
      </c>
      <c r="O22" s="15">
        <v>8.2861635907048231E-2</v>
      </c>
      <c r="P22" s="15">
        <v>-0.21358174964823104</v>
      </c>
      <c r="Q22" s="15">
        <v>8.2861635907048231E-2</v>
      </c>
    </row>
    <row r="23" spans="9:17" ht="15.75" thickBot="1" x14ac:dyDescent="0.3">
      <c r="I23" s="21" t="s">
        <v>3</v>
      </c>
      <c r="J23" s="21">
        <v>-6.5998731993569849E-4</v>
      </c>
      <c r="K23" s="21">
        <v>4.0513670256541839E-4</v>
      </c>
      <c r="L23" s="21">
        <v>-1.629048456376595</v>
      </c>
      <c r="M23" s="21">
        <v>0.16423153100632004</v>
      </c>
      <c r="N23" s="21">
        <v>-1.7014243684999556E-3</v>
      </c>
      <c r="O23" s="21">
        <v>3.814497286285586E-4</v>
      </c>
      <c r="P23" s="21">
        <v>-1.7014243684999556E-3</v>
      </c>
      <c r="Q23" s="21">
        <v>3.814497286285586E-4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0.79739224367364181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0.63583439027088451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0.1445019024875922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5.5547648720087231E-2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2.693682770899327E-2</v>
      </c>
      <c r="L13" s="15">
        <v>5.3873655417986544E-3</v>
      </c>
      <c r="M13" s="15">
        <v>1.7460033931920418</v>
      </c>
      <c r="N13" s="15">
        <v>0.30459783159846499</v>
      </c>
    </row>
    <row r="14" spans="1:14" x14ac:dyDescent="0.25">
      <c r="I14" s="15" t="s">
        <v>63</v>
      </c>
      <c r="J14" s="15">
        <v>5</v>
      </c>
      <c r="K14" s="15">
        <v>1.5427706391651043E-2</v>
      </c>
      <c r="L14" s="15">
        <v>3.0855412783302085E-3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-0.98707902502871936</v>
      </c>
      <c r="K19" s="15">
        <v>0.52672650327049719</v>
      </c>
      <c r="L19" s="15">
        <v>-1.8739877695537392</v>
      </c>
      <c r="M19" s="15">
        <v>0.11979823046275968</v>
      </c>
      <c r="N19" s="15">
        <v>-2.3410726066840915</v>
      </c>
      <c r="O19" s="15">
        <v>0.36691455662665273</v>
      </c>
      <c r="P19" s="15">
        <v>-2.3410726066840915</v>
      </c>
      <c r="Q19" s="15">
        <v>0.36691455662665273</v>
      </c>
    </row>
    <row r="20" spans="9:17" x14ac:dyDescent="0.25">
      <c r="I20" s="15" t="s">
        <v>54</v>
      </c>
      <c r="J20" s="15">
        <v>-0.3926483108794398</v>
      </c>
      <c r="K20" s="15">
        <v>0.47027279602812588</v>
      </c>
      <c r="L20" s="15">
        <v>-0.83493732615559679</v>
      </c>
      <c r="M20" s="15">
        <v>0.4418080870767277</v>
      </c>
      <c r="N20" s="15">
        <v>-1.601523018143242</v>
      </c>
      <c r="O20" s="15">
        <v>0.81622639638436234</v>
      </c>
      <c r="P20" s="15">
        <v>-1.601523018143242</v>
      </c>
      <c r="Q20" s="15">
        <v>0.81622639638436234</v>
      </c>
    </row>
    <row r="21" spans="9:17" x14ac:dyDescent="0.25">
      <c r="I21" s="15" t="s">
        <v>16</v>
      </c>
      <c r="J21" s="15">
        <v>-0.12281203554764039</v>
      </c>
      <c r="K21" s="15">
        <v>1.3631219726099904</v>
      </c>
      <c r="L21" s="15">
        <v>-9.009614547734883E-2</v>
      </c>
      <c r="M21" s="15">
        <v>0.93170863342206123</v>
      </c>
      <c r="N21" s="15">
        <v>-3.6268286180956242</v>
      </c>
      <c r="O21" s="15">
        <v>3.3812045470003431</v>
      </c>
      <c r="P21" s="15">
        <v>-3.6268286180956242</v>
      </c>
      <c r="Q21" s="15">
        <v>3.3812045470003431</v>
      </c>
    </row>
    <row r="22" spans="9:17" x14ac:dyDescent="0.25">
      <c r="I22" s="15" t="s">
        <v>86</v>
      </c>
      <c r="J22" s="15">
        <v>-4.8967517856345885E-2</v>
      </c>
      <c r="K22" s="15">
        <v>8.7292984779074087E-2</v>
      </c>
      <c r="L22" s="15">
        <v>-0.56095593454932935</v>
      </c>
      <c r="M22" s="15">
        <v>0.59903463534131096</v>
      </c>
      <c r="N22" s="15">
        <v>-0.27336127890791106</v>
      </c>
      <c r="O22" s="15">
        <v>0.17542624319521927</v>
      </c>
      <c r="P22" s="15">
        <v>-0.27336127890791106</v>
      </c>
      <c r="Q22" s="15">
        <v>0.17542624319521927</v>
      </c>
    </row>
    <row r="23" spans="9:17" ht="15.75" thickBot="1" x14ac:dyDescent="0.3">
      <c r="I23" s="21" t="s">
        <v>3</v>
      </c>
      <c r="J23" s="21">
        <v>-6.2362090288155237E-4</v>
      </c>
      <c r="K23" s="21">
        <v>4.0652181653476761E-4</v>
      </c>
      <c r="L23" s="21">
        <v>-1.5340404315747651</v>
      </c>
      <c r="M23" s="21">
        <v>0.18560353718484249</v>
      </c>
      <c r="N23" s="21">
        <v>-1.6686185002557047E-3</v>
      </c>
      <c r="O23" s="21">
        <v>4.2137669449259993E-4</v>
      </c>
      <c r="P23" s="21">
        <v>-1.6686185002557047E-3</v>
      </c>
      <c r="Q23" s="21">
        <v>4.2137669449259993E-4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0.80367293110415727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0.64589018018954747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0.16260232434118543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5.4775354926705738E-2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2.7362836563911384E-2</v>
      </c>
      <c r="L13" s="15">
        <v>5.4725673127822769E-3</v>
      </c>
      <c r="M13" s="15">
        <v>1.8239826857534724</v>
      </c>
      <c r="N13" s="15">
        <v>0.29008786451961793</v>
      </c>
    </row>
    <row r="14" spans="1:14" x14ac:dyDescent="0.25">
      <c r="I14" s="15" t="s">
        <v>63</v>
      </c>
      <c r="J14" s="15">
        <v>5</v>
      </c>
      <c r="K14" s="15">
        <v>1.5001697536732932E-2</v>
      </c>
      <c r="L14" s="15">
        <v>3.0003395073465865E-3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-0.81445934206797566</v>
      </c>
      <c r="K19" s="15">
        <v>0.54636214650611259</v>
      </c>
      <c r="L19" s="15">
        <v>-1.4906950404165009</v>
      </c>
      <c r="M19" s="15">
        <v>0.19623436230872707</v>
      </c>
      <c r="N19" s="15">
        <v>-2.2189279515558558</v>
      </c>
      <c r="O19" s="15">
        <v>0.59000926741990456</v>
      </c>
      <c r="P19" s="15">
        <v>-2.2189279515558558</v>
      </c>
      <c r="Q19" s="15">
        <v>0.59000926741990456</v>
      </c>
    </row>
    <row r="20" spans="9:17" x14ac:dyDescent="0.25">
      <c r="I20" s="15" t="s">
        <v>54</v>
      </c>
      <c r="J20" s="15">
        <v>-0.29849124053177661</v>
      </c>
      <c r="K20" s="15">
        <v>0.47811342447733834</v>
      </c>
      <c r="L20" s="15">
        <v>-0.62431051974346841</v>
      </c>
      <c r="M20" s="15">
        <v>0.55980120848732529</v>
      </c>
      <c r="N20" s="15">
        <v>-1.5275209248670976</v>
      </c>
      <c r="O20" s="15">
        <v>0.93053844380354445</v>
      </c>
      <c r="P20" s="15">
        <v>-1.5275209248670976</v>
      </c>
      <c r="Q20" s="15">
        <v>0.93053844380354445</v>
      </c>
    </row>
    <row r="21" spans="9:17" x14ac:dyDescent="0.25">
      <c r="I21" s="15" t="s">
        <v>17</v>
      </c>
      <c r="J21" s="15">
        <v>-1.1716464699609863</v>
      </c>
      <c r="K21" s="15">
        <v>2.0814069841259988</v>
      </c>
      <c r="L21" s="15">
        <v>-0.56291079971222979</v>
      </c>
      <c r="M21" s="15">
        <v>0.59779956325846761</v>
      </c>
      <c r="N21" s="15">
        <v>-6.5220734559218432</v>
      </c>
      <c r="O21" s="15">
        <v>4.1787805159998701</v>
      </c>
      <c r="P21" s="15">
        <v>-6.5220734559218432</v>
      </c>
      <c r="Q21" s="15">
        <v>4.1787805159998701</v>
      </c>
    </row>
    <row r="22" spans="9:17" x14ac:dyDescent="0.25">
      <c r="I22" s="15" t="s">
        <v>87</v>
      </c>
      <c r="J22" s="15">
        <v>-6.5908657173070526E-2</v>
      </c>
      <c r="K22" s="15">
        <v>0.13848531129655794</v>
      </c>
      <c r="L22" s="15">
        <v>-0.47592525558130211</v>
      </c>
      <c r="M22" s="15">
        <v>0.65419548747096634</v>
      </c>
      <c r="N22" s="15">
        <v>-0.42189648289444298</v>
      </c>
      <c r="O22" s="15">
        <v>0.2900791685483019</v>
      </c>
      <c r="P22" s="15">
        <v>-0.42189648289444298</v>
      </c>
      <c r="Q22" s="15">
        <v>0.2900791685483019</v>
      </c>
    </row>
    <row r="23" spans="9:17" ht="15.75" thickBot="1" x14ac:dyDescent="0.3">
      <c r="I23" s="21" t="s">
        <v>3</v>
      </c>
      <c r="J23" s="21">
        <v>-6.3522090294639412E-4</v>
      </c>
      <c r="K23" s="21">
        <v>3.9064619145725334E-4</v>
      </c>
      <c r="L23" s="21">
        <v>-1.6260772966371118</v>
      </c>
      <c r="M23" s="21">
        <v>0.16486160675465247</v>
      </c>
      <c r="N23" s="21">
        <v>-1.6394089068669159E-3</v>
      </c>
      <c r="O23" s="21">
        <v>3.689671009741276E-4</v>
      </c>
      <c r="P23" s="21">
        <v>-1.6394089068669159E-3</v>
      </c>
      <c r="Q23" s="21">
        <v>3.689671009741276E-4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0.75427157805397305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0.56892561346003079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2.406610422805535E-2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6.0435528538247858E-2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2.4102268552157458E-2</v>
      </c>
      <c r="L13" s="15">
        <v>4.820453710431492E-3</v>
      </c>
      <c r="M13" s="15">
        <v>1.3197852417688936</v>
      </c>
      <c r="N13" s="15">
        <v>0.40555562497069958</v>
      </c>
    </row>
    <row r="14" spans="1:14" x14ac:dyDescent="0.25">
      <c r="I14" s="15" t="s">
        <v>63</v>
      </c>
      <c r="J14" s="15">
        <v>5</v>
      </c>
      <c r="K14" s="15">
        <v>1.8262265548486856E-2</v>
      </c>
      <c r="L14" s="15">
        <v>3.6524531096973714E-3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-0.84814591032276898</v>
      </c>
      <c r="K19" s="15">
        <v>0.49464576607008914</v>
      </c>
      <c r="L19" s="15">
        <v>-1.7146531285635029</v>
      </c>
      <c r="M19" s="15">
        <v>0.14707223723404819</v>
      </c>
      <c r="N19" s="15">
        <v>-2.11967333165695</v>
      </c>
      <c r="O19" s="15">
        <v>0.42338151101141197</v>
      </c>
      <c r="P19" s="15">
        <v>-2.11967333165695</v>
      </c>
      <c r="Q19" s="15">
        <v>0.42338151101141197</v>
      </c>
    </row>
    <row r="20" spans="9:17" x14ac:dyDescent="0.25">
      <c r="I20" s="15" t="s">
        <v>54</v>
      </c>
      <c r="J20" s="15">
        <v>-0.32923679247569176</v>
      </c>
      <c r="K20" s="15">
        <v>0.48428357360052737</v>
      </c>
      <c r="L20" s="15">
        <v>-0.67984298956889755</v>
      </c>
      <c r="M20" s="15">
        <v>0.52679849956728431</v>
      </c>
      <c r="N20" s="15">
        <v>-1.57412735007025</v>
      </c>
      <c r="O20" s="15">
        <v>0.91565376511886631</v>
      </c>
      <c r="P20" s="15">
        <v>-1.57412735007025</v>
      </c>
      <c r="Q20" s="15">
        <v>0.91565376511886631</v>
      </c>
    </row>
    <row r="21" spans="9:17" x14ac:dyDescent="0.25">
      <c r="I21" s="15" t="s">
        <v>19</v>
      </c>
      <c r="J21" s="15">
        <v>1.3316259711054882E-2</v>
      </c>
      <c r="K21" s="15">
        <v>0.22205080603900726</v>
      </c>
      <c r="L21" s="15">
        <v>5.9969427486408849E-2</v>
      </c>
      <c r="M21" s="15">
        <v>0.95450312794913561</v>
      </c>
      <c r="N21" s="15">
        <v>-0.55748350888121978</v>
      </c>
      <c r="O21" s="15">
        <v>0.58411602830332954</v>
      </c>
      <c r="P21" s="15">
        <v>-0.55748350888121978</v>
      </c>
      <c r="Q21" s="15">
        <v>0.58411602830332954</v>
      </c>
    </row>
    <row r="22" spans="9:17" x14ac:dyDescent="0.25">
      <c r="I22" s="15" t="s">
        <v>30</v>
      </c>
      <c r="J22" s="15">
        <v>6.7651755164420957E-3</v>
      </c>
      <c r="K22" s="15">
        <v>1.5840646393380429E-2</v>
      </c>
      <c r="L22" s="15">
        <v>0.42707698590312337</v>
      </c>
      <c r="M22" s="15">
        <v>0.68708926439005724</v>
      </c>
      <c r="N22" s="15">
        <v>-3.3954502367119541E-2</v>
      </c>
      <c r="O22" s="15">
        <v>4.7484853400003732E-2</v>
      </c>
      <c r="P22" s="15">
        <v>-3.3954502367119541E-2</v>
      </c>
      <c r="Q22" s="15">
        <v>4.7484853400003732E-2</v>
      </c>
    </row>
    <row r="23" spans="9:17" ht="15.75" thickBot="1" x14ac:dyDescent="0.3">
      <c r="I23" s="21" t="s">
        <v>3</v>
      </c>
      <c r="J23" s="21">
        <v>-3.087542016696879E-4</v>
      </c>
      <c r="K23" s="21">
        <v>5.6031508935415312E-4</v>
      </c>
      <c r="L23" s="21">
        <v>-0.55103674260418944</v>
      </c>
      <c r="M23" s="21">
        <v>0.60532503926156078</v>
      </c>
      <c r="N23" s="21">
        <v>-1.7490899925964127E-3</v>
      </c>
      <c r="O23" s="21">
        <v>1.1315815892570368E-3</v>
      </c>
      <c r="P23" s="21">
        <v>-1.7490899925964127E-3</v>
      </c>
      <c r="Q23" s="21">
        <v>1.1315815892570368E-3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0.74105741403369474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0.54916609089430679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-1.1501036390247776E-2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6.1805126835942858E-2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2.3265165584609393E-2</v>
      </c>
      <c r="L13" s="15">
        <v>4.6530331169218784E-3</v>
      </c>
      <c r="M13" s="15">
        <v>1.2181117697727579</v>
      </c>
      <c r="N13" s="15">
        <v>0.43645109726305831</v>
      </c>
    </row>
    <row r="14" spans="1:14" x14ac:dyDescent="0.25">
      <c r="I14" s="15" t="s">
        <v>63</v>
      </c>
      <c r="J14" s="15">
        <v>5</v>
      </c>
      <c r="K14" s="15">
        <v>1.9099368516034922E-2</v>
      </c>
      <c r="L14" s="15">
        <v>3.8198737032069845E-3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-1.0744176326326338</v>
      </c>
      <c r="K19" s="15">
        <v>0.51029272217340416</v>
      </c>
      <c r="L19" s="15">
        <v>-2.1054927612068366</v>
      </c>
      <c r="M19" s="15">
        <v>8.9129946435735366E-2</v>
      </c>
      <c r="N19" s="15">
        <v>-2.3861668351089951</v>
      </c>
      <c r="O19" s="15">
        <v>0.2373315698437275</v>
      </c>
      <c r="P19" s="15">
        <v>-2.3861668351089951</v>
      </c>
      <c r="Q19" s="15">
        <v>0.2373315698437275</v>
      </c>
    </row>
    <row r="20" spans="9:17" x14ac:dyDescent="0.25">
      <c r="I20" s="15" t="s">
        <v>54</v>
      </c>
      <c r="J20" s="15">
        <v>-0.48197024094844731</v>
      </c>
      <c r="K20" s="15">
        <v>0.48339340013806875</v>
      </c>
      <c r="L20" s="15">
        <v>-0.99705589859270949</v>
      </c>
      <c r="M20" s="15">
        <v>0.36451289159647465</v>
      </c>
      <c r="N20" s="15">
        <v>-1.7245725348098437</v>
      </c>
      <c r="O20" s="15">
        <v>0.76063205291294922</v>
      </c>
      <c r="P20" s="15">
        <v>-1.7245725348098437</v>
      </c>
      <c r="Q20" s="15">
        <v>0.76063205291294922</v>
      </c>
    </row>
    <row r="21" spans="9:17" x14ac:dyDescent="0.25">
      <c r="I21" s="15" t="s">
        <v>20</v>
      </c>
      <c r="J21" s="15">
        <v>0.98050586493641534</v>
      </c>
      <c r="K21" s="15">
        <v>3.6090435828800116</v>
      </c>
      <c r="L21" s="15">
        <v>0.27168025057596368</v>
      </c>
      <c r="M21" s="15">
        <v>0.79672857764732941</v>
      </c>
      <c r="N21" s="15">
        <v>-8.2968360132347492</v>
      </c>
      <c r="O21" s="15">
        <v>10.257847743107579</v>
      </c>
      <c r="P21" s="15">
        <v>-8.2968360132347492</v>
      </c>
      <c r="Q21" s="15">
        <v>10.257847743107579</v>
      </c>
    </row>
    <row r="22" spans="9:17" x14ac:dyDescent="0.25">
      <c r="I22" s="15" t="s">
        <v>88</v>
      </c>
      <c r="J22" s="15">
        <v>-9.2915783471904934E-2</v>
      </c>
      <c r="K22" s="15">
        <v>0.29182852956739086</v>
      </c>
      <c r="L22" s="15">
        <v>-0.3183917062860307</v>
      </c>
      <c r="M22" s="15">
        <v>0.76305726694731413</v>
      </c>
      <c r="N22" s="15">
        <v>-0.84308490069829523</v>
      </c>
      <c r="O22" s="15">
        <v>0.65725333375448525</v>
      </c>
      <c r="P22" s="15">
        <v>-0.84308490069829523</v>
      </c>
      <c r="Q22" s="15">
        <v>0.65725333375448525</v>
      </c>
    </row>
    <row r="23" spans="9:17" ht="15.75" thickBot="1" x14ac:dyDescent="0.3">
      <c r="I23" s="21" t="s">
        <v>3</v>
      </c>
      <c r="J23" s="21">
        <v>-4.5691789428137236E-4</v>
      </c>
      <c r="K23" s="21">
        <v>4.5327223293560755E-4</v>
      </c>
      <c r="L23" s="21">
        <v>-1.0080429840631397</v>
      </c>
      <c r="M23" s="21">
        <v>0.35969790359208981</v>
      </c>
      <c r="N23" s="21">
        <v>-1.6220912628639578E-3</v>
      </c>
      <c r="O23" s="21">
        <v>7.0825547430121319E-4</v>
      </c>
      <c r="P23" s="21">
        <v>-1.6220912628639578E-3</v>
      </c>
      <c r="Q23" s="21">
        <v>7.0825547430121319E-4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0.75354007774800169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0.56782264877246447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2.2080767790436086E-2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6.0512795561938906E-2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2.405554196703925E-2</v>
      </c>
      <c r="L13" s="15">
        <v>4.8111083934078503E-3</v>
      </c>
      <c r="M13" s="15">
        <v>1.313864891715516</v>
      </c>
      <c r="N13" s="15">
        <v>0.40727055293860781</v>
      </c>
    </row>
    <row r="14" spans="1:14" x14ac:dyDescent="0.25">
      <c r="I14" s="15" t="s">
        <v>63</v>
      </c>
      <c r="J14" s="15">
        <v>5</v>
      </c>
      <c r="K14" s="15">
        <v>1.8308992133605064E-2</v>
      </c>
      <c r="L14" s="15">
        <v>3.6617984267210127E-3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-0.91099429635336771</v>
      </c>
      <c r="K19" s="15">
        <v>0.56096052517705075</v>
      </c>
      <c r="L19" s="15">
        <v>-1.6239900233012636</v>
      </c>
      <c r="M19" s="15">
        <v>0.16530567323356729</v>
      </c>
      <c r="N19" s="15">
        <v>-2.3529892328825022</v>
      </c>
      <c r="O19" s="15">
        <v>0.53100064017576676</v>
      </c>
      <c r="P19" s="15">
        <v>-2.3529892328825022</v>
      </c>
      <c r="Q19" s="15">
        <v>0.53100064017576676</v>
      </c>
    </row>
    <row r="20" spans="9:17" x14ac:dyDescent="0.25">
      <c r="I20" s="15" t="s">
        <v>54</v>
      </c>
      <c r="J20" s="15">
        <v>-0.33199401059229955</v>
      </c>
      <c r="K20" s="15">
        <v>0.46758858690389304</v>
      </c>
      <c r="L20" s="15">
        <v>-0.71001307536305791</v>
      </c>
      <c r="M20" s="15">
        <v>0.50942816521653145</v>
      </c>
      <c r="N20" s="15">
        <v>-1.5339687386382996</v>
      </c>
      <c r="O20" s="15">
        <v>0.86998071745370043</v>
      </c>
      <c r="P20" s="15">
        <v>-1.5339687386382996</v>
      </c>
      <c r="Q20" s="15">
        <v>0.86998071745370043</v>
      </c>
    </row>
    <row r="21" spans="9:17" x14ac:dyDescent="0.25">
      <c r="I21" s="15" t="s">
        <v>21</v>
      </c>
      <c r="J21" s="15">
        <v>-0.50951890550821732</v>
      </c>
      <c r="K21" s="15">
        <v>2.6548356355907852</v>
      </c>
      <c r="L21" s="15">
        <v>-0.19192107363544306</v>
      </c>
      <c r="M21" s="15">
        <v>0.85535494723370498</v>
      </c>
      <c r="N21" s="15">
        <v>-7.3339911669578814</v>
      </c>
      <c r="O21" s="15">
        <v>6.3149533559414461</v>
      </c>
      <c r="P21" s="15">
        <v>-7.3339911669578814</v>
      </c>
      <c r="Q21" s="15">
        <v>6.3149533559414461</v>
      </c>
    </row>
    <row r="22" spans="9:17" x14ac:dyDescent="0.25">
      <c r="I22" s="15" t="s">
        <v>89</v>
      </c>
      <c r="J22" s="15">
        <v>0.16380521364881456</v>
      </c>
      <c r="K22" s="15">
        <v>0.29078852303368269</v>
      </c>
      <c r="L22" s="15">
        <v>0.5633138885259259</v>
      </c>
      <c r="M22" s="15">
        <v>0.5975450846828545</v>
      </c>
      <c r="N22" s="15">
        <v>-0.58369048167308235</v>
      </c>
      <c r="O22" s="15">
        <v>0.91130090897071159</v>
      </c>
      <c r="P22" s="15">
        <v>-0.58369048167308235</v>
      </c>
      <c r="Q22" s="15">
        <v>0.91130090897071159</v>
      </c>
    </row>
    <row r="23" spans="9:17" ht="15.75" thickBot="1" x14ac:dyDescent="0.3">
      <c r="I23" s="21" t="s">
        <v>3</v>
      </c>
      <c r="J23" s="21">
        <v>-4.844084549428607E-4</v>
      </c>
      <c r="K23" s="21">
        <v>4.9271063582817347E-4</v>
      </c>
      <c r="L23" s="21">
        <v>-0.9831499864593789</v>
      </c>
      <c r="M23" s="21">
        <v>0.37068316903329457</v>
      </c>
      <c r="N23" s="21">
        <v>-1.7509614656275828E-3</v>
      </c>
      <c r="O23" s="21">
        <v>7.8214455574186141E-4</v>
      </c>
      <c r="P23" s="21">
        <v>-1.7509614656275828E-3</v>
      </c>
      <c r="Q23" s="21">
        <v>7.8214455574186141E-4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0.74933372523059461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0.56150103176796029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1.0701857182328568E-2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6.0953760331522763E-2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2.3787729607880722E-2</v>
      </c>
      <c r="L13" s="15">
        <v>4.7575459215761446E-3</v>
      </c>
      <c r="M13" s="15">
        <v>1.2805070762922113</v>
      </c>
      <c r="N13" s="15">
        <v>0.41712302249965016</v>
      </c>
    </row>
    <row r="14" spans="1:14" x14ac:dyDescent="0.25">
      <c r="I14" s="15" t="s">
        <v>63</v>
      </c>
      <c r="J14" s="15">
        <v>5</v>
      </c>
      <c r="K14" s="15">
        <v>1.8576804492763593E-2</v>
      </c>
      <c r="L14" s="15">
        <v>3.7153608985527184E-3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-1.0094339741064762</v>
      </c>
      <c r="K19" s="15">
        <v>0.51976449273466141</v>
      </c>
      <c r="L19" s="15">
        <v>-1.9420987547562043</v>
      </c>
      <c r="M19" s="15">
        <v>0.10977533711232225</v>
      </c>
      <c r="N19" s="15">
        <v>-2.3455311379389201</v>
      </c>
      <c r="O19" s="15">
        <v>0.32666318972596797</v>
      </c>
      <c r="P19" s="15">
        <v>-2.3455311379389201</v>
      </c>
      <c r="Q19" s="15">
        <v>0.32666318972596797</v>
      </c>
    </row>
    <row r="20" spans="9:17" x14ac:dyDescent="0.25">
      <c r="I20" s="15" t="s">
        <v>54</v>
      </c>
      <c r="J20" s="15">
        <v>-0.5806097319214284</v>
      </c>
      <c r="K20" s="15">
        <v>0.55199899168701994</v>
      </c>
      <c r="L20" s="15">
        <v>-1.0518311458268579</v>
      </c>
      <c r="M20" s="15">
        <v>0.34103149214612255</v>
      </c>
      <c r="N20" s="15">
        <v>-1.9995683132416433</v>
      </c>
      <c r="O20" s="15">
        <v>0.8383488493987864</v>
      </c>
      <c r="P20" s="15">
        <v>-1.9995683132416433</v>
      </c>
      <c r="Q20" s="15">
        <v>0.8383488493987864</v>
      </c>
    </row>
    <row r="21" spans="9:17" x14ac:dyDescent="0.25">
      <c r="I21" s="15" t="s">
        <v>22</v>
      </c>
      <c r="J21" s="15">
        <v>1.0137067347489408</v>
      </c>
      <c r="K21" s="15">
        <v>2.6385174931131501</v>
      </c>
      <c r="L21" s="15">
        <v>0.38419557095787238</v>
      </c>
      <c r="M21" s="15">
        <v>0.71662984547308284</v>
      </c>
      <c r="N21" s="15">
        <v>-5.768818406056389</v>
      </c>
      <c r="O21" s="15">
        <v>7.7962318755542706</v>
      </c>
      <c r="P21" s="15">
        <v>-5.768818406056389</v>
      </c>
      <c r="Q21" s="15">
        <v>7.7962318755542706</v>
      </c>
    </row>
    <row r="22" spans="9:17" x14ac:dyDescent="0.25">
      <c r="I22" s="15" t="s">
        <v>90</v>
      </c>
      <c r="J22" s="15">
        <v>-0.10342433534855161</v>
      </c>
      <c r="K22" s="15">
        <v>0.44378030966763671</v>
      </c>
      <c r="L22" s="15">
        <v>-0.23305300639861617</v>
      </c>
      <c r="M22" s="15">
        <v>0.82496032555891874</v>
      </c>
      <c r="N22" s="15">
        <v>-1.2441979383932376</v>
      </c>
      <c r="O22" s="15">
        <v>1.0373492676961344</v>
      </c>
      <c r="P22" s="15">
        <v>-1.2441979383932376</v>
      </c>
      <c r="Q22" s="15">
        <v>1.0373492676961344</v>
      </c>
    </row>
    <row r="23" spans="9:17" ht="15.75" thickBot="1" x14ac:dyDescent="0.3">
      <c r="I23" s="21" t="s">
        <v>3</v>
      </c>
      <c r="J23" s="21">
        <v>-4.1625046430937199E-4</v>
      </c>
      <c r="K23" s="21">
        <v>6.0967523354643746E-4</v>
      </c>
      <c r="L23" s="21">
        <v>-0.68274130455992554</v>
      </c>
      <c r="M23" s="21">
        <v>0.52511253123329127</v>
      </c>
      <c r="N23" s="21">
        <v>-1.9834705453011725E-3</v>
      </c>
      <c r="O23" s="21">
        <v>1.1509696166824284E-3</v>
      </c>
      <c r="P23" s="21">
        <v>-1.9834705453011725E-3</v>
      </c>
      <c r="Q23" s="21">
        <v>1.1509696166824284E-3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0.74736521872783201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0.55855477016410027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5.3985862953805251E-3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6.1158190772699843E-2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2.3662912607694573E-2</v>
      </c>
      <c r="L13" s="15">
        <v>4.7325825215389144E-3</v>
      </c>
      <c r="M13" s="15">
        <v>1.2652866820460016</v>
      </c>
      <c r="N13" s="15">
        <v>0.42172780116541758</v>
      </c>
    </row>
    <row r="14" spans="1:14" x14ac:dyDescent="0.25">
      <c r="I14" s="15" t="s">
        <v>63</v>
      </c>
      <c r="J14" s="15">
        <v>5</v>
      </c>
      <c r="K14" s="15">
        <v>1.8701621492949742E-2</v>
      </c>
      <c r="L14" s="15">
        <v>3.7403242985899485E-3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-1.0650032101336155</v>
      </c>
      <c r="K19" s="15">
        <v>0.58505519566141628</v>
      </c>
      <c r="L19" s="15">
        <v>-1.8203465553871523</v>
      </c>
      <c r="M19" s="15">
        <v>0.12835192873693474</v>
      </c>
      <c r="N19" s="15">
        <v>-2.5689354689455026</v>
      </c>
      <c r="O19" s="15">
        <v>0.43892904867827132</v>
      </c>
      <c r="P19" s="15">
        <v>-2.5689354689455026</v>
      </c>
      <c r="Q19" s="15">
        <v>0.43892904867827132</v>
      </c>
    </row>
    <row r="20" spans="9:17" x14ac:dyDescent="0.25">
      <c r="I20" s="15" t="s">
        <v>54</v>
      </c>
      <c r="J20" s="15">
        <v>-0.48274305819129265</v>
      </c>
      <c r="K20" s="15">
        <v>0.46091541908844813</v>
      </c>
      <c r="L20" s="15">
        <v>-1.0473571466669807</v>
      </c>
      <c r="M20" s="15">
        <v>0.34290057477124503</v>
      </c>
      <c r="N20" s="15">
        <v>-1.6675638622647571</v>
      </c>
      <c r="O20" s="15">
        <v>0.70207774588217187</v>
      </c>
      <c r="P20" s="15">
        <v>-1.6675638622647571</v>
      </c>
      <c r="Q20" s="15">
        <v>0.70207774588217187</v>
      </c>
    </row>
    <row r="21" spans="9:17" x14ac:dyDescent="0.25">
      <c r="I21" s="15" t="s">
        <v>23</v>
      </c>
      <c r="J21" s="15">
        <v>0.19448459759873959</v>
      </c>
      <c r="K21" s="15">
        <v>1.9635470140310405</v>
      </c>
      <c r="L21" s="15">
        <v>9.9047588985137033E-2</v>
      </c>
      <c r="M21" s="15">
        <v>0.92494894400063066</v>
      </c>
      <c r="N21" s="15">
        <v>-4.8529736900873779</v>
      </c>
      <c r="O21" s="15">
        <v>5.2419428852848569</v>
      </c>
      <c r="P21" s="15">
        <v>-4.8529736900873779</v>
      </c>
      <c r="Q21" s="15">
        <v>5.2419428852848569</v>
      </c>
    </row>
    <row r="22" spans="9:17" x14ac:dyDescent="0.25">
      <c r="I22" s="15" t="s">
        <v>91</v>
      </c>
      <c r="J22" s="15">
        <v>-0.20051105367160818</v>
      </c>
      <c r="K22" s="15">
        <v>0.5450864396322197</v>
      </c>
      <c r="L22" s="15">
        <v>-0.36785184714354086</v>
      </c>
      <c r="M22" s="15">
        <v>0.72804226859424048</v>
      </c>
      <c r="N22" s="15">
        <v>-1.6017003542418629</v>
      </c>
      <c r="O22" s="15">
        <v>1.2006782468986466</v>
      </c>
      <c r="P22" s="15">
        <v>-1.6017003542418629</v>
      </c>
      <c r="Q22" s="15">
        <v>1.2006782468986466</v>
      </c>
    </row>
    <row r="23" spans="9:17" ht="15.75" thickBot="1" x14ac:dyDescent="0.3">
      <c r="I23" s="21" t="s">
        <v>3</v>
      </c>
      <c r="J23" s="21">
        <v>-5.4386650852701612E-4</v>
      </c>
      <c r="K23" s="21">
        <v>6.3971813154217771E-4</v>
      </c>
      <c r="L23" s="21">
        <v>-0.85016584916220728</v>
      </c>
      <c r="M23" s="21">
        <v>0.43404476371910883</v>
      </c>
      <c r="N23" s="21">
        <v>-2.1883143173965407E-3</v>
      </c>
      <c r="O23" s="21">
        <v>1.1005813003425087E-3</v>
      </c>
      <c r="P23" s="21">
        <v>-2.1883143173965407E-3</v>
      </c>
      <c r="Q23" s="21">
        <v>1.1005813003425087E-3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0.74311570156394391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0.55222094591087256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-6.0022973604294096E-3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6.1595374836935758E-2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2.339458309413122E-2</v>
      </c>
      <c r="L13" s="15">
        <v>4.6789166188262437E-3</v>
      </c>
      <c r="M13" s="15">
        <v>1.2332442548796769</v>
      </c>
      <c r="N13" s="15">
        <v>0.4316526520238288</v>
      </c>
    </row>
    <row r="14" spans="1:14" x14ac:dyDescent="0.25">
      <c r="I14" s="15" t="s">
        <v>63</v>
      </c>
      <c r="J14" s="15">
        <v>5</v>
      </c>
      <c r="K14" s="15">
        <v>1.8969951006513094E-2</v>
      </c>
      <c r="L14" s="15">
        <v>3.7939902013026188E-3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-0.8977244850036189</v>
      </c>
      <c r="K19" s="15">
        <v>0.49049189417345657</v>
      </c>
      <c r="L19" s="15">
        <v>-1.8302534571267541</v>
      </c>
      <c r="M19" s="15">
        <v>0.1267263406147647</v>
      </c>
      <c r="N19" s="15">
        <v>-2.1585740386927559</v>
      </c>
      <c r="O19" s="15">
        <v>0.36312506868551819</v>
      </c>
      <c r="P19" s="15">
        <v>-2.1585740386927559</v>
      </c>
      <c r="Q19" s="15">
        <v>0.36312506868551819</v>
      </c>
    </row>
    <row r="20" spans="9:17" x14ac:dyDescent="0.25">
      <c r="I20" s="15" t="s">
        <v>54</v>
      </c>
      <c r="J20" s="15">
        <v>-0.33763278170235167</v>
      </c>
      <c r="K20" s="15">
        <v>0.50689179457104794</v>
      </c>
      <c r="L20" s="15">
        <v>-0.66608452793770312</v>
      </c>
      <c r="M20" s="15">
        <v>0.53485162761146099</v>
      </c>
      <c r="N20" s="15">
        <v>-1.640639621459782</v>
      </c>
      <c r="O20" s="15">
        <v>0.9653740580550787</v>
      </c>
      <c r="P20" s="15">
        <v>-1.640639621459782</v>
      </c>
      <c r="Q20" s="15">
        <v>0.9653740580550787</v>
      </c>
    </row>
    <row r="21" spans="9:17" x14ac:dyDescent="0.25">
      <c r="I21" s="15" t="s">
        <v>24</v>
      </c>
      <c r="J21" s="15">
        <v>-0.29802809808209801</v>
      </c>
      <c r="K21" s="15">
        <v>3.876500278863138</v>
      </c>
      <c r="L21" s="15">
        <v>-7.6880711116445677E-2</v>
      </c>
      <c r="M21" s="15">
        <v>0.94170003725451323</v>
      </c>
      <c r="N21" s="15">
        <v>-10.262889300766791</v>
      </c>
      <c r="O21" s="15">
        <v>9.6668331046025955</v>
      </c>
      <c r="P21" s="15">
        <v>-10.262889300766791</v>
      </c>
      <c r="Q21" s="15">
        <v>9.6668331046025955</v>
      </c>
    </row>
    <row r="22" spans="9:17" x14ac:dyDescent="0.25">
      <c r="I22" s="15" t="s">
        <v>92</v>
      </c>
      <c r="J22" s="15">
        <v>5.5834913983735676E-2</v>
      </c>
      <c r="K22" s="15">
        <v>0.26670021920772197</v>
      </c>
      <c r="L22" s="15">
        <v>0.20935458602022419</v>
      </c>
      <c r="M22" s="15">
        <v>0.84243398177667272</v>
      </c>
      <c r="N22" s="15">
        <v>-0.62973982507185788</v>
      </c>
      <c r="O22" s="15">
        <v>0.74140965303932915</v>
      </c>
      <c r="P22" s="15">
        <v>-0.62973982507185788</v>
      </c>
      <c r="Q22" s="15">
        <v>0.74140965303932915</v>
      </c>
    </row>
    <row r="23" spans="9:17" ht="15.75" thickBot="1" x14ac:dyDescent="0.3">
      <c r="I23" s="21" t="s">
        <v>3</v>
      </c>
      <c r="J23" s="21">
        <v>-3.8649502477001817E-4</v>
      </c>
      <c r="K23" s="21">
        <v>5.3264704842438735E-4</v>
      </c>
      <c r="L23" s="21">
        <v>-0.72561187734598631</v>
      </c>
      <c r="M23" s="21">
        <v>0.50060413129923331</v>
      </c>
      <c r="N23" s="21">
        <v>-1.755707852255045E-3</v>
      </c>
      <c r="O23" s="21">
        <v>9.8271780271500853E-4</v>
      </c>
      <c r="P23" s="21">
        <v>-1.755707852255045E-3</v>
      </c>
      <c r="Q23" s="21">
        <v>9.8271780271500853E-4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0.75502675947101272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0.57006540751729851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2.6117733531137333E-2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6.0355577545542584E-2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2.4150555396364293E-2</v>
      </c>
      <c r="L13" s="15">
        <v>4.8301110792728589E-3</v>
      </c>
      <c r="M13" s="15">
        <v>1.3259351945266775</v>
      </c>
      <c r="N13" s="15">
        <v>0.40378476096927302</v>
      </c>
    </row>
    <row r="14" spans="1:14" x14ac:dyDescent="0.25">
      <c r="I14" s="15" t="s">
        <v>63</v>
      </c>
      <c r="J14" s="15">
        <v>5</v>
      </c>
      <c r="K14" s="15">
        <v>1.8213978704280022E-2</v>
      </c>
      <c r="L14" s="15">
        <v>3.6427957408560045E-3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-0.76370511757588533</v>
      </c>
      <c r="K19" s="15">
        <v>0.55792517440109857</v>
      </c>
      <c r="L19" s="15">
        <v>-1.3688307189143778</v>
      </c>
      <c r="M19" s="15">
        <v>0.22934393341905532</v>
      </c>
      <c r="N19" s="15">
        <v>-2.1978974365355723</v>
      </c>
      <c r="O19" s="15">
        <v>0.67048720138380191</v>
      </c>
      <c r="P19" s="15">
        <v>-2.1978974365355723</v>
      </c>
      <c r="Q19" s="15">
        <v>0.67048720138380191</v>
      </c>
    </row>
    <row r="20" spans="9:17" x14ac:dyDescent="0.25">
      <c r="I20" s="15" t="s">
        <v>54</v>
      </c>
      <c r="J20" s="15">
        <v>-0.17426127704274713</v>
      </c>
      <c r="K20" s="15">
        <v>0.62358627207468376</v>
      </c>
      <c r="L20" s="15">
        <v>-0.27945014963683606</v>
      </c>
      <c r="M20" s="15">
        <v>0.79109038842367041</v>
      </c>
      <c r="N20" s="15">
        <v>-1.7772408209900943</v>
      </c>
      <c r="O20" s="15">
        <v>1.4287182669045999</v>
      </c>
      <c r="P20" s="15">
        <v>-1.7772408209900943</v>
      </c>
      <c r="Q20" s="15">
        <v>1.4287182669045999</v>
      </c>
    </row>
    <row r="21" spans="9:17" x14ac:dyDescent="0.25">
      <c r="I21" s="15" t="s">
        <v>25</v>
      </c>
      <c r="J21" s="15">
        <v>-3.555383060443293</v>
      </c>
      <c r="K21" s="15">
        <v>7.1340039684837082</v>
      </c>
      <c r="L21" s="15">
        <v>-0.49837133202478012</v>
      </c>
      <c r="M21" s="15">
        <v>0.63936750916924145</v>
      </c>
      <c r="N21" s="15">
        <v>-21.893924077184902</v>
      </c>
      <c r="O21" s="15">
        <v>14.783157956298314</v>
      </c>
      <c r="P21" s="15">
        <v>-21.893924077184902</v>
      </c>
      <c r="Q21" s="15">
        <v>14.783157956298314</v>
      </c>
    </row>
    <row r="22" spans="9:17" x14ac:dyDescent="0.25">
      <c r="I22" s="15" t="s">
        <v>93</v>
      </c>
      <c r="J22" s="15">
        <v>0.47557507040411173</v>
      </c>
      <c r="K22" s="15">
        <v>0.80452813181407934</v>
      </c>
      <c r="L22" s="15">
        <v>0.59112298451487055</v>
      </c>
      <c r="M22" s="15">
        <v>0.58014730359304301</v>
      </c>
      <c r="N22" s="15">
        <v>-1.5925303314955797</v>
      </c>
      <c r="O22" s="15">
        <v>2.5436804723038033</v>
      </c>
      <c r="P22" s="15">
        <v>-1.5925303314955797</v>
      </c>
      <c r="Q22" s="15">
        <v>2.5436804723038033</v>
      </c>
    </row>
    <row r="23" spans="9:17" ht="15.75" thickBot="1" x14ac:dyDescent="0.3">
      <c r="I23" s="21" t="s">
        <v>3</v>
      </c>
      <c r="J23" s="21">
        <v>-3.9762684083261181E-4</v>
      </c>
      <c r="K23" s="21">
        <v>5.0512465024846946E-4</v>
      </c>
      <c r="L23" s="21">
        <v>-0.78718558010784112</v>
      </c>
      <c r="M23" s="21">
        <v>0.46682954003294735</v>
      </c>
      <c r="N23" s="21">
        <v>-1.6960910914934741E-3</v>
      </c>
      <c r="O23" s="21">
        <v>9.0083740982825058E-4</v>
      </c>
      <c r="P23" s="21">
        <v>-1.6960910914934741E-3</v>
      </c>
      <c r="Q23" s="21">
        <v>9.0083740982825058E-4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0.7863649535316618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0.61836984014285268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0.1130657122571348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5.6864020120111908E-2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2.6196950179541857E-2</v>
      </c>
      <c r="L13" s="15">
        <v>5.2393900359083718E-3</v>
      </c>
      <c r="M13" s="15">
        <v>1.6203379742689163</v>
      </c>
      <c r="N13" s="15">
        <v>0.33026429886825048</v>
      </c>
    </row>
    <row r="14" spans="1:14" x14ac:dyDescent="0.25">
      <c r="I14" s="15" t="s">
        <v>63</v>
      </c>
      <c r="J14" s="15">
        <v>5</v>
      </c>
      <c r="K14" s="15">
        <v>1.6167583921102457E-2</v>
      </c>
      <c r="L14" s="15">
        <v>3.2335167842204916E-3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-0.82281472612227091</v>
      </c>
      <c r="K19" s="15">
        <v>0.43576238597647149</v>
      </c>
      <c r="L19" s="15">
        <v>-1.8882187921715159</v>
      </c>
      <c r="M19" s="15">
        <v>0.11762871061343268</v>
      </c>
      <c r="N19" s="15">
        <v>-1.9429776001669294</v>
      </c>
      <c r="O19" s="15">
        <v>0.29734814792238762</v>
      </c>
      <c r="P19" s="15">
        <v>-1.9429776001669294</v>
      </c>
      <c r="Q19" s="15">
        <v>0.29734814792238762</v>
      </c>
    </row>
    <row r="20" spans="9:17" x14ac:dyDescent="0.25">
      <c r="I20" s="15" t="s">
        <v>54</v>
      </c>
      <c r="J20" s="15">
        <v>-0.34454404247516374</v>
      </c>
      <c r="K20" s="15">
        <v>0.4232116731975864</v>
      </c>
      <c r="L20" s="15">
        <v>-0.81411753100275475</v>
      </c>
      <c r="M20" s="15">
        <v>0.4525911068985829</v>
      </c>
      <c r="N20" s="15">
        <v>-1.4324442822261316</v>
      </c>
      <c r="O20" s="15">
        <v>0.74335619727580404</v>
      </c>
      <c r="P20" s="15">
        <v>-1.4324442822261316</v>
      </c>
      <c r="Q20" s="15">
        <v>0.74335619727580404</v>
      </c>
    </row>
    <row r="21" spans="9:17" x14ac:dyDescent="0.25">
      <c r="I21" s="15" t="s">
        <v>26</v>
      </c>
      <c r="J21" s="15">
        <v>0.76182445217227368</v>
      </c>
      <c r="K21" s="15">
        <v>2.1714058153687605</v>
      </c>
      <c r="L21" s="15">
        <v>0.35084388499848257</v>
      </c>
      <c r="M21" s="15">
        <v>0.74000388610463741</v>
      </c>
      <c r="N21" s="15">
        <v>-4.8199518946097237</v>
      </c>
      <c r="O21" s="15">
        <v>6.3436007989542711</v>
      </c>
      <c r="P21" s="15">
        <v>-4.8199518946097237</v>
      </c>
      <c r="Q21" s="15">
        <v>6.3436007989542711</v>
      </c>
    </row>
    <row r="22" spans="9:17" x14ac:dyDescent="0.25">
      <c r="I22" s="15" t="s">
        <v>94</v>
      </c>
      <c r="J22" s="15">
        <v>5.6905947545615948E-3</v>
      </c>
      <c r="K22" s="15">
        <v>0.11727432079551404</v>
      </c>
      <c r="L22" s="15">
        <v>4.8523792045524004E-2</v>
      </c>
      <c r="M22" s="15">
        <v>0.96317742639485604</v>
      </c>
      <c r="N22" s="15">
        <v>-0.29577264406897297</v>
      </c>
      <c r="O22" s="15">
        <v>0.30715383357809611</v>
      </c>
      <c r="P22" s="15">
        <v>-0.29577264406897297</v>
      </c>
      <c r="Q22" s="15">
        <v>0.30715383357809611</v>
      </c>
    </row>
    <row r="23" spans="9:17" ht="15.75" thickBot="1" x14ac:dyDescent="0.3">
      <c r="I23" s="21" t="s">
        <v>3</v>
      </c>
      <c r="J23" s="21">
        <v>-2.151219467123663E-4</v>
      </c>
      <c r="K23" s="21">
        <v>4.6914065660312885E-4</v>
      </c>
      <c r="L23" s="21">
        <v>-0.4585446681811452</v>
      </c>
      <c r="M23" s="21">
        <v>0.66580315286379865</v>
      </c>
      <c r="N23" s="21">
        <v>-1.4210863969348632E-3</v>
      </c>
      <c r="O23" s="21">
        <v>9.9084250351013075E-4</v>
      </c>
      <c r="P23" s="21">
        <v>-1.4210863969348632E-3</v>
      </c>
      <c r="Q23" s="21">
        <v>9.9084250351013075E-4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0.73944737004126493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0.54678241306094333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-1.5791656490302054E-2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6.1968301440157927E-2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2.3164182183752921E-2</v>
      </c>
      <c r="L13" s="15">
        <v>4.632836436750584E-3</v>
      </c>
      <c r="M13" s="15">
        <v>1.2064457091213192</v>
      </c>
      <c r="N13" s="15">
        <v>0.44020015428991593</v>
      </c>
    </row>
    <row r="14" spans="1:14" x14ac:dyDescent="0.25">
      <c r="I14" s="15" t="s">
        <v>63</v>
      </c>
      <c r="J14" s="15">
        <v>5</v>
      </c>
      <c r="K14" s="15">
        <v>1.9200351916891394E-2</v>
      </c>
      <c r="L14" s="15">
        <v>3.8400703833782789E-3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-1.0192732937021258</v>
      </c>
      <c r="K19" s="15">
        <v>0.50429909368806614</v>
      </c>
      <c r="L19" s="15">
        <v>-2.021168204463593</v>
      </c>
      <c r="M19" s="15">
        <v>9.9222328748138452E-2</v>
      </c>
      <c r="N19" s="15">
        <v>-2.3156153836645248</v>
      </c>
      <c r="O19" s="15">
        <v>0.27706879626027314</v>
      </c>
      <c r="P19" s="15">
        <v>-2.3156153836645248</v>
      </c>
      <c r="Q19" s="15">
        <v>0.27706879626027314</v>
      </c>
    </row>
    <row r="20" spans="9:17" x14ac:dyDescent="0.25">
      <c r="I20" s="15" t="s">
        <v>54</v>
      </c>
      <c r="J20" s="15">
        <v>-0.37605674830364938</v>
      </c>
      <c r="K20" s="15">
        <v>0.51428208656285035</v>
      </c>
      <c r="L20" s="15">
        <v>-0.73122661303835157</v>
      </c>
      <c r="M20" s="15">
        <v>0.49745429804098718</v>
      </c>
      <c r="N20" s="15">
        <v>-1.6980609384152556</v>
      </c>
      <c r="O20" s="15">
        <v>0.94594744180795676</v>
      </c>
      <c r="P20" s="15">
        <v>-1.6980609384152556</v>
      </c>
      <c r="Q20" s="15">
        <v>0.94594744180795676</v>
      </c>
    </row>
    <row r="21" spans="9:17" x14ac:dyDescent="0.25">
      <c r="I21" s="15" t="s">
        <v>27</v>
      </c>
      <c r="J21" s="15">
        <v>-0.21850485598105002</v>
      </c>
      <c r="K21" s="15">
        <v>0.7976063147867487</v>
      </c>
      <c r="L21" s="15">
        <v>-0.2739507598300176</v>
      </c>
      <c r="M21" s="15">
        <v>0.79507952058526843</v>
      </c>
      <c r="N21" s="15">
        <v>-2.2688171607606868</v>
      </c>
      <c r="O21" s="15">
        <v>1.8318074487985869</v>
      </c>
      <c r="P21" s="15">
        <v>-2.2688171607606868</v>
      </c>
      <c r="Q21" s="15">
        <v>1.8318074487985869</v>
      </c>
    </row>
    <row r="22" spans="9:17" x14ac:dyDescent="0.25">
      <c r="I22" s="15" t="s">
        <v>95</v>
      </c>
      <c r="J22" s="15">
        <v>1.3350925384007757E-2</v>
      </c>
      <c r="K22" s="15">
        <v>8.4853327325838904E-2</v>
      </c>
      <c r="L22" s="15">
        <v>0.15734121223956096</v>
      </c>
      <c r="M22" s="15">
        <v>0.88113240744305299</v>
      </c>
      <c r="N22" s="15">
        <v>-0.20477149653309631</v>
      </c>
      <c r="O22" s="15">
        <v>0.23147334730111183</v>
      </c>
      <c r="P22" s="15">
        <v>-0.20477149653309631</v>
      </c>
      <c r="Q22" s="15">
        <v>0.23147334730111183</v>
      </c>
    </row>
    <row r="23" spans="9:17" ht="15.75" thickBot="1" x14ac:dyDescent="0.3">
      <c r="I23" s="21" t="s">
        <v>3</v>
      </c>
      <c r="J23" s="21">
        <v>-5.3660459306954192E-4</v>
      </c>
      <c r="K23" s="21">
        <v>5.5459066693453601E-4</v>
      </c>
      <c r="L23" s="21">
        <v>-0.96756874044705632</v>
      </c>
      <c r="M23" s="21">
        <v>0.37769830492753242</v>
      </c>
      <c r="N23" s="21">
        <v>-1.9622252877048896E-3</v>
      </c>
      <c r="O23" s="21">
        <v>8.8901610156580586E-4</v>
      </c>
      <c r="P23" s="21">
        <v>-1.9622252877048896E-3</v>
      </c>
      <c r="Q23" s="21">
        <v>8.8901610156580586E-4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0.77225676679360045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0.59638051385850543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7.3484924945309865E-2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5.8479315119665823E-2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2.5265382616318433E-2</v>
      </c>
      <c r="L13" s="15">
        <v>5.0530765232636868E-3</v>
      </c>
      <c r="M13" s="15">
        <v>1.4775810740947126</v>
      </c>
      <c r="N13" s="15">
        <v>0.36332457003661389</v>
      </c>
    </row>
    <row r="14" spans="1:14" x14ac:dyDescent="0.25">
      <c r="I14" s="15" t="s">
        <v>63</v>
      </c>
      <c r="J14" s="15">
        <v>5</v>
      </c>
      <c r="K14" s="15">
        <v>1.7099151484325881E-2</v>
      </c>
      <c r="L14" s="15">
        <v>3.4198302968651761E-3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-0.84817267861935042</v>
      </c>
      <c r="K19" s="15">
        <v>0.46672301836735841</v>
      </c>
      <c r="L19" s="15">
        <v>-1.8172934379502843</v>
      </c>
      <c r="M19" s="15">
        <v>0.12885718479204791</v>
      </c>
      <c r="N19" s="15">
        <v>-2.0479223919078362</v>
      </c>
      <c r="O19" s="15">
        <v>0.35157703466913537</v>
      </c>
      <c r="P19" s="15">
        <v>-2.0479223919078362</v>
      </c>
      <c r="Q19" s="15">
        <v>0.35157703466913537</v>
      </c>
    </row>
    <row r="20" spans="9:17" x14ac:dyDescent="0.25">
      <c r="I20" s="15" t="s">
        <v>54</v>
      </c>
      <c r="J20" s="15">
        <v>-0.28371548202936725</v>
      </c>
      <c r="K20" s="15">
        <v>0.45077912762386441</v>
      </c>
      <c r="L20" s="15">
        <v>-0.6293891279413959</v>
      </c>
      <c r="M20" s="15">
        <v>0.55672835804162368</v>
      </c>
      <c r="N20" s="15">
        <v>-1.4424801193832573</v>
      </c>
      <c r="O20" s="15">
        <v>0.87504915532452276</v>
      </c>
      <c r="P20" s="15">
        <v>-1.4424801193832573</v>
      </c>
      <c r="Q20" s="15">
        <v>0.87504915532452276</v>
      </c>
    </row>
    <row r="21" spans="9:17" x14ac:dyDescent="0.25">
      <c r="I21" s="15" t="s">
        <v>28</v>
      </c>
      <c r="J21" s="15">
        <v>-0.17414933219104362</v>
      </c>
      <c r="K21" s="15">
        <v>1.3329668046526608</v>
      </c>
      <c r="L21" s="15">
        <v>-0.13064791379889071</v>
      </c>
      <c r="M21" s="15">
        <v>0.90114758547988028</v>
      </c>
      <c r="N21" s="15">
        <v>-3.6006495877373537</v>
      </c>
      <c r="O21" s="15">
        <v>3.2523509233552668</v>
      </c>
      <c r="P21" s="15">
        <v>-3.6006495877373537</v>
      </c>
      <c r="Q21" s="15">
        <v>3.2523509233552668</v>
      </c>
    </row>
    <row r="22" spans="9:17" x14ac:dyDescent="0.25">
      <c r="I22" s="15" t="s">
        <v>96</v>
      </c>
      <c r="J22" s="15">
        <v>4.863929771389737E-2</v>
      </c>
      <c r="K22" s="15">
        <v>7.931489095497439E-2</v>
      </c>
      <c r="L22" s="15">
        <v>0.61324295007237684</v>
      </c>
      <c r="M22" s="15">
        <v>0.56653531290582504</v>
      </c>
      <c r="N22" s="15">
        <v>-0.15524612027043488</v>
      </c>
      <c r="O22" s="15">
        <v>0.2525247156982296</v>
      </c>
      <c r="P22" s="15">
        <v>-0.15524612027043488</v>
      </c>
      <c r="Q22" s="15">
        <v>0.2525247156982296</v>
      </c>
    </row>
    <row r="23" spans="9:17" ht="15.75" thickBot="1" x14ac:dyDescent="0.3">
      <c r="I23" s="21" t="s">
        <v>3</v>
      </c>
      <c r="J23" s="21">
        <v>-3.1717743032536316E-4</v>
      </c>
      <c r="K23" s="21">
        <v>4.9992551069388065E-4</v>
      </c>
      <c r="L23" s="21">
        <v>-0.63444938003890017</v>
      </c>
      <c r="M23" s="21">
        <v>0.55367745688143599</v>
      </c>
      <c r="N23" s="21">
        <v>-1.6022768672862612E-3</v>
      </c>
      <c r="O23" s="21">
        <v>9.6792200663553497E-4</v>
      </c>
      <c r="P23" s="21">
        <v>-1.6022768672862612E-3</v>
      </c>
      <c r="Q23" s="21">
        <v>9.6792200663553497E-4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7.4846721905545505E-2</v>
      </c>
      <c r="C2" s="13">
        <f>'ALL VARS'!G2</f>
        <v>-8.6057502953918952E-2</v>
      </c>
      <c r="D2" s="13">
        <f>'ALL VARS'!H2</f>
        <v>-1.0740369468699955E-4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-8.6057502953918952E-2</v>
      </c>
      <c r="C3" s="13">
        <f>'ALL VARS'!G3</f>
        <v>-1.0740369468699955E-4</v>
      </c>
      <c r="D3" s="13">
        <f>'ALL VARS'!H3</f>
        <v>1.3461050034468921E-2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-1.0740369468699955E-4</v>
      </c>
      <c r="C4" s="13">
        <f>'ALL VARS'!G4</f>
        <v>1.3461050034468921E-2</v>
      </c>
      <c r="D4" s="13">
        <f>'ALL VARS'!H4</f>
        <v>-1.6977565360059888E-2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1.3461050034468921E-2</v>
      </c>
      <c r="C5" s="13">
        <f>'ALL VARS'!G5</f>
        <v>-1.6977565360059888E-2</v>
      </c>
      <c r="D5" s="13">
        <f>'ALL VARS'!H5</f>
        <v>3.0147153381220891E-2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0.78031677131006372</v>
      </c>
    </row>
    <row r="6" spans="1:14" x14ac:dyDescent="0.25">
      <c r="A6" s="17">
        <f>'ALL VARS'!A6</f>
        <v>43907</v>
      </c>
      <c r="B6" s="13">
        <f>'ALL VARS'!F6</f>
        <v>-1.6977565360059888E-2</v>
      </c>
      <c r="C6" s="13">
        <f>'ALL VARS'!G6</f>
        <v>3.0147153381220891E-2</v>
      </c>
      <c r="D6" s="13">
        <f>'ALL VARS'!H6</f>
        <v>-6.7257274066965966E-2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0.60889426358776222</v>
      </c>
    </row>
    <row r="7" spans="1:14" x14ac:dyDescent="0.25">
      <c r="A7" s="17">
        <f>'ALL VARS'!A7</f>
        <v>43906</v>
      </c>
      <c r="B7" s="13">
        <f>'ALL VARS'!F7</f>
        <v>3.0147153381220891E-2</v>
      </c>
      <c r="C7" s="13">
        <f>'ALL VARS'!G7</f>
        <v>-6.7257274066965966E-2</v>
      </c>
      <c r="D7" s="13">
        <f>'ALL VARS'!H7</f>
        <v>0.1049930888228278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9.6009674457972066E-2</v>
      </c>
    </row>
    <row r="8" spans="1:14" x14ac:dyDescent="0.25">
      <c r="A8" s="17">
        <f>'ALL VARS'!A8</f>
        <v>43903</v>
      </c>
      <c r="B8" s="13">
        <f>'ALL VARS'!F8</f>
        <v>-6.7257274066965966E-2</v>
      </c>
      <c r="C8" s="13">
        <f>'ALL VARS'!G8</f>
        <v>0.1049930888228278</v>
      </c>
      <c r="D8" s="13">
        <f>'ALL VARS'!H8</f>
        <v>-0.1069834291511667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5.7565636115991727E-2</v>
      </c>
    </row>
    <row r="9" spans="1:14" ht="15.75" thickBot="1" x14ac:dyDescent="0.3">
      <c r="A9" s="17">
        <f>'ALL VARS'!A9</f>
        <v>43902</v>
      </c>
      <c r="B9" s="13">
        <f>'ALL VARS'!F9</f>
        <v>0.1049930888228278</v>
      </c>
      <c r="C9" s="13">
        <f>'ALL VARS'!G9</f>
        <v>-0.1069834291511667</v>
      </c>
      <c r="D9" s="13">
        <f>'ALL VARS'!H9</f>
        <v>-3.1396891429320263E-2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-0.1069834291511667</v>
      </c>
      <c r="C10" s="13">
        <f>'ALL VARS'!G10</f>
        <v>-3.1396891429320263E-2</v>
      </c>
      <c r="D10" s="13">
        <f>'ALL VARS'!H10</f>
        <v>1.8703283502402624E-2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-3.1396891429320263E-2</v>
      </c>
      <c r="C11" s="13">
        <f>'ALL VARS'!G11</f>
        <v>1.8703283502402624E-2</v>
      </c>
      <c r="D11" s="13">
        <f>'ALL VARS'!H11</f>
        <v>-5.6898288016112741E-2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2.579552179345046E-2</v>
      </c>
      <c r="L13" s="15">
        <v>5.1591043586900918E-3</v>
      </c>
      <c r="M13" s="15">
        <v>1.556853318423252</v>
      </c>
      <c r="N13" s="15">
        <v>0.34441616001752939</v>
      </c>
    </row>
    <row r="14" spans="1:14" x14ac:dyDescent="0.25">
      <c r="I14" s="15" t="s">
        <v>63</v>
      </c>
      <c r="J14" s="15">
        <v>5</v>
      </c>
      <c r="K14" s="15">
        <v>1.6569012307193855E-2</v>
      </c>
      <c r="L14" s="15">
        <v>3.3138024614387711E-3</v>
      </c>
    </row>
    <row r="15" spans="1:14" ht="15.75" thickBot="1" x14ac:dyDescent="0.3">
      <c r="I15" s="21" t="s">
        <v>64</v>
      </c>
      <c r="J15" s="21">
        <v>10</v>
      </c>
      <c r="K15" s="21">
        <v>4.2364534100644315E-2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-0.79052260215040071</v>
      </c>
      <c r="K19" s="15">
        <v>0.50530032584076712</v>
      </c>
      <c r="L19" s="15">
        <v>-1.5644608992385933</v>
      </c>
      <c r="M19" s="15">
        <v>0.17847935575517629</v>
      </c>
      <c r="N19" s="15">
        <v>-2.089438441297788</v>
      </c>
      <c r="O19" s="15">
        <v>0.50839323699698646</v>
      </c>
      <c r="P19" s="15">
        <v>-2.089438441297788</v>
      </c>
      <c r="Q19" s="15">
        <v>0.50839323699698646</v>
      </c>
    </row>
    <row r="20" spans="9:17" x14ac:dyDescent="0.25">
      <c r="I20" s="15" t="s">
        <v>54</v>
      </c>
      <c r="J20" s="15">
        <v>-0.31427180173009411</v>
      </c>
      <c r="K20" s="15">
        <v>0.4458372454714028</v>
      </c>
      <c r="L20" s="15">
        <v>-0.70490252871942338</v>
      </c>
      <c r="M20" s="15">
        <v>0.51234247285335721</v>
      </c>
      <c r="N20" s="15">
        <v>-1.460332926589011</v>
      </c>
      <c r="O20" s="15">
        <v>0.83178932312882292</v>
      </c>
      <c r="P20" s="15">
        <v>-1.460332926589011</v>
      </c>
      <c r="Q20" s="15">
        <v>0.83178932312882292</v>
      </c>
    </row>
    <row r="21" spans="9:17" x14ac:dyDescent="0.25">
      <c r="I21" s="15" t="s">
        <v>29</v>
      </c>
      <c r="J21" s="15">
        <v>0.33801202254397572</v>
      </c>
      <c r="K21" s="15">
        <v>2.648686291287381</v>
      </c>
      <c r="L21" s="15">
        <v>0.12761497035561981</v>
      </c>
      <c r="M21" s="15">
        <v>0.90342735058888102</v>
      </c>
      <c r="N21" s="15">
        <v>-6.4706528461382833</v>
      </c>
      <c r="O21" s="15">
        <v>7.1466768912262344</v>
      </c>
      <c r="P21" s="15">
        <v>-6.4706528461382833</v>
      </c>
      <c r="Q21" s="15">
        <v>7.1466768912262344</v>
      </c>
    </row>
    <row r="22" spans="9:17" x14ac:dyDescent="0.25">
      <c r="I22" s="15" t="s">
        <v>97</v>
      </c>
      <c r="J22" s="15">
        <v>8.8395040235877506E-2</v>
      </c>
      <c r="K22" s="15">
        <v>0.1530232201546789</v>
      </c>
      <c r="L22" s="15">
        <v>0.57765769238502529</v>
      </c>
      <c r="M22" s="15">
        <v>0.58853215178026286</v>
      </c>
      <c r="N22" s="15">
        <v>-0.30496366992431689</v>
      </c>
      <c r="O22" s="15">
        <v>0.48175375039607193</v>
      </c>
      <c r="P22" s="15">
        <v>-0.30496366992431689</v>
      </c>
      <c r="Q22" s="15">
        <v>0.48175375039607193</v>
      </c>
    </row>
    <row r="23" spans="9:17" ht="15.75" thickBot="1" x14ac:dyDescent="0.3">
      <c r="I23" s="21" t="s">
        <v>3</v>
      </c>
      <c r="J23" s="21">
        <v>-2.6245957865729454E-4</v>
      </c>
      <c r="K23" s="21">
        <v>5.277117482883584E-4</v>
      </c>
      <c r="L23" s="21">
        <v>-0.49735405646849146</v>
      </c>
      <c r="M23" s="21">
        <v>0.64003548990381587</v>
      </c>
      <c r="N23" s="21">
        <v>-1.618985813259232E-3</v>
      </c>
      <c r="O23" s="21">
        <v>1.0940666559446427E-3</v>
      </c>
      <c r="P23" s="21">
        <v>-1.618985813259232E-3</v>
      </c>
      <c r="Q23" s="21">
        <v>1.0940666559446427E-3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2.7109375" style="1" hidden="1" customWidth="1"/>
    <col min="4" max="4" width="15.7109375" style="1" customWidth="1"/>
    <col min="5" max="5" width="10.4257812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105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98</v>
      </c>
      <c r="H4" s="4" t="s">
        <v>99</v>
      </c>
      <c r="I4" s="4" t="s">
        <v>100</v>
      </c>
      <c r="J4" s="4" t="s">
        <v>101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 t="str">
        <f>IF('Eq4 avec Sent__t_+_1_k, k=0'!M21&lt;0.1,'Eq4 avec Sent__t_+_1_k, k=0'!J21,"-")</f>
        <v>-</v>
      </c>
      <c r="C6" s="4">
        <f>IF('Eq4 avec Sent__t_+_1_k, k=0'!M22&lt;0.1,'Eq4 avec Sent__t_+_1_k, k=0'!J22,"-")</f>
        <v>-0.45064736220735585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>
        <f>IF('Eq4 avec Sent__t_+_1_k, k=3'!M22&lt;0.1,'Eq4 avec Sent__t_+_1_k, k=3'!J22,"-")</f>
        <v>-0.55685920556902713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 t="str">
        <f>IF('Eq4 avec Sent__t_+_1_k, k=4'!M21&lt;0.1,'Eq4 avec Sent__t_+_1_k, k=4'!J21,"-")</f>
        <v>-</v>
      </c>
      <c r="C10" s="4" t="str">
        <f>IF('Eq4 avec Sent__t_+_1_k, k=4'!M22&lt;0.1,'Eq4 avec Sent__t_+_1_k, k=4'!J22,"-")</f>
        <v>-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 t="str">
        <f>IF('Eq4 avec Sent__t_+_1_k, k=5'!M21&lt;0.1,'Eq4 avec Sent__t_+_1_k, k=5'!J21,"-")</f>
        <v>-</v>
      </c>
      <c r="C11" s="4">
        <f>IF('Eq4 avec Sent__t_+_1_k, k=5'!M22&lt;0.1,'Eq4 avec Sent__t_+_1_k, k=5'!J22,"-")</f>
        <v>-0.77900714946145233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102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