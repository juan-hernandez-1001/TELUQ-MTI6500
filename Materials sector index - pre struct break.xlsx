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F1899535-E846-4C4A-9556-ABDC6A3F0C0C}" xr6:coauthVersionLast="47" xr6:coauthVersionMax="47" xr10:uidLastSave="{00000000-0000-0000-0000-000000000000}"/>
  <bookViews>
    <workbookView xWindow="-120" yWindow="-120" windowWidth="20730" windowHeight="11160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G15" i="112" s="1"/>
  <c r="E14" i="112"/>
  <c r="D14" i="112"/>
  <c r="C14" i="112"/>
  <c r="B14" i="112"/>
  <c r="G14" i="112" s="1"/>
  <c r="E13" i="112"/>
  <c r="D13" i="112"/>
  <c r="C13" i="112"/>
  <c r="B13" i="112"/>
  <c r="G13" i="112" s="1"/>
  <c r="E12" i="112"/>
  <c r="D12" i="112"/>
  <c r="C12" i="112"/>
  <c r="B12" i="112"/>
  <c r="G12" i="112" s="1"/>
  <c r="E11" i="112"/>
  <c r="D11" i="112"/>
  <c r="C11" i="112"/>
  <c r="B11" i="112"/>
  <c r="G11" i="112" s="1"/>
  <c r="E10" i="112"/>
  <c r="D10" i="112"/>
  <c r="C10" i="112"/>
  <c r="B10" i="112"/>
  <c r="G10" i="112" s="1"/>
  <c r="E9" i="112"/>
  <c r="D9" i="112"/>
  <c r="C9" i="112"/>
  <c r="B9" i="112"/>
  <c r="G9" i="112" s="1"/>
  <c r="E8" i="112"/>
  <c r="D8" i="112"/>
  <c r="C8" i="112"/>
  <c r="B8" i="112"/>
  <c r="G8" i="112" s="1"/>
  <c r="E7" i="112"/>
  <c r="D7" i="112"/>
  <c r="C7" i="112"/>
  <c r="B7" i="112"/>
  <c r="G7" i="112" s="1"/>
  <c r="E6" i="112"/>
  <c r="D6" i="112"/>
  <c r="C6" i="112"/>
  <c r="B6" i="112"/>
  <c r="G6" i="112" s="1"/>
  <c r="E5" i="112"/>
  <c r="D5" i="112"/>
  <c r="C5" i="112"/>
  <c r="B5" i="112"/>
  <c r="G5" i="112" s="1"/>
  <c r="H5" i="112" l="1"/>
  <c r="J5" i="112" s="1"/>
  <c r="I5" i="112"/>
  <c r="H7" i="112"/>
  <c r="I7" i="112"/>
  <c r="I9" i="112"/>
  <c r="H9" i="112"/>
  <c r="I11" i="112"/>
  <c r="H11" i="112"/>
  <c r="J11" i="112" s="1"/>
  <c r="H13" i="112"/>
  <c r="J13" i="112" s="1"/>
  <c r="I13" i="112"/>
  <c r="I15" i="112"/>
  <c r="H15" i="112"/>
  <c r="J15" i="112" s="1"/>
  <c r="I6" i="112"/>
  <c r="H6" i="112"/>
  <c r="I8" i="112"/>
  <c r="H8" i="112"/>
  <c r="J8" i="112" s="1"/>
  <c r="H10" i="112"/>
  <c r="J10" i="112" s="1"/>
  <c r="I10" i="112"/>
  <c r="H12" i="112"/>
  <c r="I12" i="112"/>
  <c r="I14" i="112"/>
  <c r="H14" i="112"/>
  <c r="J12" i="112" l="1"/>
  <c r="J7" i="112"/>
  <c r="J14" i="112"/>
  <c r="J6" i="112"/>
  <c r="B16" i="112" s="1"/>
  <c r="J9" i="112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3" i="42"/>
  <c r="B4" i="42"/>
  <c r="B5" i="42"/>
  <c r="B6" i="42"/>
  <c r="B7" i="42"/>
  <c r="B8" i="42"/>
  <c r="B9" i="42"/>
  <c r="B10" i="42"/>
  <c r="B11" i="42"/>
  <c r="E22" i="42" l="1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<sst xmlns="http://schemas.openxmlformats.org/spreadsheetml/2006/main" count="768" uniqueCount="106">
  <si>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</si>
  <si>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</si>
  <si>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</si>
  <si>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</si>
  <si>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</si>
  <si>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</si>
  <si>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</si>
  <si>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</si>
  <si>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</si>
  <si>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</si>
  <si>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</si>
  <si>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</si>
  <si>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</si>
  <si>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</si>
  <si>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</si>
  <si>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</si>
  <si>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</si>
  <si>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</si>
  <si>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</si>
  <si>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</si>
  <si>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</si>
  <si>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</si>
  <si>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</si>
  <si>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</si>
  <si>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</si>
  <si>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</si>
  <si>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</si>
  <si>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</si>
  <si>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</si>
  <si>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</si>
  <si>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</si>
  <si>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</si>
  <si>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</si>
  <si>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</si>
  <si>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</si>
  <si>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</si>
  <si>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</si>
  <si>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</si>
  <si>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</si>
  <si>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</si>
  <si>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</si>
  <si>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</si>
  <si>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</si>
  <si>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</si>
  <si>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</si>
  <si>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</si>
  <si>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</si>
  <si>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</si>
  <si>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</si>
  <si>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</si>
  <si>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</si>
  <si>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</si>
  <si>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</si>
  <si>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</si>
  <si>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</si>
  <si>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</si>
  <si>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</si>
  <si>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</si>
  <si>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</si>
  <si>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</si>
  <si>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</si>
  <si>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</si>
  <si>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</si>
  <si>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</si>
  <si>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</si>
  <si>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</si>
  <si>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</si>
  <si>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</si>
  <si>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</si>
  <si>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</si>
  <si>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</si>
  <si>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</si>
  <si>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</si>
  <si>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</si>
  <si>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</si>
  <si>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</si>
  <si>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</si>
  <si>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</si>
  <si>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</si>
  <si>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</si>
  <si>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</si>
  <si>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</si>
  <si>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</si>
  <si>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</si>
  <si>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</si>
  <si>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</si>
  <si>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</si>
  <si>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</si>
  <si>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</si>
  <si>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</si>
  <si>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</si>
  <si>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</si>
  <si>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</si>
  <si>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</si>
  <si>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</si>
  <si>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</si>
  <si>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</si>
  <si>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</si>
  <si>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Materials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</si>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</sst>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50537608032644E-2"/>
          <c:y val="4.1025635001650421E-2"/>
          <c:w val="0.91790418721024358"/>
          <c:h val="0.74937712690165714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205.04</c:v>
                </c:pt>
                <c:pt idx="1">
                  <c:v>194.49</c:v>
                </c:pt>
                <c:pt idx="2">
                  <c:v>206.33</c:v>
                </c:pt>
                <c:pt idx="3">
                  <c:v>197.33</c:v>
                </c:pt>
                <c:pt idx="4">
                  <c:v>217.08</c:v>
                </c:pt>
                <c:pt idx="5">
                  <c:v>198.81</c:v>
                </c:pt>
                <c:pt idx="6">
                  <c:v>193.66</c:v>
                </c:pt>
                <c:pt idx="7">
                  <c:v>200.88</c:v>
                </c:pt>
                <c:pt idx="8">
                  <c:v>224.07</c:v>
                </c:pt>
                <c:pt idx="9">
                  <c:v>239.87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</c:valAx>
      <c:valAx>
        <c:axId val="119367040"/>
        <c:scaling>
          <c:orientation val="minMax"/>
          <c:max val="245"/>
          <c:min val="19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71437</xdr:rowOff>
    </xdr:from>
    <xdr:to>
      <xdr:col>7</xdr:col>
      <xdr:colOff>0</xdr:colOff>
      <xdr:row>18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March%202025\SPTSX%20-%20pre%20struct%20brerak.xlsx" TargetMode="External"/><Relationship Id="rId1" Type="http://schemas.openxmlformats.org/officeDocument/2006/relationships/externalLinkPath" Target="file:///C:\Users\client\Documents\Teluq\MTI6500\Regressions\Thru%20July%202025\SPTSX%20-%20pre%20struct%20brer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Adj 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/>
      <sheetData sheetId="1"/>
      <sheetData sheetId="2"/>
      <sheetData sheetId="3">
        <row r="21">
          <cell r="CU21">
            <v>0.47166893830393025</v>
          </cell>
          <cell r="CX21">
            <v>0.11671305436870785</v>
          </cell>
        </row>
        <row r="22">
          <cell r="CU22">
            <v>-3.8789526433198558E-2</v>
          </cell>
          <cell r="CX22">
            <v>5.3413644835794923E-2</v>
          </cell>
        </row>
      </sheetData>
      <sheetData sheetId="4">
        <row r="21">
          <cell r="CU21">
            <v>7.2954396899441623</v>
          </cell>
          <cell r="CX21">
            <v>2.768664386721811E-2</v>
          </cell>
        </row>
        <row r="22">
          <cell r="CU22">
            <v>-0.59900894159729934</v>
          </cell>
          <cell r="CX22">
            <v>3.2542911081850825E-2</v>
          </cell>
        </row>
      </sheetData>
      <sheetData sheetId="5">
        <row r="21">
          <cell r="CU21">
            <v>0.81667353235596463</v>
          </cell>
          <cell r="CX21">
            <v>0.85644702960500751</v>
          </cell>
        </row>
        <row r="22">
          <cell r="CU22">
            <v>-0.29189926056318616</v>
          </cell>
          <cell r="CX22">
            <v>0.35712034196976017</v>
          </cell>
        </row>
      </sheetData>
      <sheetData sheetId="6">
        <row r="21">
          <cell r="CU21">
            <v>2.0499353939088802</v>
          </cell>
          <cell r="CX21">
            <v>0.46765473972889032</v>
          </cell>
        </row>
        <row r="22">
          <cell r="CU22">
            <v>-0.57841076563748139</v>
          </cell>
          <cell r="CX22">
            <v>3.1215712651666408E-2</v>
          </cell>
        </row>
      </sheetData>
      <sheetData sheetId="7">
        <row r="21">
          <cell r="CU21">
            <v>-0.78661641183334796</v>
          </cell>
          <cell r="CX21">
            <v>0.82295450836579598</v>
          </cell>
        </row>
        <row r="22">
          <cell r="CU22">
            <v>-0.54172911448149308</v>
          </cell>
          <cell r="CX22">
            <v>7.7249336995531687E-2</v>
          </cell>
        </row>
      </sheetData>
      <sheetData sheetId="8">
        <row r="21">
          <cell r="CU21">
            <v>5.6190027243607634</v>
          </cell>
          <cell r="CX21">
            <v>4.3602650747274652E-2</v>
          </cell>
        </row>
        <row r="22">
          <cell r="CU22">
            <v>-0.4898894565485401</v>
          </cell>
          <cell r="CX22">
            <v>2.9399064023934041E-2</v>
          </cell>
        </row>
      </sheetData>
      <sheetData sheetId="9">
        <row r="21">
          <cell r="CU21">
            <v>6.5537832616014811</v>
          </cell>
          <cell r="CX21">
            <v>4.8616804213800859E-2</v>
          </cell>
        </row>
        <row r="22">
          <cell r="CU22">
            <v>-1.3371202199178251</v>
          </cell>
          <cell r="CX22">
            <v>5.096610036732477E-3</v>
          </cell>
        </row>
      </sheetData>
      <sheetData sheetId="10">
        <row r="21">
          <cell r="CU21">
            <v>4.6201688592345862</v>
          </cell>
          <cell r="CX21">
            <v>0.23454426708710294</v>
          </cell>
        </row>
        <row r="22">
          <cell r="CU22">
            <v>-0.3641199575779473</v>
          </cell>
          <cell r="CX22">
            <v>0.16959445736668355</v>
          </cell>
        </row>
      </sheetData>
      <sheetData sheetId="11">
        <row r="21">
          <cell r="CU21">
            <v>1.5912655116658603</v>
          </cell>
          <cell r="CX21">
            <v>0.14869073870156579</v>
          </cell>
        </row>
        <row r="22">
          <cell r="CU22">
            <v>-0.14085437575512375</v>
          </cell>
          <cell r="CX22">
            <v>8.9330211395520942E-2</v>
          </cell>
        </row>
      </sheetData>
      <sheetData sheetId="12">
        <row r="21">
          <cell r="CU21">
            <v>3.0961089909746842</v>
          </cell>
          <cell r="CX21">
            <v>0.15006702675164074</v>
          </cell>
        </row>
        <row r="22">
          <cell r="CU22">
            <v>-0.24061119285450441</v>
          </cell>
          <cell r="CX22">
            <v>9.405505252752891E-2</v>
          </cell>
        </row>
      </sheetData>
      <sheetData sheetId="13">
        <row r="21">
          <cell r="CU21">
            <v>2.0669180510018115</v>
          </cell>
          <cell r="CX21">
            <v>0.56317273960926229</v>
          </cell>
        </row>
        <row r="22">
          <cell r="CU22">
            <v>-0.26307201950939124</v>
          </cell>
          <cell r="CX22">
            <v>0.28107461387969573</v>
          </cell>
        </row>
      </sheetData>
      <sheetData sheetId="14">
        <row r="21">
          <cell r="CU21">
            <v>0.13478974935231886</v>
          </cell>
          <cell r="CX21">
            <v>0.59782952319727678</v>
          </cell>
        </row>
        <row r="22">
          <cell r="CU22">
            <v>2.6420985933396793E-3</v>
          </cell>
          <cell r="CX22">
            <v>0.89855797976030294</v>
          </cell>
        </row>
      </sheetData>
      <sheetData sheetId="15">
        <row r="21">
          <cell r="CU21">
            <v>1.3730768621286524</v>
          </cell>
          <cell r="CX21">
            <v>0.77465368583621519</v>
          </cell>
        </row>
        <row r="22">
          <cell r="CU22">
            <v>1.6632860575436028E-2</v>
          </cell>
          <cell r="CX22">
            <v>0.96204958254955675</v>
          </cell>
        </row>
      </sheetData>
      <sheetData sheetId="16">
        <row r="21">
          <cell r="CU21">
            <v>0.69891559203672726</v>
          </cell>
          <cell r="CX21">
            <v>0.77815604780320302</v>
          </cell>
        </row>
        <row r="22">
          <cell r="CU22">
            <v>0.40711635151259173</v>
          </cell>
          <cell r="CX22">
            <v>0.22648505929457688</v>
          </cell>
        </row>
      </sheetData>
      <sheetData sheetId="17">
        <row r="21">
          <cell r="CU21">
            <v>2.7658333909477384</v>
          </cell>
          <cell r="CX21">
            <v>0.29756216963558796</v>
          </cell>
        </row>
        <row r="22">
          <cell r="CU22">
            <v>5.86859869787743E-2</v>
          </cell>
          <cell r="CX22">
            <v>0.90623419573255959</v>
          </cell>
        </row>
      </sheetData>
      <sheetData sheetId="18">
        <row r="21">
          <cell r="CU21">
            <v>1.5296150551133101</v>
          </cell>
          <cell r="CX21">
            <v>0.46092857144560601</v>
          </cell>
        </row>
        <row r="22">
          <cell r="CU22">
            <v>3.1431210877564078E-2</v>
          </cell>
          <cell r="CX22">
            <v>0.95861084844877897</v>
          </cell>
        </row>
      </sheetData>
      <sheetData sheetId="19">
        <row r="22">
          <cell r="CU22">
            <v>-0.19443963619747406</v>
          </cell>
          <cell r="CX22">
            <v>0.60454547204835341</v>
          </cell>
        </row>
      </sheetData>
      <sheetData sheetId="20">
        <row r="21">
          <cell r="CU21">
            <v>5.9450027052547645</v>
          </cell>
          <cell r="CX21">
            <v>0.53661079810870627</v>
          </cell>
        </row>
        <row r="22">
          <cell r="CU22">
            <v>-0.13639883514321127</v>
          </cell>
          <cell r="CX22">
            <v>0.89689068540947625</v>
          </cell>
        </row>
      </sheetData>
      <sheetData sheetId="21">
        <row r="21">
          <cell r="CU21">
            <v>1.2627372237115355</v>
          </cell>
          <cell r="CX21">
            <v>0.66607165489309827</v>
          </cell>
        </row>
        <row r="22">
          <cell r="CU22">
            <v>-4.9586115425949283E-2</v>
          </cell>
          <cell r="CX22">
            <v>0.75737150810767551</v>
          </cell>
        </row>
      </sheetData>
      <sheetData sheetId="22">
        <row r="21">
          <cell r="CU21">
            <v>0.24802555905082849</v>
          </cell>
          <cell r="CX21">
            <v>0.79117691977390692</v>
          </cell>
        </row>
        <row r="22">
          <cell r="CU22">
            <v>2.4762294878039326E-2</v>
          </cell>
          <cell r="CX22">
            <v>0.81923360734431716</v>
          </cell>
        </row>
      </sheetData>
      <sheetData sheetId="23">
        <row r="21">
          <cell r="CU21">
            <v>0.39129519889652409</v>
          </cell>
          <cell r="CX21">
            <v>0.81237469812045537</v>
          </cell>
        </row>
        <row r="22">
          <cell r="CU22">
            <v>2.4384046146144828E-2</v>
          </cell>
          <cell r="CX22">
            <v>0.81958091449195569</v>
          </cell>
        </row>
      </sheetData>
      <sheetData sheetId="24">
        <row r="21">
          <cell r="CU21">
            <v>1.4365377848611784</v>
          </cell>
          <cell r="CX21">
            <v>0.63681404543362508</v>
          </cell>
        </row>
      </sheetData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topLeftCell="BC1"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205.04</v>
      </c>
      <c r="C2" s="13">
        <v>5.4244434161139297E-2</v>
      </c>
      <c r="D2" s="14">
        <v>9.646422257646918E-2</v>
      </c>
      <c r="F2" s="13">
        <v>0.1247561451424113</v>
      </c>
      <c r="G2" s="13">
        <v>5.4244434161139297E-2</v>
      </c>
      <c r="H2" s="13">
        <v>-5.7383802646246318E-2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194.49</v>
      </c>
      <c r="C3" s="13">
        <v>-5.7383802646246318E-2</v>
      </c>
      <c r="D3" s="14">
        <v>-0.26341802316407364</v>
      </c>
      <c r="F3" s="13">
        <v>5.4244434161139297E-2</v>
      </c>
      <c r="G3" s="13">
        <v>-5.7383802646246318E-2</v>
      </c>
      <c r="H3" s="13">
        <v>4.5608878528353519E-2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206.33</v>
      </c>
      <c r="C4" s="13">
        <v>4.5608878528353519E-2</v>
      </c>
      <c r="D4" s="14">
        <v>-1.0060927661305124E-2</v>
      </c>
      <c r="F4" s="13">
        <v>-5.7383802646246318E-2</v>
      </c>
      <c r="G4" s="13">
        <v>4.5608878528353519E-2</v>
      </c>
      <c r="H4" s="13">
        <v>-9.0980283766353406E-2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197.33</v>
      </c>
      <c r="C5" s="13">
        <v>-9.0980283766353406E-2</v>
      </c>
      <c r="D5" s="14">
        <v>-0.20595118422061204</v>
      </c>
      <c r="F5" s="13">
        <v>4.5608878528353519E-2</v>
      </c>
      <c r="G5" s="13">
        <v>-9.0980283766353406E-2</v>
      </c>
      <c r="H5" s="13">
        <v>9.189678587596202E-2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217.08</v>
      </c>
      <c r="C6" s="13">
        <v>9.189678587596202E-2</v>
      </c>
      <c r="D6" s="14">
        <v>-0.11883065734918301</v>
      </c>
      <c r="F6" s="13">
        <v>-9.0980283766353406E-2</v>
      </c>
      <c r="G6" s="13">
        <v>9.189678587596202E-2</v>
      </c>
      <c r="H6" s="13">
        <v>2.6592998037798233E-2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198.81</v>
      </c>
      <c r="C7" s="13">
        <v>2.6592998037798233E-2</v>
      </c>
      <c r="D7" s="14">
        <v>3.1907220238021443E-2</v>
      </c>
      <c r="F7" s="13">
        <v>9.189678587596202E-2</v>
      </c>
      <c r="G7" s="13">
        <v>2.6592998037798233E-2</v>
      </c>
      <c r="H7" s="13">
        <v>-3.5941855834328948E-2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193.66</v>
      </c>
      <c r="C8" s="13">
        <v>-3.5941855834328948E-2</v>
      </c>
      <c r="D8" s="14">
        <v>-0.35427594827488063</v>
      </c>
      <c r="F8" s="13">
        <v>2.6592998037798233E-2</v>
      </c>
      <c r="G8" s="13">
        <v>-3.5941855834328948E-2</v>
      </c>
      <c r="H8" s="13">
        <v>-0.10349444370062925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200.88</v>
      </c>
      <c r="C9" s="13">
        <v>-0.10349444370062925</v>
      </c>
      <c r="D9" s="14">
        <v>-6.778317345306277E-2</v>
      </c>
      <c r="F9" s="13">
        <v>-3.5941855834328948E-2</v>
      </c>
      <c r="G9" s="13">
        <v>-0.10349444370062925</v>
      </c>
      <c r="H9" s="13">
        <v>-6.586901238170681E-2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224.07</v>
      </c>
      <c r="C10" s="13">
        <v>-6.586901238170681E-2</v>
      </c>
      <c r="D10" s="14">
        <v>-5.6557500781491396E-2</v>
      </c>
      <c r="F10" s="13">
        <v>-0.10349444370062925</v>
      </c>
      <c r="G10" s="13">
        <v>-6.586901238170681E-2</v>
      </c>
      <c r="H10" s="13">
        <v>1.3692262181464772E-2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239.87</v>
      </c>
      <c r="C11" s="13">
        <v>1.3692262181464772E-2</v>
      </c>
      <c r="D11" s="14">
        <v>4.3987865692802837E-2</v>
      </c>
      <c r="F11" s="13">
        <v>-6.586901238170681E-2</v>
      </c>
      <c r="G11" s="13">
        <v>1.3692262181464772E-2</v>
      </c>
      <c r="H11" s="13">
        <v>-7.2693784779371468E-2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4"/>
  <sheetViews>
    <sheetView workbookViewId="0">
      <selection activeCell="N14" sqref="N14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4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205.04</v>
      </c>
    </row>
    <row r="3" spans="1:2" x14ac:dyDescent="0.25">
      <c r="A3" s="17">
        <f>'ALL VARS'!A3</f>
        <v>43910</v>
      </c>
      <c r="B3" s="18">
        <f>'ALL VARS'!B3</f>
        <v>194.49</v>
      </c>
    </row>
    <row r="4" spans="1:2" x14ac:dyDescent="0.25">
      <c r="A4" s="17">
        <f>'ALL VARS'!A4</f>
        <v>43909</v>
      </c>
      <c r="B4" s="18">
        <f>'ALL VARS'!B4</f>
        <v>206.33</v>
      </c>
    </row>
    <row r="5" spans="1:2" x14ac:dyDescent="0.25">
      <c r="A5" s="17">
        <f>'ALL VARS'!A5</f>
        <v>43908</v>
      </c>
      <c r="B5" s="18">
        <f>'ALL VARS'!B5</f>
        <v>197.33</v>
      </c>
    </row>
    <row r="6" spans="1:2" x14ac:dyDescent="0.25">
      <c r="A6" s="17">
        <f>'ALL VARS'!A6</f>
        <v>43907</v>
      </c>
      <c r="B6" s="18">
        <f>'ALL VARS'!B6</f>
        <v>217.08</v>
      </c>
    </row>
    <row r="7" spans="1:2" x14ac:dyDescent="0.25">
      <c r="A7" s="17">
        <f>'ALL VARS'!A7</f>
        <v>43906</v>
      </c>
      <c r="B7" s="18">
        <f>'ALL VARS'!B7</f>
        <v>198.81</v>
      </c>
    </row>
    <row r="8" spans="1:2" x14ac:dyDescent="0.25">
      <c r="A8" s="17">
        <f>'ALL VARS'!A8</f>
        <v>43903</v>
      </c>
      <c r="B8" s="18">
        <f>'ALL VARS'!B8</f>
        <v>193.66</v>
      </c>
    </row>
    <row r="9" spans="1:2" x14ac:dyDescent="0.25">
      <c r="A9" s="17">
        <f>'ALL VARS'!A9</f>
        <v>43902</v>
      </c>
      <c r="B9" s="18">
        <f>'ALL VARS'!B9</f>
        <v>200.88</v>
      </c>
    </row>
    <row r="10" spans="1:2" x14ac:dyDescent="0.25">
      <c r="A10" s="17">
        <f>'ALL VARS'!A10</f>
        <v>43901</v>
      </c>
      <c r="B10" s="18">
        <f>'ALL VARS'!B10</f>
        <v>224.07</v>
      </c>
    </row>
    <row r="11" spans="1:2" x14ac:dyDescent="0.25">
      <c r="A11" s="17">
        <f>'ALL VARS'!A11</f>
        <v>43900</v>
      </c>
      <c r="B11" s="18">
        <f>'ALL VARS'!B11</f>
        <v>239.87</v>
      </c>
    </row>
    <row r="20" spans="4:8" x14ac:dyDescent="0.25">
      <c r="D20" s="17" t="s">
        <v>104</v>
      </c>
      <c r="E20" s="18">
        <f>MAX(B2:B11)</f>
        <v>239.87</v>
      </c>
      <c r="G20" s="19"/>
      <c r="H20" s="19"/>
    </row>
    <row r="21" spans="4:8" x14ac:dyDescent="0.25">
      <c r="D21" s="17" t="s">
        <v>31</v>
      </c>
      <c r="E21" s="18">
        <f>QUARTILE(B2:B11, 3)</f>
        <v>214.39250000000001</v>
      </c>
    </row>
    <row r="22" spans="4:8" x14ac:dyDescent="0.25">
      <c r="D22" s="17" t="s">
        <v>32</v>
      </c>
      <c r="E22" s="18">
        <f>MEDIAN(B2:B11)</f>
        <v>202.95999999999998</v>
      </c>
    </row>
    <row r="23" spans="4:8" x14ac:dyDescent="0.25">
      <c r="D23" s="17" t="s">
        <v>33</v>
      </c>
      <c r="E23" s="18">
        <f>QUARTILE(B2:B11, 1)</f>
        <v>197.70000000000002</v>
      </c>
    </row>
    <row r="24" spans="4:8" x14ac:dyDescent="0.25">
      <c r="D24" s="17" t="s">
        <v>105</v>
      </c>
      <c r="E24" s="18">
        <f>MIN(B2:B11)</f>
        <v>193.66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0.47852726381811578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0.22898834221725259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-0.58782098400894534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9.4286272959024975E-2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1.3201381155531988E-2</v>
      </c>
      <c r="L13" s="15">
        <v>2.6402762311063975E-3</v>
      </c>
      <c r="M13" s="15">
        <v>0.29699725017877227</v>
      </c>
      <c r="N13" s="15">
        <v>0.89232806839456313</v>
      </c>
    </row>
    <row r="14" spans="1:14" x14ac:dyDescent="0.25">
      <c r="I14" s="15" t="s">
        <v>63</v>
      </c>
      <c r="J14" s="15">
        <v>5</v>
      </c>
      <c r="K14" s="15">
        <v>4.4449506342518826E-2</v>
      </c>
      <c r="L14" s="15">
        <v>8.8899012685037648E-3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-4.2370303201239128E-3</v>
      </c>
      <c r="K19" s="15">
        <v>0.66536656006941575</v>
      </c>
      <c r="L19" s="15">
        <v>-6.36796402825215E-3</v>
      </c>
      <c r="M19" s="15">
        <v>0.99516539571816398</v>
      </c>
      <c r="N19" s="15">
        <v>-1.7146162236743832</v>
      </c>
      <c r="O19" s="15">
        <v>1.7061421630341351</v>
      </c>
      <c r="P19" s="15">
        <v>-1.7146162236743832</v>
      </c>
      <c r="Q19" s="15">
        <v>1.7061421630341351</v>
      </c>
    </row>
    <row r="20" spans="9:17" x14ac:dyDescent="0.25">
      <c r="I20" s="15" t="s">
        <v>54</v>
      </c>
      <c r="J20" s="15">
        <v>-0.13155325769346929</v>
      </c>
      <c r="K20" s="15">
        <v>0.52651609061442894</v>
      </c>
      <c r="L20" s="15">
        <v>-0.24985610133956299</v>
      </c>
      <c r="M20" s="15">
        <v>0.81263938623602405</v>
      </c>
      <c r="N20" s="15">
        <v>-1.4850059563971645</v>
      </c>
      <c r="O20" s="15">
        <v>1.221899441010226</v>
      </c>
      <c r="P20" s="15">
        <v>-1.4850059563971645</v>
      </c>
      <c r="Q20" s="15">
        <v>1.221899441010226</v>
      </c>
    </row>
    <row r="21" spans="9:17" x14ac:dyDescent="0.25">
      <c r="I21" s="15" t="s">
        <v>5</v>
      </c>
      <c r="J21" s="15">
        <v>0.29567463766291641</v>
      </c>
      <c r="K21" s="15">
        <v>0.25490822832730736</v>
      </c>
      <c r="L21" s="15">
        <v>1.1599258274364692</v>
      </c>
      <c r="M21" s="15">
        <v>0.29845183835969574</v>
      </c>
      <c r="N21" s="15">
        <v>-0.35958782382949422</v>
      </c>
      <c r="O21" s="15">
        <v>0.95093709915532698</v>
      </c>
      <c r="P21" s="15">
        <v>-0.35958782382949422</v>
      </c>
      <c r="Q21" s="15">
        <v>0.95093709915532698</v>
      </c>
    </row>
    <row r="22" spans="9:17" x14ac:dyDescent="0.25">
      <c r="I22" s="15" t="s">
        <v>18</v>
      </c>
      <c r="J22" s="15">
        <v>-4.3383969618718699E-3</v>
      </c>
      <c r="K22" s="15">
        <v>2.8526349325370702E-2</v>
      </c>
      <c r="L22" s="15">
        <v>-0.15208384754699039</v>
      </c>
      <c r="M22" s="15">
        <v>0.88506708464938322</v>
      </c>
      <c r="N22" s="15">
        <v>-7.7667712374686046E-2</v>
      </c>
      <c r="O22" s="15">
        <v>6.899091845094231E-2</v>
      </c>
      <c r="P22" s="15">
        <v>-7.7667712374686046E-2</v>
      </c>
      <c r="Q22" s="15">
        <v>6.899091845094231E-2</v>
      </c>
    </row>
    <row r="23" spans="9:17" ht="15.75" thickBot="1" x14ac:dyDescent="0.3">
      <c r="I23" s="21" t="s">
        <v>3</v>
      </c>
      <c r="J23" s="21">
        <v>5.997821020568907E-4</v>
      </c>
      <c r="K23" s="21">
        <v>7.6098189736698821E-4</v>
      </c>
      <c r="L23" s="21">
        <v>0.78816868592031974</v>
      </c>
      <c r="M23" s="21">
        <v>0.46630405024900395</v>
      </c>
      <c r="N23" s="21">
        <v>-1.3563841405627476E-3</v>
      </c>
      <c r="O23" s="21">
        <v>2.5559483446765292E-3</v>
      </c>
      <c r="P23" s="21">
        <v>-1.3563841405627476E-3</v>
      </c>
      <c r="Q23" s="21">
        <v>2.5559483446765292E-3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0.81809878584429041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0.66928562339990216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0.20471412211982382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6.1751076621157384E-2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3.8584910178690562E-2</v>
      </c>
      <c r="L13" s="15">
        <v>7.7169820357381128E-3</v>
      </c>
      <c r="M13" s="15">
        <v>2.0237572683730258</v>
      </c>
      <c r="N13" s="15">
        <v>0.25717633091532782</v>
      </c>
    </row>
    <row r="14" spans="1:14" x14ac:dyDescent="0.25">
      <c r="I14" s="15" t="s">
        <v>63</v>
      </c>
      <c r="J14" s="15">
        <v>5</v>
      </c>
      <c r="K14" s="15">
        <v>1.9065977319360251E-2</v>
      </c>
      <c r="L14" s="15">
        <v>3.8131954638720503E-3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0.32709371415650057</v>
      </c>
      <c r="K19" s="15">
        <v>0.39115910576128837</v>
      </c>
      <c r="L19" s="15">
        <v>0.83621654037657811</v>
      </c>
      <c r="M19" s="15">
        <v>0.44115193178242373</v>
      </c>
      <c r="N19" s="15">
        <v>-0.67841277795721167</v>
      </c>
      <c r="O19" s="15">
        <v>1.3326002062702127</v>
      </c>
      <c r="P19" s="15">
        <v>-0.67841277795721167</v>
      </c>
      <c r="Q19" s="15">
        <v>1.3326002062702127</v>
      </c>
    </row>
    <row r="20" spans="9:17" x14ac:dyDescent="0.25">
      <c r="I20" s="15" t="s">
        <v>54</v>
      </c>
      <c r="J20" s="15">
        <v>0.26968583808541308</v>
      </c>
      <c r="K20" s="15">
        <v>0.32573634798709128</v>
      </c>
      <c r="L20" s="15">
        <v>0.82792675656847647</v>
      </c>
      <c r="M20" s="15">
        <v>0.44541717498411909</v>
      </c>
      <c r="N20" s="15">
        <v>-0.56764610125671355</v>
      </c>
      <c r="O20" s="15">
        <v>1.1070177774275396</v>
      </c>
      <c r="P20" s="15">
        <v>-0.56764610125671355</v>
      </c>
      <c r="Q20" s="15">
        <v>1.1070177774275396</v>
      </c>
    </row>
    <row r="21" spans="9:17" x14ac:dyDescent="0.25">
      <c r="I21" s="15" t="s">
        <v>8</v>
      </c>
      <c r="J21" s="15">
        <v>8.9790668626932302</v>
      </c>
      <c r="K21" s="15">
        <v>3.0340713136118516</v>
      </c>
      <c r="L21" s="15">
        <v>2.9594119368289578</v>
      </c>
      <c r="M21" s="15">
        <v>3.1540313697135468E-2</v>
      </c>
      <c r="N21" s="15">
        <v>1.1797382558973908</v>
      </c>
      <c r="O21" s="15">
        <v>16.77839546948907</v>
      </c>
      <c r="P21" s="15">
        <v>1.1797382558973908</v>
      </c>
      <c r="Q21" s="15">
        <v>16.77839546948907</v>
      </c>
    </row>
    <row r="22" spans="9:17" x14ac:dyDescent="0.25">
      <c r="I22" s="15" t="s">
        <v>78</v>
      </c>
      <c r="J22" s="15">
        <v>-0.49774760669881807</v>
      </c>
      <c r="K22" s="15">
        <v>0.29868060052285716</v>
      </c>
      <c r="L22" s="15">
        <v>-1.6664878998752612</v>
      </c>
      <c r="M22" s="15">
        <v>0.15649390686017353</v>
      </c>
      <c r="N22" s="15">
        <v>-1.2655305330598212</v>
      </c>
      <c r="O22" s="15">
        <v>0.27003531966218502</v>
      </c>
      <c r="P22" s="15">
        <v>-1.2655305330598212</v>
      </c>
      <c r="Q22" s="15">
        <v>0.27003531966218502</v>
      </c>
    </row>
    <row r="23" spans="9:17" ht="15.75" thickBot="1" x14ac:dyDescent="0.3">
      <c r="I23" s="21" t="s">
        <v>3</v>
      </c>
      <c r="J23" s="21">
        <v>1.035679299030641E-3</v>
      </c>
      <c r="K23" s="21">
        <v>4.9320172230339946E-4</v>
      </c>
      <c r="L23" s="21">
        <v>2.0999101426363822</v>
      </c>
      <c r="M23" s="21">
        <v>8.976348481268219E-2</v>
      </c>
      <c r="N23" s="21">
        <v>-2.3213608962702366E-4</v>
      </c>
      <c r="O23" s="21">
        <v>2.3034946876883057E-3</v>
      </c>
      <c r="P23" s="21">
        <v>-2.3213608962702366E-4</v>
      </c>
      <c r="Q23" s="21">
        <v>2.3034946876883057E-3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0.21299795520617712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4.5368128922012634E-2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-0.91833736794037724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0.10491460775465998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2.6155128964800156E-3</v>
      </c>
      <c r="L13" s="15">
        <v>5.231025792960031E-4</v>
      </c>
      <c r="M13" s="15">
        <v>4.7524213570181904E-2</v>
      </c>
      <c r="N13" s="15">
        <v>0.99749837406109765</v>
      </c>
    </row>
    <row r="14" spans="1:14" x14ac:dyDescent="0.25">
      <c r="I14" s="15" t="s">
        <v>63</v>
      </c>
      <c r="J14" s="15">
        <v>5</v>
      </c>
      <c r="K14" s="15">
        <v>5.5035374601570798E-2</v>
      </c>
      <c r="L14" s="15">
        <v>1.100707492031416E-2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-0.12918518365772341</v>
      </c>
      <c r="K19" s="15">
        <v>0.72004292027981798</v>
      </c>
      <c r="L19" s="15">
        <v>-0.17941317110307867</v>
      </c>
      <c r="M19" s="15">
        <v>0.86465731067625284</v>
      </c>
      <c r="N19" s="15">
        <v>-1.9801144354075506</v>
      </c>
      <c r="O19" s="15">
        <v>1.7217440680921039</v>
      </c>
      <c r="P19" s="15">
        <v>-1.9801144354075506</v>
      </c>
      <c r="Q19" s="15">
        <v>1.7217440680921039</v>
      </c>
    </row>
    <row r="20" spans="9:17" x14ac:dyDescent="0.25">
      <c r="I20" s="15" t="s">
        <v>54</v>
      </c>
      <c r="J20" s="15">
        <v>8.8529429443228447E-3</v>
      </c>
      <c r="K20" s="15">
        <v>0.62063234696861957</v>
      </c>
      <c r="L20" s="15">
        <v>1.4264391773267446E-2</v>
      </c>
      <c r="M20" s="15">
        <v>0.98917072360244618</v>
      </c>
      <c r="N20" s="15">
        <v>-1.5865332947815456</v>
      </c>
      <c r="O20" s="15">
        <v>1.6042391806701914</v>
      </c>
      <c r="P20" s="15">
        <v>-1.5865332947815456</v>
      </c>
      <c r="Q20" s="15">
        <v>1.6042391806701914</v>
      </c>
    </row>
    <row r="21" spans="9:17" x14ac:dyDescent="0.25">
      <c r="I21" s="15" t="s">
        <v>9</v>
      </c>
      <c r="J21" s="15">
        <v>1.155473744957771</v>
      </c>
      <c r="K21" s="15">
        <v>3.2539497163188105</v>
      </c>
      <c r="L21" s="15">
        <v>0.35509883240142909</v>
      </c>
      <c r="M21" s="15">
        <v>0.73700340643196482</v>
      </c>
      <c r="N21" s="15">
        <v>-7.2090702898853039</v>
      </c>
      <c r="O21" s="15">
        <v>9.5200177798008454</v>
      </c>
      <c r="P21" s="15">
        <v>-7.2090702898853039</v>
      </c>
      <c r="Q21" s="15">
        <v>9.5200177798008454</v>
      </c>
    </row>
    <row r="22" spans="9:17" x14ac:dyDescent="0.25">
      <c r="I22" s="15" t="s">
        <v>79</v>
      </c>
      <c r="J22" s="15">
        <v>-0.10256205876752063</v>
      </c>
      <c r="K22" s="15">
        <v>0.53716482361161411</v>
      </c>
      <c r="L22" s="15">
        <v>-0.19093219484840279</v>
      </c>
      <c r="M22" s="15">
        <v>0.85608944943393039</v>
      </c>
      <c r="N22" s="15">
        <v>-1.483388197086321</v>
      </c>
      <c r="O22" s="15">
        <v>1.2782640795512796</v>
      </c>
      <c r="P22" s="15">
        <v>-1.483388197086321</v>
      </c>
      <c r="Q22" s="15">
        <v>1.2782640795512796</v>
      </c>
    </row>
    <row r="23" spans="9:17" ht="15.75" thickBot="1" x14ac:dyDescent="0.3">
      <c r="I23" s="21" t="s">
        <v>3</v>
      </c>
      <c r="J23" s="21">
        <v>2.2323567328853448E-4</v>
      </c>
      <c r="K23" s="21">
        <v>7.00014911351787E-4</v>
      </c>
      <c r="L23" s="21">
        <v>0.3189013114841337</v>
      </c>
      <c r="M23" s="21">
        <v>0.76269301242998577</v>
      </c>
      <c r="N23" s="21">
        <v>-1.5762099425069346E-3</v>
      </c>
      <c r="O23" s="21">
        <v>2.0226812890840034E-3</v>
      </c>
      <c r="P23" s="21">
        <v>-1.5762099425069346E-3</v>
      </c>
      <c r="Q23" s="21">
        <v>2.0226812890840034E-3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0.7303294967097308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0.53338117376428873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-3.9913887224280312E-2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7.3349832250370575E-2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3.0749898042263302E-2</v>
      </c>
      <c r="L13" s="15">
        <v>6.1499796084526605E-3</v>
      </c>
      <c r="M13" s="15">
        <v>1.1430768408277909</v>
      </c>
      <c r="N13" s="15">
        <v>0.46134723834416991</v>
      </c>
    </row>
    <row r="14" spans="1:14" x14ac:dyDescent="0.25">
      <c r="I14" s="15" t="s">
        <v>63</v>
      </c>
      <c r="J14" s="15">
        <v>5</v>
      </c>
      <c r="K14" s="15">
        <v>2.6900989455787512E-2</v>
      </c>
      <c r="L14" s="15">
        <v>5.3801978911575026E-3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-0.79574225080893268</v>
      </c>
      <c r="K19" s="15">
        <v>0.51057964368925868</v>
      </c>
      <c r="L19" s="15">
        <v>-1.558507591605484</v>
      </c>
      <c r="M19" s="15">
        <v>0.17985220764787185</v>
      </c>
      <c r="N19" s="15">
        <v>-2.1082290085222031</v>
      </c>
      <c r="O19" s="15">
        <v>0.51674450690433749</v>
      </c>
      <c r="P19" s="15">
        <v>-2.1082290085222031</v>
      </c>
      <c r="Q19" s="15">
        <v>0.51674450690433749</v>
      </c>
    </row>
    <row r="20" spans="9:17" x14ac:dyDescent="0.25">
      <c r="I20" s="15" t="s">
        <v>54</v>
      </c>
      <c r="J20" s="15">
        <v>-3.42741770665747E-2</v>
      </c>
      <c r="K20" s="15">
        <v>0.40017428390757148</v>
      </c>
      <c r="L20" s="15">
        <v>-8.5648124941709217E-2</v>
      </c>
      <c r="M20" s="15">
        <v>0.93507002973195874</v>
      </c>
      <c r="N20" s="15">
        <v>-1.0629549223681476</v>
      </c>
      <c r="O20" s="15">
        <v>0.99440656823499829</v>
      </c>
      <c r="P20" s="15">
        <v>-1.0629549223681476</v>
      </c>
      <c r="Q20" s="15">
        <v>0.99440656823499829</v>
      </c>
    </row>
    <row r="21" spans="9:17" x14ac:dyDescent="0.25">
      <c r="I21" s="15" t="s">
        <v>10</v>
      </c>
      <c r="J21" s="15">
        <v>-0.27525334135374369</v>
      </c>
      <c r="K21" s="15">
        <v>2.2881149821425026</v>
      </c>
      <c r="L21" s="15">
        <v>-0.12029698835152378</v>
      </c>
      <c r="M21" s="15">
        <v>0.90893233908394833</v>
      </c>
      <c r="N21" s="15">
        <v>-6.1570401522965721</v>
      </c>
      <c r="O21" s="15">
        <v>5.6065334695890847</v>
      </c>
      <c r="P21" s="15">
        <v>-6.1570401522965721</v>
      </c>
      <c r="Q21" s="15">
        <v>5.6065334695890847</v>
      </c>
    </row>
    <row r="22" spans="9:17" x14ac:dyDescent="0.25">
      <c r="I22" s="15" t="s">
        <v>80</v>
      </c>
      <c r="J22" s="15">
        <v>-0.96639292984445957</v>
      </c>
      <c r="K22" s="15">
        <v>0.42826979300411328</v>
      </c>
      <c r="L22" s="15">
        <v>-2.2565050013582861</v>
      </c>
      <c r="M22" s="15">
        <v>7.3673658952523965E-2</v>
      </c>
      <c r="N22" s="15">
        <v>-2.0672954804925578</v>
      </c>
      <c r="O22" s="15">
        <v>0.13450962080363871</v>
      </c>
      <c r="P22" s="15">
        <v>-2.0672954804925578</v>
      </c>
      <c r="Q22" s="15">
        <v>0.13450962080363871</v>
      </c>
    </row>
    <row r="23" spans="9:17" ht="15.75" thickBot="1" x14ac:dyDescent="0.3">
      <c r="I23" s="21" t="s">
        <v>3</v>
      </c>
      <c r="J23" s="21">
        <v>-3.5044663819697088E-4</v>
      </c>
      <c r="K23" s="21">
        <v>6.1440719686212781E-4</v>
      </c>
      <c r="L23" s="21">
        <v>-0.57038172727591052</v>
      </c>
      <c r="M23" s="21">
        <v>0.59309362221962014</v>
      </c>
      <c r="N23" s="21">
        <v>-1.9298306181349822E-3</v>
      </c>
      <c r="O23" s="21">
        <v>1.2289373417410405E-3</v>
      </c>
      <c r="P23" s="21">
        <v>-1.9298306181349822E-3</v>
      </c>
      <c r="Q23" s="21">
        <v>1.2289373417410405E-3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0.63136772046004297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0.39862519843891092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-0.28247464280996032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8.3270392131850779E-2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2.2981096469089836E-2</v>
      </c>
      <c r="L13" s="15">
        <v>4.5962192938179668E-3</v>
      </c>
      <c r="M13" s="15">
        <v>0.66285650380450412</v>
      </c>
      <c r="N13" s="15">
        <v>0.67282715103281421</v>
      </c>
    </row>
    <row r="14" spans="1:14" x14ac:dyDescent="0.25">
      <c r="I14" s="15" t="s">
        <v>63</v>
      </c>
      <c r="J14" s="15">
        <v>5</v>
      </c>
      <c r="K14" s="15">
        <v>3.4669791028960978E-2</v>
      </c>
      <c r="L14" s="15">
        <v>6.9339582057921954E-3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-0.65295499027033799</v>
      </c>
      <c r="K19" s="15">
        <v>0.5768900316685639</v>
      </c>
      <c r="L19" s="15">
        <v>-1.1318534806049052</v>
      </c>
      <c r="M19" s="15">
        <v>0.30904050301082775</v>
      </c>
      <c r="N19" s="15">
        <v>-2.1358980268372072</v>
      </c>
      <c r="O19" s="15">
        <v>0.829988046296531</v>
      </c>
      <c r="P19" s="15">
        <v>-2.1358980268372072</v>
      </c>
      <c r="Q19" s="15">
        <v>0.829988046296531</v>
      </c>
    </row>
    <row r="20" spans="9:17" x14ac:dyDescent="0.25">
      <c r="I20" s="15" t="s">
        <v>54</v>
      </c>
      <c r="J20" s="15">
        <v>-1.9580631077138966E-2</v>
      </c>
      <c r="K20" s="15">
        <v>0.49535874953561326</v>
      </c>
      <c r="L20" s="15">
        <v>-3.9528182545468978E-2</v>
      </c>
      <c r="M20" s="15">
        <v>0.96999904951283256</v>
      </c>
      <c r="N20" s="15">
        <v>-1.2929408347569054</v>
      </c>
      <c r="O20" s="15">
        <v>1.2537795726026275</v>
      </c>
      <c r="P20" s="15">
        <v>-1.2929408347569054</v>
      </c>
      <c r="Q20" s="15">
        <v>1.2537795726026275</v>
      </c>
    </row>
    <row r="21" spans="9:17" x14ac:dyDescent="0.25">
      <c r="I21" s="15" t="s">
        <v>11</v>
      </c>
      <c r="J21" s="15">
        <v>-0.588850955212886</v>
      </c>
      <c r="K21" s="15">
        <v>2.4844169568673999</v>
      </c>
      <c r="L21" s="15">
        <v>-0.23701776530915641</v>
      </c>
      <c r="M21" s="15">
        <v>0.82204783460744801</v>
      </c>
      <c r="N21" s="15">
        <v>-6.9752480566830748</v>
      </c>
      <c r="O21" s="15">
        <v>5.7975461462573019</v>
      </c>
      <c r="P21" s="15">
        <v>-6.9752480566830748</v>
      </c>
      <c r="Q21" s="15">
        <v>5.7975461462573019</v>
      </c>
    </row>
    <row r="22" spans="9:17" x14ac:dyDescent="0.25">
      <c r="I22" s="15" t="s">
        <v>81</v>
      </c>
      <c r="J22" s="15">
        <v>-0.75185761135681584</v>
      </c>
      <c r="K22" s="15">
        <v>0.44959171057475616</v>
      </c>
      <c r="L22" s="15">
        <v>-1.6723119970242428</v>
      </c>
      <c r="M22" s="15">
        <v>0.15532330232248484</v>
      </c>
      <c r="N22" s="15">
        <v>-1.9075698960129435</v>
      </c>
      <c r="O22" s="15">
        <v>0.40385467329931179</v>
      </c>
      <c r="P22" s="15">
        <v>-1.9075698960129435</v>
      </c>
      <c r="Q22" s="15">
        <v>0.40385467329931179</v>
      </c>
    </row>
    <row r="23" spans="9:17" ht="15.75" thickBot="1" x14ac:dyDescent="0.3">
      <c r="I23" s="21" t="s">
        <v>3</v>
      </c>
      <c r="J23" s="21">
        <v>-2.7688269415728536E-4</v>
      </c>
      <c r="K23" s="21">
        <v>6.8072827146671566E-4</v>
      </c>
      <c r="L23" s="21">
        <v>-0.40674481399267637</v>
      </c>
      <c r="M23" s="21">
        <v>0.70102143180923138</v>
      </c>
      <c r="N23" s="21">
        <v>-2.0267504237937309E-3</v>
      </c>
      <c r="O23" s="21">
        <v>1.4729850354791604E-3</v>
      </c>
      <c r="P23" s="21">
        <v>-2.0267504237937309E-3</v>
      </c>
      <c r="Q23" s="21">
        <v>1.4729850354791604E-3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0.82929063779622481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0.68772296193646931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0.23790133148564471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6.0005080434285131E-2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3.9647839108425675E-2</v>
      </c>
      <c r="L13" s="15">
        <v>7.9295678216851351E-3</v>
      </c>
      <c r="M13" s="15">
        <v>2.2022847603561444</v>
      </c>
      <c r="N13" s="15">
        <v>0.23216039644678421</v>
      </c>
    </row>
    <row r="14" spans="1:14" x14ac:dyDescent="0.25">
      <c r="I14" s="15" t="s">
        <v>63</v>
      </c>
      <c r="J14" s="15">
        <v>5</v>
      </c>
      <c r="K14" s="15">
        <v>1.8003048389625142E-2</v>
      </c>
      <c r="L14" s="15">
        <v>3.6006096779250285E-3</v>
      </c>
    </row>
    <row r="15" spans="1:14" ht="15.75" thickBot="1" x14ac:dyDescent="0.3">
      <c r="I15" s="21" t="s">
        <v>64</v>
      </c>
      <c r="J15" s="21">
        <v>10</v>
      </c>
      <c r="K15" s="21">
        <v>5.7650887498050821E-2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0.76814045366447836</v>
      </c>
      <c r="K19" s="15">
        <v>0.42798165821848039</v>
      </c>
      <c r="L19" s="15">
        <v>1.794797601518592</v>
      </c>
      <c r="M19" s="15">
        <v>0.13264305976571222</v>
      </c>
      <c r="N19" s="15">
        <v>-0.33202142293745684</v>
      </c>
      <c r="O19" s="15">
        <v>1.8683023302664137</v>
      </c>
      <c r="P19" s="15">
        <v>-0.33202142293745684</v>
      </c>
      <c r="Q19" s="15">
        <v>1.8683023302664137</v>
      </c>
    </row>
    <row r="20" spans="9:17" x14ac:dyDescent="0.25">
      <c r="I20" s="15" t="s">
        <v>54</v>
      </c>
      <c r="J20" s="15">
        <v>0.1826502504406117</v>
      </c>
      <c r="K20" s="15">
        <v>0.32125044372742262</v>
      </c>
      <c r="L20" s="15">
        <v>0.56856030554027304</v>
      </c>
      <c r="M20" s="15">
        <v>0.59423886475033338</v>
      </c>
      <c r="N20" s="15">
        <v>-0.64315030489520708</v>
      </c>
      <c r="O20" s="15">
        <v>1.0084508057764305</v>
      </c>
      <c r="P20" s="15">
        <v>-0.64315030489520708</v>
      </c>
      <c r="Q20" s="15">
        <v>1.0084508057764305</v>
      </c>
    </row>
    <row r="21" spans="9:17" x14ac:dyDescent="0.25">
      <c r="I21" s="15" t="s">
        <v>12</v>
      </c>
      <c r="J21" s="15">
        <v>8.1343330294619154</v>
      </c>
      <c r="K21" s="15">
        <v>2.6961778317751244</v>
      </c>
      <c r="L21" s="15">
        <v>3.0169868372912139</v>
      </c>
      <c r="M21" s="15">
        <v>2.9518121070572764E-2</v>
      </c>
      <c r="N21" s="15">
        <v>1.2035872694554763</v>
      </c>
      <c r="O21" s="15">
        <v>15.065078789468355</v>
      </c>
      <c r="P21" s="15">
        <v>1.2035872694554763</v>
      </c>
      <c r="Q21" s="15">
        <v>15.065078789468355</v>
      </c>
    </row>
    <row r="22" spans="9:17" x14ac:dyDescent="0.25">
      <c r="I22" s="15" t="s">
        <v>82</v>
      </c>
      <c r="J22" s="15">
        <v>-0.26425333149673264</v>
      </c>
      <c r="K22" s="15">
        <v>0.21360276645561205</v>
      </c>
      <c r="L22" s="15">
        <v>-1.2371250423465188</v>
      </c>
      <c r="M22" s="15">
        <v>0.27097139188006858</v>
      </c>
      <c r="N22" s="15">
        <v>-0.81333672298919502</v>
      </c>
      <c r="O22" s="15">
        <v>0.28483005999572969</v>
      </c>
      <c r="P22" s="15">
        <v>-0.81333672298919502</v>
      </c>
      <c r="Q22" s="15">
        <v>0.28483005999572969</v>
      </c>
    </row>
    <row r="23" spans="9:17" ht="15.75" thickBot="1" x14ac:dyDescent="0.3">
      <c r="I23" s="21" t="s">
        <v>3</v>
      </c>
      <c r="J23" s="21">
        <v>1.4730282987270042E-3</v>
      </c>
      <c r="K23" s="21">
        <v>5.6760376444064183E-4</v>
      </c>
      <c r="L23" s="21">
        <v>2.5951700658268781</v>
      </c>
      <c r="M23" s="21">
        <v>4.8532191770835925E-2</v>
      </c>
      <c r="N23" s="21">
        <v>1.395637201709668E-5</v>
      </c>
      <c r="O23" s="21">
        <v>2.9321002254369117E-3</v>
      </c>
      <c r="P23" s="21">
        <v>1.395637201709668E-5</v>
      </c>
      <c r="Q23" s="21">
        <v>2.9321002254369117E-3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0.50237590507175012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0.25238154999666007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-0.54571321000601192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9.2844889092087005E-2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1.4550020345441138E-2</v>
      </c>
      <c r="L13" s="15">
        <v>2.9100040690882276E-3</v>
      </c>
      <c r="M13" s="15">
        <v>0.3375806870410068</v>
      </c>
      <c r="N13" s="15">
        <v>0.8676874167207026</v>
      </c>
    </row>
    <row r="14" spans="1:14" x14ac:dyDescent="0.25">
      <c r="I14" s="15" t="s">
        <v>63</v>
      </c>
      <c r="J14" s="15">
        <v>5</v>
      </c>
      <c r="K14" s="15">
        <v>4.3100867152609676E-2</v>
      </c>
      <c r="L14" s="15">
        <v>8.6201734305219359E-3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-0.58156603209360169</v>
      </c>
      <c r="K19" s="15">
        <v>0.67524280157804417</v>
      </c>
      <c r="L19" s="15">
        <v>-0.86126950296172045</v>
      </c>
      <c r="M19" s="15">
        <v>0.42845023074636851</v>
      </c>
      <c r="N19" s="15">
        <v>-2.3173329124742987</v>
      </c>
      <c r="O19" s="15">
        <v>1.1542008482870951</v>
      </c>
      <c r="P19" s="15">
        <v>-2.3173329124742987</v>
      </c>
      <c r="Q19" s="15">
        <v>1.1542008482870951</v>
      </c>
    </row>
    <row r="20" spans="9:17" x14ac:dyDescent="0.25">
      <c r="I20" s="15" t="s">
        <v>54</v>
      </c>
      <c r="J20" s="15">
        <v>0.23933913019147959</v>
      </c>
      <c r="K20" s="15">
        <v>0.49742942047680805</v>
      </c>
      <c r="L20" s="15">
        <v>0.48115193902697284</v>
      </c>
      <c r="M20" s="15">
        <v>0.65072617056872961</v>
      </c>
      <c r="N20" s="15">
        <v>-1.0393439025973021</v>
      </c>
      <c r="O20" s="15">
        <v>1.5180221629802613</v>
      </c>
      <c r="P20" s="15">
        <v>-1.0393439025973021</v>
      </c>
      <c r="Q20" s="15">
        <v>1.5180221629802613</v>
      </c>
    </row>
    <row r="21" spans="9:17" x14ac:dyDescent="0.25">
      <c r="I21" s="15" t="s">
        <v>13</v>
      </c>
      <c r="J21" s="15">
        <v>1.0703876434062837E-2</v>
      </c>
      <c r="K21" s="15">
        <v>5.8250002904014151</v>
      </c>
      <c r="L21" s="15">
        <v>1.8375752618761169E-3</v>
      </c>
      <c r="M21" s="15">
        <v>0.99860488921724821</v>
      </c>
      <c r="N21" s="15">
        <v>-14.962936062648076</v>
      </c>
      <c r="O21" s="15">
        <v>14.984343815516201</v>
      </c>
      <c r="P21" s="15">
        <v>-14.962936062648076</v>
      </c>
      <c r="Q21" s="15">
        <v>14.984343815516201</v>
      </c>
    </row>
    <row r="22" spans="9:17" x14ac:dyDescent="0.25">
      <c r="I22" s="15" t="s">
        <v>83</v>
      </c>
      <c r="J22" s="15">
        <v>-1.3805766748517529</v>
      </c>
      <c r="K22" s="15">
        <v>1.0953849757998753</v>
      </c>
      <c r="L22" s="15">
        <v>-1.2603575047609397</v>
      </c>
      <c r="M22" s="15">
        <v>0.26315882399758855</v>
      </c>
      <c r="N22" s="15">
        <v>-4.1963533966718369</v>
      </c>
      <c r="O22" s="15">
        <v>1.4352000469683308</v>
      </c>
      <c r="P22" s="15">
        <v>-4.1963533966718369</v>
      </c>
      <c r="Q22" s="15">
        <v>1.4352000469683308</v>
      </c>
    </row>
    <row r="23" spans="9:17" ht="15.75" thickBot="1" x14ac:dyDescent="0.3">
      <c r="I23" s="21" t="s">
        <v>3</v>
      </c>
      <c r="J23" s="21">
        <v>-3.7208453666578935E-4</v>
      </c>
      <c r="K23" s="21">
        <v>8.5022984431006314E-4</v>
      </c>
      <c r="L23" s="21">
        <v>-0.43762817684637401</v>
      </c>
      <c r="M23" s="21">
        <v>0.67991391849045102</v>
      </c>
      <c r="N23" s="21">
        <v>-2.55766993056513E-3</v>
      </c>
      <c r="O23" s="21">
        <v>1.8135008572335511E-3</v>
      </c>
      <c r="P23" s="21">
        <v>-2.55766993056513E-3</v>
      </c>
      <c r="Q23" s="21">
        <v>1.8135008572335511E-3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0.43844723216994341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0.19223597539748427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-0.65397524428452836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9.6507318797418029E-2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1.108257459071843E-2</v>
      </c>
      <c r="L13" s="15">
        <v>2.2165149181436862E-3</v>
      </c>
      <c r="M13" s="15">
        <v>0.23798531445130863</v>
      </c>
      <c r="N13" s="15">
        <v>0.92632980241763641</v>
      </c>
    </row>
    <row r="14" spans="1:14" x14ac:dyDescent="0.25">
      <c r="I14" s="15" t="s">
        <v>63</v>
      </c>
      <c r="J14" s="15">
        <v>5</v>
      </c>
      <c r="K14" s="15">
        <v>4.6568312907332383E-2</v>
      </c>
      <c r="L14" s="15">
        <v>9.313662581466476E-3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-0.15287020063585111</v>
      </c>
      <c r="K19" s="15">
        <v>0.58980597380335009</v>
      </c>
      <c r="L19" s="15">
        <v>-0.25918727077325304</v>
      </c>
      <c r="M19" s="15">
        <v>0.8058234396604117</v>
      </c>
      <c r="N19" s="15">
        <v>-1.6690147234445312</v>
      </c>
      <c r="O19" s="15">
        <v>1.363274322172829</v>
      </c>
      <c r="P19" s="15">
        <v>-1.6690147234445312</v>
      </c>
      <c r="Q19" s="15">
        <v>1.363274322172829</v>
      </c>
    </row>
    <row r="20" spans="9:17" x14ac:dyDescent="0.25">
      <c r="I20" s="15" t="s">
        <v>54</v>
      </c>
      <c r="J20" s="15">
        <v>-0.19701368932952384</v>
      </c>
      <c r="K20" s="15">
        <v>0.57176081728128147</v>
      </c>
      <c r="L20" s="15">
        <v>-0.34457361080866383</v>
      </c>
      <c r="M20" s="15">
        <v>0.74443507728296554</v>
      </c>
      <c r="N20" s="15">
        <v>-1.6667716605613601</v>
      </c>
      <c r="O20" s="15">
        <v>1.2727442819023125</v>
      </c>
      <c r="P20" s="15">
        <v>-1.6667716605613601</v>
      </c>
      <c r="Q20" s="15">
        <v>1.2727442819023125</v>
      </c>
    </row>
    <row r="21" spans="9:17" x14ac:dyDescent="0.25">
      <c r="I21" s="15" t="s">
        <v>14</v>
      </c>
      <c r="J21" s="15">
        <v>3.124248839667402</v>
      </c>
      <c r="K21" s="15">
        <v>3.2041288241681261</v>
      </c>
      <c r="L21" s="15">
        <v>0.97506967138830225</v>
      </c>
      <c r="M21" s="15">
        <v>0.37430774785811027</v>
      </c>
      <c r="N21" s="15">
        <v>-5.1122265147779267</v>
      </c>
      <c r="O21" s="15">
        <v>11.360724194112731</v>
      </c>
      <c r="P21" s="15">
        <v>-5.1122265147779267</v>
      </c>
      <c r="Q21" s="15">
        <v>11.360724194112731</v>
      </c>
    </row>
    <row r="22" spans="9:17" x14ac:dyDescent="0.25">
      <c r="I22" s="15" t="s">
        <v>84</v>
      </c>
      <c r="J22" s="15">
        <v>-0.14187826748466334</v>
      </c>
      <c r="K22" s="15">
        <v>0.21211879304168693</v>
      </c>
      <c r="L22" s="15">
        <v>-0.66886231743163149</v>
      </c>
      <c r="M22" s="15">
        <v>0.53321912123075454</v>
      </c>
      <c r="N22" s="15">
        <v>-0.68714698387472262</v>
      </c>
      <c r="O22" s="15">
        <v>0.40339044890539588</v>
      </c>
      <c r="P22" s="15">
        <v>-0.68714698387472262</v>
      </c>
      <c r="Q22" s="15">
        <v>0.40339044890539588</v>
      </c>
    </row>
    <row r="23" spans="9:17" ht="15.75" thickBot="1" x14ac:dyDescent="0.3">
      <c r="I23" s="21" t="s">
        <v>3</v>
      </c>
      <c r="J23" s="21">
        <v>4.1536290105596726E-4</v>
      </c>
      <c r="K23" s="21">
        <v>7.0701687624426289E-4</v>
      </c>
      <c r="L23" s="21">
        <v>0.58748654383246446</v>
      </c>
      <c r="M23" s="21">
        <v>0.58240440692655582</v>
      </c>
      <c r="N23" s="21">
        <v>-1.4020818385058634E-3</v>
      </c>
      <c r="O23" s="21">
        <v>2.2328076406177978E-3</v>
      </c>
      <c r="P23" s="21">
        <v>-1.4020818385058634E-3</v>
      </c>
      <c r="Q23" s="21">
        <v>2.2328076406177978E-3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0.43881598553493495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0.19255946916099625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-0.65339295551020682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9.6487992211223714E-2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1.1101224293284979E-2</v>
      </c>
      <c r="L13" s="15">
        <v>2.2202448586569959E-3</v>
      </c>
      <c r="M13" s="15">
        <v>0.23848130209776505</v>
      </c>
      <c r="N13" s="15">
        <v>0.92605700816396341</v>
      </c>
    </row>
    <row r="14" spans="1:14" x14ac:dyDescent="0.25">
      <c r="I14" s="15" t="s">
        <v>63</v>
      </c>
      <c r="J14" s="15">
        <v>5</v>
      </c>
      <c r="K14" s="15">
        <v>4.6549663204765834E-2</v>
      </c>
      <c r="L14" s="15">
        <v>9.3099326409531672E-3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-8.7119530036295439E-2</v>
      </c>
      <c r="K19" s="15">
        <v>0.90381928938786538</v>
      </c>
      <c r="L19" s="15">
        <v>-9.6390430099471944E-2</v>
      </c>
      <c r="M19" s="15">
        <v>0.92695477967590245</v>
      </c>
      <c r="N19" s="15">
        <v>-2.4104609780344641</v>
      </c>
      <c r="O19" s="15">
        <v>2.2362219179618736</v>
      </c>
      <c r="P19" s="15">
        <v>-2.4104609780344641</v>
      </c>
      <c r="Q19" s="15">
        <v>2.2362219179618736</v>
      </c>
    </row>
    <row r="20" spans="9:17" x14ac:dyDescent="0.25">
      <c r="I20" s="15" t="s">
        <v>54</v>
      </c>
      <c r="J20" s="15">
        <v>-2.9092910770375877E-2</v>
      </c>
      <c r="K20" s="15">
        <v>0.51425632096478491</v>
      </c>
      <c r="L20" s="15">
        <v>-5.6572782062834566E-2</v>
      </c>
      <c r="M20" s="15">
        <v>0.95707665847353107</v>
      </c>
      <c r="N20" s="15">
        <v>-1.3510308683036107</v>
      </c>
      <c r="O20" s="15">
        <v>1.2928450467628589</v>
      </c>
      <c r="P20" s="15">
        <v>-1.3510308683036107</v>
      </c>
      <c r="Q20" s="15">
        <v>1.2928450467628589</v>
      </c>
    </row>
    <row r="21" spans="9:17" x14ac:dyDescent="0.25">
      <c r="I21" s="15" t="s">
        <v>15</v>
      </c>
      <c r="J21" s="15">
        <v>0.9079565614168037</v>
      </c>
      <c r="K21" s="15">
        <v>0.86430090905900103</v>
      </c>
      <c r="L21" s="15">
        <v>1.0505097841506754</v>
      </c>
      <c r="M21" s="15">
        <v>0.34158261352438529</v>
      </c>
      <c r="N21" s="15">
        <v>-1.3137996559342189</v>
      </c>
      <c r="O21" s="15">
        <v>3.1297127787678263</v>
      </c>
      <c r="P21" s="15">
        <v>-1.3137996559342189</v>
      </c>
      <c r="Q21" s="15">
        <v>3.1297127787678263</v>
      </c>
    </row>
    <row r="22" spans="9:17" x14ac:dyDescent="0.25">
      <c r="I22" s="15" t="s">
        <v>85</v>
      </c>
      <c r="J22" s="15">
        <v>-2.9672260408104223E-2</v>
      </c>
      <c r="K22" s="15">
        <v>0.18613042951452169</v>
      </c>
      <c r="L22" s="15">
        <v>-0.15941649350671716</v>
      </c>
      <c r="M22" s="15">
        <v>0.87958030350436323</v>
      </c>
      <c r="N22" s="15">
        <v>-0.50813576157731921</v>
      </c>
      <c r="O22" s="15">
        <v>0.44879124076111071</v>
      </c>
      <c r="P22" s="15">
        <v>-0.50813576157731921</v>
      </c>
      <c r="Q22" s="15">
        <v>0.44879124076111071</v>
      </c>
    </row>
    <row r="23" spans="9:17" ht="15.75" thickBot="1" x14ac:dyDescent="0.3">
      <c r="I23" s="21" t="s">
        <v>3</v>
      </c>
      <c r="J23" s="21">
        <v>4.7216915214719961E-4</v>
      </c>
      <c r="K23" s="21">
        <v>8.6197422753118513E-4</v>
      </c>
      <c r="L23" s="21">
        <v>0.5477764149626122</v>
      </c>
      <c r="M23" s="21">
        <v>0.60740116320251469</v>
      </c>
      <c r="N23" s="21">
        <v>-1.7436061399311092E-3</v>
      </c>
      <c r="O23" s="21">
        <v>2.6879444442255082E-3</v>
      </c>
      <c r="P23" s="21">
        <v>-1.7436061399311092E-3</v>
      </c>
      <c r="Q23" s="21">
        <v>2.6879444442255082E-3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0.50816404714574703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0.25823069881154498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-0.53518474213921907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9.2480980241694447E-2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1.4887228965727424E-2</v>
      </c>
      <c r="L13" s="15">
        <v>2.9774457931454846E-3</v>
      </c>
      <c r="M13" s="15">
        <v>0.34812804789549856</v>
      </c>
      <c r="N13" s="15">
        <v>0.86118583572491003</v>
      </c>
    </row>
    <row r="14" spans="1:14" x14ac:dyDescent="0.25">
      <c r="I14" s="15" t="s">
        <v>63</v>
      </c>
      <c r="J14" s="15">
        <v>5</v>
      </c>
      <c r="K14" s="15">
        <v>4.276365853232339E-2</v>
      </c>
      <c r="L14" s="15">
        <v>8.5527317064646776E-3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8.431133245427605E-2</v>
      </c>
      <c r="K19" s="15">
        <v>0.58455150528040012</v>
      </c>
      <c r="L19" s="15">
        <v>0.1442325127771816</v>
      </c>
      <c r="M19" s="15">
        <v>0.89095008267374187</v>
      </c>
      <c r="N19" s="15">
        <v>-1.4183261490133858</v>
      </c>
      <c r="O19" s="15">
        <v>1.5869488139219381</v>
      </c>
      <c r="P19" s="15">
        <v>-1.4183261490133858</v>
      </c>
      <c r="Q19" s="15">
        <v>1.5869488139219381</v>
      </c>
    </row>
    <row r="20" spans="9:17" x14ac:dyDescent="0.25">
      <c r="I20" s="15" t="s">
        <v>54</v>
      </c>
      <c r="J20" s="15">
        <v>-0.13448510381323248</v>
      </c>
      <c r="K20" s="15">
        <v>0.51463375237646813</v>
      </c>
      <c r="L20" s="15">
        <v>-0.26132196575177813</v>
      </c>
      <c r="M20" s="15">
        <v>0.8042668699749066</v>
      </c>
      <c r="N20" s="15">
        <v>-1.4573932796775386</v>
      </c>
      <c r="O20" s="15">
        <v>1.1884230720510738</v>
      </c>
      <c r="P20" s="15">
        <v>-1.4573932796775386</v>
      </c>
      <c r="Q20" s="15">
        <v>1.1884230720510738</v>
      </c>
    </row>
    <row r="21" spans="9:17" x14ac:dyDescent="0.25">
      <c r="I21" s="15" t="s">
        <v>16</v>
      </c>
      <c r="J21" s="15">
        <v>1.9185587419779524</v>
      </c>
      <c r="K21" s="15">
        <v>1.714295402298208</v>
      </c>
      <c r="L21" s="15">
        <v>1.1191529414393262</v>
      </c>
      <c r="M21" s="15">
        <v>0.31393794257013535</v>
      </c>
      <c r="N21" s="15">
        <v>-2.4881778800846699</v>
      </c>
      <c r="O21" s="15">
        <v>6.3252953640405742</v>
      </c>
      <c r="P21" s="15">
        <v>-2.4881778800846699</v>
      </c>
      <c r="Q21" s="15">
        <v>6.3252953640405742</v>
      </c>
    </row>
    <row r="22" spans="9:17" x14ac:dyDescent="0.25">
      <c r="I22" s="15" t="s">
        <v>86</v>
      </c>
      <c r="J22" s="15">
        <v>-3.8190620234435813E-2</v>
      </c>
      <c r="K22" s="15">
        <v>0.14105118378100751</v>
      </c>
      <c r="L22" s="15">
        <v>-0.27075717630083562</v>
      </c>
      <c r="M22" s="15">
        <v>0.79739934543903324</v>
      </c>
      <c r="N22" s="15">
        <v>-0.40077423115689331</v>
      </c>
      <c r="O22" s="15">
        <v>0.32439299068802169</v>
      </c>
      <c r="P22" s="15">
        <v>-0.40077423115689331</v>
      </c>
      <c r="Q22" s="15">
        <v>0.32439299068802169</v>
      </c>
    </row>
    <row r="23" spans="9:17" ht="15.75" thickBot="1" x14ac:dyDescent="0.3">
      <c r="I23" s="21" t="s">
        <v>3</v>
      </c>
      <c r="J23" s="21">
        <v>5.9978003714003015E-4</v>
      </c>
      <c r="K23" s="21">
        <v>6.9725500138283051E-4</v>
      </c>
      <c r="L23" s="21">
        <v>0.86020184287027956</v>
      </c>
      <c r="M23" s="21">
        <v>0.42898574948160745</v>
      </c>
      <c r="N23" s="21">
        <v>-1.1925710042212478E-3</v>
      </c>
      <c r="O23" s="21">
        <v>2.3921310785013079E-3</v>
      </c>
      <c r="P23" s="21">
        <v>-1.1925710042212478E-3</v>
      </c>
      <c r="Q23" s="21">
        <v>2.3921310785013079E-3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0.3053249349570934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9.322331590655332E-2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-0.83219803136820403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0.10225114239022159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5.3744068975239562E-3</v>
      </c>
      <c r="L13" s="15">
        <v>1.0748813795047913E-3</v>
      </c>
      <c r="M13" s="15">
        <v>0.10280735879281422</v>
      </c>
      <c r="N13" s="15">
        <v>0.98592994147594337</v>
      </c>
    </row>
    <row r="14" spans="1:14" x14ac:dyDescent="0.25">
      <c r="I14" s="15" t="s">
        <v>63</v>
      </c>
      <c r="J14" s="15">
        <v>5</v>
      </c>
      <c r="K14" s="15">
        <v>5.2276480600526858E-2</v>
      </c>
      <c r="L14" s="15">
        <v>1.0455296120105371E-2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-4.7804335827032647E-2</v>
      </c>
      <c r="K19" s="15">
        <v>0.65994191083351739</v>
      </c>
      <c r="L19" s="15">
        <v>-7.2437187337677941E-2</v>
      </c>
      <c r="M19" s="15">
        <v>0.94506235925619475</v>
      </c>
      <c r="N19" s="15">
        <v>-1.744239024390793</v>
      </c>
      <c r="O19" s="15">
        <v>1.6486303527367279</v>
      </c>
      <c r="P19" s="15">
        <v>-1.744239024390793</v>
      </c>
      <c r="Q19" s="15">
        <v>1.6486303527367279</v>
      </c>
    </row>
    <row r="20" spans="9:17" x14ac:dyDescent="0.25">
      <c r="I20" s="15" t="s">
        <v>54</v>
      </c>
      <c r="J20" s="15">
        <v>-0.13580538019973351</v>
      </c>
      <c r="K20" s="15">
        <v>0.63285029046400321</v>
      </c>
      <c r="L20" s="15">
        <v>-0.21459321777376694</v>
      </c>
      <c r="M20" s="15">
        <v>0.83856207406961625</v>
      </c>
      <c r="N20" s="15">
        <v>-1.762598841543666</v>
      </c>
      <c r="O20" s="15">
        <v>1.4909880811441991</v>
      </c>
      <c r="P20" s="15">
        <v>-1.762598841543666</v>
      </c>
      <c r="Q20" s="15">
        <v>1.4909880811441991</v>
      </c>
    </row>
    <row r="21" spans="9:17" x14ac:dyDescent="0.25">
      <c r="I21" s="15" t="s">
        <v>17</v>
      </c>
      <c r="J21" s="15">
        <v>1.9606969594399746</v>
      </c>
      <c r="K21" s="15">
        <v>3.2320630433212925</v>
      </c>
      <c r="L21" s="15">
        <v>0.60663945385952234</v>
      </c>
      <c r="M21" s="15">
        <v>0.57057765010156858</v>
      </c>
      <c r="N21" s="15">
        <v>-6.3475855913531678</v>
      </c>
      <c r="O21" s="15">
        <v>10.268979510233118</v>
      </c>
      <c r="P21" s="15">
        <v>-6.3475855913531678</v>
      </c>
      <c r="Q21" s="15">
        <v>10.268979510233118</v>
      </c>
    </row>
    <row r="22" spans="9:17" x14ac:dyDescent="0.25">
      <c r="I22" s="15" t="s">
        <v>87</v>
      </c>
      <c r="J22" s="15">
        <v>-1.1982611905345195E-2</v>
      </c>
      <c r="K22" s="15">
        <v>0.28126616749443284</v>
      </c>
      <c r="L22" s="15">
        <v>-4.2602393356045459E-2</v>
      </c>
      <c r="M22" s="15">
        <v>0.9676674285972886</v>
      </c>
      <c r="N22" s="15">
        <v>-0.73500031304557567</v>
      </c>
      <c r="O22" s="15">
        <v>0.71103508923488523</v>
      </c>
      <c r="P22" s="15">
        <v>-0.73500031304557567</v>
      </c>
      <c r="Q22" s="15">
        <v>0.71103508923488523</v>
      </c>
    </row>
    <row r="23" spans="9:17" ht="15.75" thickBot="1" x14ac:dyDescent="0.3">
      <c r="I23" s="21" t="s">
        <v>3</v>
      </c>
      <c r="J23" s="21">
        <v>3.4654594236166144E-4</v>
      </c>
      <c r="K23" s="21">
        <v>7.2779682535303468E-4</v>
      </c>
      <c r="L23" s="21">
        <v>0.47615753502849001</v>
      </c>
      <c r="M23" s="21">
        <v>0.65404109610296179</v>
      </c>
      <c r="N23" s="21">
        <v>-1.5243153569246249E-3</v>
      </c>
      <c r="O23" s="21">
        <v>2.217407241647948E-3</v>
      </c>
      <c r="P23" s="21">
        <v>-1.5243153569246249E-3</v>
      </c>
      <c r="Q23" s="21">
        <v>2.217407241647948E-3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0.13617772862690949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1.8544373773984203E-2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-0.96662012720682833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0.10637836988023933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1.0690996061657673E-3</v>
      </c>
      <c r="L13" s="15">
        <v>2.1381992123315348E-4</v>
      </c>
      <c r="M13" s="15">
        <v>1.8894765365289872E-2</v>
      </c>
      <c r="N13" s="15">
        <v>0.99972162239839224</v>
      </c>
    </row>
    <row r="14" spans="1:14" x14ac:dyDescent="0.25">
      <c r="I14" s="15" t="s">
        <v>63</v>
      </c>
      <c r="J14" s="15">
        <v>5</v>
      </c>
      <c r="K14" s="15">
        <v>5.6581787891885046E-2</v>
      </c>
      <c r="L14" s="15">
        <v>1.1316357578377009E-2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-1.3747673187760821E-2</v>
      </c>
      <c r="K19" s="15">
        <v>0.61088799843926356</v>
      </c>
      <c r="L19" s="15">
        <v>-2.250440870156931E-2</v>
      </c>
      <c r="M19" s="15">
        <v>0.98291608220231963</v>
      </c>
      <c r="N19" s="15">
        <v>-1.5840852655839572</v>
      </c>
      <c r="O19" s="15">
        <v>1.5565899192084356</v>
      </c>
      <c r="P19" s="15">
        <v>-1.5840852655839572</v>
      </c>
      <c r="Q19" s="15">
        <v>1.5565899192084356</v>
      </c>
    </row>
    <row r="20" spans="9:17" x14ac:dyDescent="0.25">
      <c r="I20" s="15" t="s">
        <v>54</v>
      </c>
      <c r="J20" s="15">
        <v>0.12604440268455042</v>
      </c>
      <c r="K20" s="15">
        <v>0.69515628838446697</v>
      </c>
      <c r="L20" s="15">
        <v>0.18131807881286058</v>
      </c>
      <c r="M20" s="15">
        <v>0.86323894517768895</v>
      </c>
      <c r="N20" s="15">
        <v>-1.6609117251649204</v>
      </c>
      <c r="O20" s="15">
        <v>1.9130005305340212</v>
      </c>
      <c r="P20" s="15">
        <v>-1.6609117251649204</v>
      </c>
      <c r="Q20" s="15">
        <v>1.9130005305340212</v>
      </c>
    </row>
    <row r="21" spans="9:17" x14ac:dyDescent="0.25">
      <c r="I21" s="15" t="s">
        <v>19</v>
      </c>
      <c r="J21" s="15">
        <v>3.2640455085698065E-2</v>
      </c>
      <c r="K21" s="15">
        <v>0.33864772424862377</v>
      </c>
      <c r="L21" s="15">
        <v>9.6384687533687785E-2</v>
      </c>
      <c r="M21" s="15">
        <v>0.92695911529553976</v>
      </c>
      <c r="N21" s="15">
        <v>-0.83788123354738986</v>
      </c>
      <c r="O21" s="15">
        <v>0.90316214371878589</v>
      </c>
      <c r="P21" s="15">
        <v>-0.83788123354738986</v>
      </c>
      <c r="Q21" s="15">
        <v>0.90316214371878589</v>
      </c>
    </row>
    <row r="22" spans="9:17" x14ac:dyDescent="0.25">
      <c r="I22" s="15" t="s">
        <v>30</v>
      </c>
      <c r="J22" s="15">
        <v>1.4414785438004211E-3</v>
      </c>
      <c r="K22" s="15">
        <v>3.080036504106181E-2</v>
      </c>
      <c r="L22" s="15">
        <v>4.6800696741051598E-2</v>
      </c>
      <c r="M22" s="15">
        <v>0.96448384173981316</v>
      </c>
      <c r="N22" s="15">
        <v>-7.7733380361720839E-2</v>
      </c>
      <c r="O22" s="15">
        <v>8.0616337449321673E-2</v>
      </c>
      <c r="P22" s="15">
        <v>-7.7733380361720839E-2</v>
      </c>
      <c r="Q22" s="15">
        <v>8.0616337449321673E-2</v>
      </c>
    </row>
    <row r="23" spans="9:17" ht="15.75" thickBot="1" x14ac:dyDescent="0.3">
      <c r="I23" s="21" t="s">
        <v>3</v>
      </c>
      <c r="J23" s="21">
        <v>2.5824247536844177E-4</v>
      </c>
      <c r="K23" s="21">
        <v>8.8858065971719801E-4</v>
      </c>
      <c r="L23" s="21">
        <v>0.29062356078133716</v>
      </c>
      <c r="M23" s="21">
        <v>0.78300787091799462</v>
      </c>
      <c r="N23" s="21">
        <v>-2.0259268279983209E-3</v>
      </c>
      <c r="O23" s="21">
        <v>2.5424117787352044E-3</v>
      </c>
      <c r="P23" s="21">
        <v>-2.0259268279983209E-3</v>
      </c>
      <c r="Q23" s="21">
        <v>2.5424117787352044E-3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0.29454001344968422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8.6753819522940159E-2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-0.84384312485870772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0.1026152550147468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5.0014346893432274E-3</v>
      </c>
      <c r="L13" s="15">
        <v>1.0002869378686456E-3</v>
      </c>
      <c r="M13" s="15">
        <v>9.4994998476338396E-2</v>
      </c>
      <c r="N13" s="15">
        <v>0.98812790019717067</v>
      </c>
    </row>
    <row r="14" spans="1:14" x14ac:dyDescent="0.25">
      <c r="I14" s="15" t="s">
        <v>63</v>
      </c>
      <c r="J14" s="15">
        <v>5</v>
      </c>
      <c r="K14" s="15">
        <v>5.2649452808707586E-2</v>
      </c>
      <c r="L14" s="15">
        <v>1.0529890561741518E-2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-0.19474645387250797</v>
      </c>
      <c r="K19" s="15">
        <v>0.7514856151940279</v>
      </c>
      <c r="L19" s="15">
        <v>-0.25914861167665321</v>
      </c>
      <c r="M19" s="15">
        <v>0.80585163839704121</v>
      </c>
      <c r="N19" s="15">
        <v>-2.1265017260322576</v>
      </c>
      <c r="O19" s="15">
        <v>1.7370088182872419</v>
      </c>
      <c r="P19" s="15">
        <v>-2.1265017260322576</v>
      </c>
      <c r="Q19" s="15">
        <v>1.7370088182872419</v>
      </c>
    </row>
    <row r="20" spans="9:17" x14ac:dyDescent="0.25">
      <c r="I20" s="15" t="s">
        <v>54</v>
      </c>
      <c r="J20" s="15">
        <v>0.32539695292048276</v>
      </c>
      <c r="K20" s="15">
        <v>0.66492979886194703</v>
      </c>
      <c r="L20" s="15">
        <v>0.48937038688506995</v>
      </c>
      <c r="M20" s="15">
        <v>0.64529124428504536</v>
      </c>
      <c r="N20" s="15">
        <v>-1.3838595100073467</v>
      </c>
      <c r="O20" s="15">
        <v>2.0346534158483123</v>
      </c>
      <c r="P20" s="15">
        <v>-1.3838595100073467</v>
      </c>
      <c r="Q20" s="15">
        <v>2.0346534158483123</v>
      </c>
    </row>
    <row r="21" spans="9:17" x14ac:dyDescent="0.25">
      <c r="I21" s="15" t="s">
        <v>20</v>
      </c>
      <c r="J21" s="15">
        <v>1.1522227665840825</v>
      </c>
      <c r="K21" s="15">
        <v>7.6024385031411335</v>
      </c>
      <c r="L21" s="15">
        <v>0.15155962999345715</v>
      </c>
      <c r="M21" s="15">
        <v>0.88545962378108056</v>
      </c>
      <c r="N21" s="15">
        <v>-18.390467556132652</v>
      </c>
      <c r="O21" s="15">
        <v>20.694913089300815</v>
      </c>
      <c r="P21" s="15">
        <v>-18.390467556132652</v>
      </c>
      <c r="Q21" s="15">
        <v>20.694913089300815</v>
      </c>
    </row>
    <row r="22" spans="9:17" x14ac:dyDescent="0.25">
      <c r="I22" s="15" t="s">
        <v>88</v>
      </c>
      <c r="J22" s="15">
        <v>0.10088490302470604</v>
      </c>
      <c r="K22" s="15">
        <v>0.44153011069946613</v>
      </c>
      <c r="L22" s="15">
        <v>0.22848929343660282</v>
      </c>
      <c r="M22" s="15">
        <v>0.82831675908978375</v>
      </c>
      <c r="N22" s="15">
        <v>-1.0341043794258329</v>
      </c>
      <c r="O22" s="15">
        <v>1.2358741854752451</v>
      </c>
      <c r="P22" s="15">
        <v>-1.0341043794258329</v>
      </c>
      <c r="Q22" s="15">
        <v>1.2358741854752451</v>
      </c>
    </row>
    <row r="23" spans="9:17" ht="15.75" thickBot="1" x14ac:dyDescent="0.3">
      <c r="I23" s="21" t="s">
        <v>3</v>
      </c>
      <c r="J23" s="21">
        <v>3.3096943025067951E-4</v>
      </c>
      <c r="K23" s="21">
        <v>8.4364016308602916E-4</v>
      </c>
      <c r="L23" s="21">
        <v>0.39231113540161</v>
      </c>
      <c r="M23" s="21">
        <v>0.71099369627744913</v>
      </c>
      <c r="N23" s="21">
        <v>-1.8376766487915254E-3</v>
      </c>
      <c r="O23" s="21">
        <v>2.4996155092928845E-3</v>
      </c>
      <c r="P23" s="21">
        <v>-1.8376766487915254E-3</v>
      </c>
      <c r="Q23" s="21">
        <v>2.4996155092928845E-3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0.53685893831074205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0.28821751964413717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-0.48120846464055311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9.0592374621796298E-2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1.6615995799971403E-2</v>
      </c>
      <c r="L13" s="15">
        <v>3.3231991599942806E-3</v>
      </c>
      <c r="M13" s="15">
        <v>0.40492359337088479</v>
      </c>
      <c r="N13" s="15">
        <v>0.82586257960195819</v>
      </c>
    </row>
    <row r="14" spans="1:14" x14ac:dyDescent="0.25">
      <c r="I14" s="15" t="s">
        <v>63</v>
      </c>
      <c r="J14" s="15">
        <v>5</v>
      </c>
      <c r="K14" s="15">
        <v>4.1034891698079411E-2</v>
      </c>
      <c r="L14" s="15">
        <v>8.2069783396158825E-3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-6.9554416229903104E-2</v>
      </c>
      <c r="K19" s="15">
        <v>0.47717382555984333</v>
      </c>
      <c r="L19" s="15">
        <v>-0.14576326802564771</v>
      </c>
      <c r="M19" s="15">
        <v>0.88980245085250276</v>
      </c>
      <c r="N19" s="15">
        <v>-1.296168784655128</v>
      </c>
      <c r="O19" s="15">
        <v>1.1570599521953218</v>
      </c>
      <c r="P19" s="15">
        <v>-1.296168784655128</v>
      </c>
      <c r="Q19" s="15">
        <v>1.1570599521953218</v>
      </c>
    </row>
    <row r="20" spans="9:17" x14ac:dyDescent="0.25">
      <c r="I20" s="15" t="s">
        <v>54</v>
      </c>
      <c r="J20" s="15">
        <v>0.46300844947803238</v>
      </c>
      <c r="K20" s="15">
        <v>0.56666479606125619</v>
      </c>
      <c r="L20" s="15">
        <v>0.81707643159816368</v>
      </c>
      <c r="M20" s="15">
        <v>0.45104671024679577</v>
      </c>
      <c r="N20" s="15">
        <v>-0.9936497821715895</v>
      </c>
      <c r="O20" s="15">
        <v>1.9196666811276544</v>
      </c>
      <c r="P20" s="15">
        <v>-0.9936497821715895</v>
      </c>
      <c r="Q20" s="15">
        <v>1.9196666811276544</v>
      </c>
    </row>
    <row r="21" spans="9:17" x14ac:dyDescent="0.25">
      <c r="I21" s="15" t="s">
        <v>21</v>
      </c>
      <c r="J21" s="15">
        <v>-1.5037574146549832</v>
      </c>
      <c r="K21" s="15">
        <v>3.0156262734768462</v>
      </c>
      <c r="L21" s="15">
        <v>-0.49865509790814899</v>
      </c>
      <c r="M21" s="15">
        <v>0.63918124701948431</v>
      </c>
      <c r="N21" s="15">
        <v>-9.2556715363221951</v>
      </c>
      <c r="O21" s="15">
        <v>6.2481567070122281</v>
      </c>
      <c r="P21" s="15">
        <v>-9.2556715363221951</v>
      </c>
      <c r="Q21" s="15">
        <v>6.2481567070122281</v>
      </c>
    </row>
    <row r="22" spans="9:17" x14ac:dyDescent="0.25">
      <c r="I22" s="15" t="s">
        <v>89</v>
      </c>
      <c r="J22" s="15">
        <v>0.65942111007395721</v>
      </c>
      <c r="K22" s="15">
        <v>0.48460741863909651</v>
      </c>
      <c r="L22" s="15">
        <v>1.3607325944901607</v>
      </c>
      <c r="M22" s="15">
        <v>0.23172180265794223</v>
      </c>
      <c r="N22" s="15">
        <v>-0.58630191769430773</v>
      </c>
      <c r="O22" s="15">
        <v>1.905144137842222</v>
      </c>
      <c r="P22" s="15">
        <v>-0.58630191769430773</v>
      </c>
      <c r="Q22" s="15">
        <v>1.905144137842222</v>
      </c>
    </row>
    <row r="23" spans="9:17" ht="15.75" thickBot="1" x14ac:dyDescent="0.3">
      <c r="I23" s="21" t="s">
        <v>3</v>
      </c>
      <c r="J23" s="21">
        <v>1.6749219675925964E-4</v>
      </c>
      <c r="K23" s="21">
        <v>6.0899505196087677E-4</v>
      </c>
      <c r="L23" s="21">
        <v>0.27503047228373823</v>
      </c>
      <c r="M23" s="21">
        <v>0.79429575674606101</v>
      </c>
      <c r="N23" s="21">
        <v>-1.3979794218037639E-3</v>
      </c>
      <c r="O23" s="21">
        <v>1.7329638153222833E-3</v>
      </c>
      <c r="P23" s="21">
        <v>-1.3979794218037639E-3</v>
      </c>
      <c r="Q23" s="21">
        <v>1.7329638153222833E-3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0.3526212272050514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0.12434172987559647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-0.77618488622392634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0.10048131808219853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7.1684110803710357E-3</v>
      </c>
      <c r="L13" s="15">
        <v>1.4336822160742071E-3</v>
      </c>
      <c r="M13" s="15">
        <v>0.14199800780495273</v>
      </c>
      <c r="N13" s="15">
        <v>0.97244673573008766</v>
      </c>
    </row>
    <row r="14" spans="1:14" x14ac:dyDescent="0.25">
      <c r="I14" s="15" t="s">
        <v>63</v>
      </c>
      <c r="J14" s="15">
        <v>5</v>
      </c>
      <c r="K14" s="15">
        <v>5.0482476417679778E-2</v>
      </c>
      <c r="L14" s="15">
        <v>1.0096495283535956E-2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-3.3698873579423951E-2</v>
      </c>
      <c r="K19" s="15">
        <v>0.67420591566349319</v>
      </c>
      <c r="L19" s="15">
        <v>-4.9983058286073523E-2</v>
      </c>
      <c r="M19" s="15">
        <v>0.96207114307894004</v>
      </c>
      <c r="N19" s="15">
        <v>-1.7668003538625487</v>
      </c>
      <c r="O19" s="15">
        <v>1.6994026067037009</v>
      </c>
      <c r="P19" s="15">
        <v>-1.7668003538625487</v>
      </c>
      <c r="Q19" s="15">
        <v>1.6994026067037009</v>
      </c>
    </row>
    <row r="20" spans="9:17" x14ac:dyDescent="0.25">
      <c r="I20" s="15" t="s">
        <v>54</v>
      </c>
      <c r="J20" s="15">
        <v>6.971217507763669E-2</v>
      </c>
      <c r="K20" s="15">
        <v>0.77147729214554428</v>
      </c>
      <c r="L20" s="15">
        <v>9.0361927418189034E-2</v>
      </c>
      <c r="M20" s="15">
        <v>0.93150783068983367</v>
      </c>
      <c r="N20" s="15">
        <v>-1.9134333387175904</v>
      </c>
      <c r="O20" s="15">
        <v>2.0528576888728636</v>
      </c>
      <c r="P20" s="15">
        <v>-1.9134333387175904</v>
      </c>
      <c r="Q20" s="15">
        <v>2.0528576888728636</v>
      </c>
    </row>
    <row r="21" spans="9:17" x14ac:dyDescent="0.25">
      <c r="I21" s="15" t="s">
        <v>22</v>
      </c>
      <c r="J21" s="15">
        <v>1.9365765655290903</v>
      </c>
      <c r="K21" s="15">
        <v>3.3890911027802315</v>
      </c>
      <c r="L21" s="15">
        <v>0.57141472648534741</v>
      </c>
      <c r="M21" s="15">
        <v>0.59244470580874242</v>
      </c>
      <c r="N21" s="15">
        <v>-6.7753594625944196</v>
      </c>
      <c r="O21" s="15">
        <v>10.648512593652601</v>
      </c>
      <c r="P21" s="15">
        <v>-6.7753594625944196</v>
      </c>
      <c r="Q21" s="15">
        <v>10.648512593652601</v>
      </c>
    </row>
    <row r="22" spans="9:17" x14ac:dyDescent="0.25">
      <c r="I22" s="15" t="s">
        <v>90</v>
      </c>
      <c r="J22" s="15">
        <v>0.1514225375601892</v>
      </c>
      <c r="K22" s="15">
        <v>0.89355111581846336</v>
      </c>
      <c r="L22" s="15">
        <v>0.16946152814267501</v>
      </c>
      <c r="M22" s="15">
        <v>0.87207641888573062</v>
      </c>
      <c r="N22" s="15">
        <v>-2.1455237299753138</v>
      </c>
      <c r="O22" s="15">
        <v>2.4483688050956927</v>
      </c>
      <c r="P22" s="15">
        <v>-2.1455237299753138</v>
      </c>
      <c r="Q22" s="15">
        <v>2.4483688050956927</v>
      </c>
    </row>
    <row r="23" spans="9:17" ht="15.75" thickBot="1" x14ac:dyDescent="0.3">
      <c r="I23" s="21" t="s">
        <v>3</v>
      </c>
      <c r="J23" s="21">
        <v>4.6921742807132314E-4</v>
      </c>
      <c r="K23" s="21">
        <v>8.3093711094831522E-4</v>
      </c>
      <c r="L23" s="21">
        <v>0.56468464567170928</v>
      </c>
      <c r="M23" s="21">
        <v>0.59668018438062742</v>
      </c>
      <c r="N23" s="21">
        <v>-1.6667744158885335E-3</v>
      </c>
      <c r="O23" s="21">
        <v>2.60520927203118E-3</v>
      </c>
      <c r="P23" s="21">
        <v>-1.6667744158885335E-3</v>
      </c>
      <c r="Q23" s="21">
        <v>2.60520927203118E-3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0.142890230847938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2.041761807177701E-2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-0.96324828747080138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0.10627680245059749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1.1770938024341857E-3</v>
      </c>
      <c r="L13" s="15">
        <v>2.3541876048683712E-4</v>
      </c>
      <c r="M13" s="15">
        <v>2.0843186288821057E-2</v>
      </c>
      <c r="N13" s="15">
        <v>0.99964691560167318</v>
      </c>
    </row>
    <row r="14" spans="1:14" x14ac:dyDescent="0.25">
      <c r="I14" s="15" t="s">
        <v>63</v>
      </c>
      <c r="J14" s="15">
        <v>5</v>
      </c>
      <c r="K14" s="15">
        <v>5.6473793695616628E-2</v>
      </c>
      <c r="L14" s="15">
        <v>1.1294758739123325E-2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-1.7251547920719684E-2</v>
      </c>
      <c r="K19" s="15">
        <v>0.60122943491311465</v>
      </c>
      <c r="L19" s="15">
        <v>-2.8693784633503104E-2</v>
      </c>
      <c r="M19" s="15">
        <v>0.97821888129944146</v>
      </c>
      <c r="N19" s="15">
        <v>-1.5627610123582583</v>
      </c>
      <c r="O19" s="15">
        <v>1.5282579165168191</v>
      </c>
      <c r="P19" s="15">
        <v>-1.5627610123582583</v>
      </c>
      <c r="Q19" s="15">
        <v>1.5282579165168191</v>
      </c>
    </row>
    <row r="20" spans="9:17" x14ac:dyDescent="0.25">
      <c r="I20" s="15" t="s">
        <v>54</v>
      </c>
      <c r="J20" s="15">
        <v>3.2529789473280724E-2</v>
      </c>
      <c r="K20" s="15">
        <v>0.69971887235736185</v>
      </c>
      <c r="L20" s="15">
        <v>4.64897986296803E-2</v>
      </c>
      <c r="M20" s="15">
        <v>0.96471957187258073</v>
      </c>
      <c r="N20" s="15">
        <v>-1.7661548338604789</v>
      </c>
      <c r="O20" s="15">
        <v>1.8312144128070404</v>
      </c>
      <c r="P20" s="15">
        <v>-1.7661548338604789</v>
      </c>
      <c r="Q20" s="15">
        <v>1.8312144128070404</v>
      </c>
    </row>
    <row r="21" spans="9:17" x14ac:dyDescent="0.25">
      <c r="I21" s="15" t="s">
        <v>23</v>
      </c>
      <c r="J21" s="15">
        <v>0.46480851964644426</v>
      </c>
      <c r="K21" s="15">
        <v>2.597478739846832</v>
      </c>
      <c r="L21" s="15">
        <v>0.17894603428933284</v>
      </c>
      <c r="M21" s="15">
        <v>0.86500522217819897</v>
      </c>
      <c r="N21" s="15">
        <v>-6.2122231474553269</v>
      </c>
      <c r="O21" s="15">
        <v>7.1418401867482162</v>
      </c>
      <c r="P21" s="15">
        <v>-6.2122231474553269</v>
      </c>
      <c r="Q21" s="15">
        <v>7.1418401867482162</v>
      </c>
    </row>
    <row r="22" spans="9:17" x14ac:dyDescent="0.25">
      <c r="I22" s="15" t="s">
        <v>91</v>
      </c>
      <c r="J22" s="15">
        <v>-5.8454477547965483E-2</v>
      </c>
      <c r="K22" s="15">
        <v>0.87442799964400253</v>
      </c>
      <c r="L22" s="15">
        <v>-6.6848817251693102E-2</v>
      </c>
      <c r="M22" s="15">
        <v>0.94929279513923892</v>
      </c>
      <c r="N22" s="15">
        <v>-2.3062432100046366</v>
      </c>
      <c r="O22" s="15">
        <v>2.1893342549087058</v>
      </c>
      <c r="P22" s="15">
        <v>-2.3062432100046366</v>
      </c>
      <c r="Q22" s="15">
        <v>2.1893342549087058</v>
      </c>
    </row>
    <row r="23" spans="9:17" ht="15.75" thickBot="1" x14ac:dyDescent="0.3">
      <c r="I23" s="21" t="s">
        <v>3</v>
      </c>
      <c r="J23" s="21">
        <v>1.90947249864928E-4</v>
      </c>
      <c r="K23" s="21">
        <v>8.2383057268692946E-4</v>
      </c>
      <c r="L23" s="21">
        <v>0.23177975690092703</v>
      </c>
      <c r="M23" s="21">
        <v>0.82589632837635452</v>
      </c>
      <c r="N23" s="21">
        <v>-1.926776655925956E-3</v>
      </c>
      <c r="O23" s="21">
        <v>2.308671155655812E-3</v>
      </c>
      <c r="P23" s="21">
        <v>-1.926776655925956E-3</v>
      </c>
      <c r="Q23" s="21">
        <v>2.308671155655812E-3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0.35689801814453781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0.12737619535549882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-0.77072284836010208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0.10030706534405362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7.3433507083696045E-3</v>
      </c>
      <c r="L13" s="15">
        <v>1.4686701416739209E-3</v>
      </c>
      <c r="M13" s="15">
        <v>0.145969196207512</v>
      </c>
      <c r="N13" s="15">
        <v>0.97087192650853904</v>
      </c>
    </row>
    <row r="14" spans="1:14" x14ac:dyDescent="0.25">
      <c r="I14" s="15" t="s">
        <v>63</v>
      </c>
      <c r="J14" s="15">
        <v>5</v>
      </c>
      <c r="K14" s="15">
        <v>5.0307536789681209E-2</v>
      </c>
      <c r="L14" s="15">
        <v>1.0061507357936242E-2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-0.36274540809709177</v>
      </c>
      <c r="K19" s="15">
        <v>0.77937693613419046</v>
      </c>
      <c r="L19" s="15">
        <v>-0.46543000091374981</v>
      </c>
      <c r="M19" s="15">
        <v>0.66119181524508597</v>
      </c>
      <c r="N19" s="15">
        <v>-2.3661976032375263</v>
      </c>
      <c r="O19" s="15">
        <v>1.6407067870433425</v>
      </c>
      <c r="P19" s="15">
        <v>-2.3661976032375263</v>
      </c>
      <c r="Q19" s="15">
        <v>1.6407067870433425</v>
      </c>
    </row>
    <row r="20" spans="9:17" x14ac:dyDescent="0.25">
      <c r="I20" s="15" t="s">
        <v>54</v>
      </c>
      <c r="J20" s="15">
        <v>0.46750415057158135</v>
      </c>
      <c r="K20" s="15">
        <v>0.93316621636172759</v>
      </c>
      <c r="L20" s="15">
        <v>0.50098700786051664</v>
      </c>
      <c r="M20" s="15">
        <v>0.63765173792384044</v>
      </c>
      <c r="N20" s="15">
        <v>-1.9312759748373431</v>
      </c>
      <c r="O20" s="15">
        <v>2.8662842759805058</v>
      </c>
      <c r="P20" s="15">
        <v>-1.9312759748373431</v>
      </c>
      <c r="Q20" s="15">
        <v>2.8662842759805058</v>
      </c>
    </row>
    <row r="21" spans="9:17" x14ac:dyDescent="0.25">
      <c r="I21" s="15" t="s">
        <v>24</v>
      </c>
      <c r="J21" s="15">
        <v>7.3721127918627642</v>
      </c>
      <c r="K21" s="15">
        <v>9.3527294649996282</v>
      </c>
      <c r="L21" s="15">
        <v>0.78823115962576995</v>
      </c>
      <c r="M21" s="15">
        <v>0.4662706714799571</v>
      </c>
      <c r="N21" s="15">
        <v>-16.66984368448583</v>
      </c>
      <c r="O21" s="15">
        <v>31.41406926821136</v>
      </c>
      <c r="P21" s="15">
        <v>-16.66984368448583</v>
      </c>
      <c r="Q21" s="15">
        <v>31.41406926821136</v>
      </c>
    </row>
    <row r="22" spans="9:17" x14ac:dyDescent="0.25">
      <c r="I22" s="15" t="s">
        <v>92</v>
      </c>
      <c r="J22" s="15">
        <v>-0.32474525246917935</v>
      </c>
      <c r="K22" s="15">
        <v>0.42936069547962302</v>
      </c>
      <c r="L22" s="15">
        <v>-0.75634601836672166</v>
      </c>
      <c r="M22" s="15">
        <v>0.48353406431746437</v>
      </c>
      <c r="N22" s="15">
        <v>-1.4284520572052737</v>
      </c>
      <c r="O22" s="15">
        <v>0.77896155226691488</v>
      </c>
      <c r="P22" s="15">
        <v>-1.4284520572052737</v>
      </c>
      <c r="Q22" s="15">
        <v>0.77896155226691488</v>
      </c>
    </row>
    <row r="23" spans="9:17" ht="15.75" thickBot="1" x14ac:dyDescent="0.3">
      <c r="I23" s="21" t="s">
        <v>3</v>
      </c>
      <c r="J23" s="21">
        <v>9.8787491789547612E-4</v>
      </c>
      <c r="K23" s="21">
        <v>1.454233191600965E-3</v>
      </c>
      <c r="L23" s="21">
        <v>0.67930984081578061</v>
      </c>
      <c r="M23" s="21">
        <v>0.52710903354967242</v>
      </c>
      <c r="N23" s="21">
        <v>-2.7503505092133897E-3</v>
      </c>
      <c r="O23" s="21">
        <v>4.7261003450043415E-3</v>
      </c>
      <c r="P23" s="21">
        <v>-2.7503505092133897E-3</v>
      </c>
      <c r="Q23" s="21">
        <v>4.7261003450043415E-3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0.51345482874302062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0.26363586115952459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-0.52545544991285575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9.2143416613333071E-2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1.5198841372159495E-2</v>
      </c>
      <c r="L13" s="15">
        <v>3.0397682744318991E-3</v>
      </c>
      <c r="M13" s="15">
        <v>0.35802376467526231</v>
      </c>
      <c r="N13" s="15">
        <v>0.85506146099980718</v>
      </c>
    </row>
    <row r="14" spans="1:14" x14ac:dyDescent="0.25">
      <c r="I14" s="15" t="s">
        <v>63</v>
      </c>
      <c r="J14" s="15">
        <v>5</v>
      </c>
      <c r="K14" s="15">
        <v>4.2452046125891318E-2</v>
      </c>
      <c r="L14" s="15">
        <v>8.490409225178264E-3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0.16848128788304809</v>
      </c>
      <c r="K19" s="15">
        <v>0.52218554891657132</v>
      </c>
      <c r="L19" s="15">
        <v>0.32264640075278311</v>
      </c>
      <c r="M19" s="15">
        <v>0.76001824718086253</v>
      </c>
      <c r="N19" s="15">
        <v>-1.1738393989936684</v>
      </c>
      <c r="O19" s="15">
        <v>1.5108019747597647</v>
      </c>
      <c r="P19" s="15">
        <v>-1.1738393989936684</v>
      </c>
      <c r="Q19" s="15">
        <v>1.5108019747597647</v>
      </c>
    </row>
    <row r="20" spans="9:17" x14ac:dyDescent="0.25">
      <c r="I20" s="15" t="s">
        <v>54</v>
      </c>
      <c r="J20" s="15">
        <v>0.44580102189588811</v>
      </c>
      <c r="K20" s="15">
        <v>0.70034020716594936</v>
      </c>
      <c r="L20" s="15">
        <v>0.63654923326464563</v>
      </c>
      <c r="M20" s="15">
        <v>0.55241461011880466</v>
      </c>
      <c r="N20" s="15">
        <v>-1.3544807934106751</v>
      </c>
      <c r="O20" s="15">
        <v>2.2460828372024513</v>
      </c>
      <c r="P20" s="15">
        <v>-1.3544807934106751</v>
      </c>
      <c r="Q20" s="15">
        <v>2.2460828372024513</v>
      </c>
    </row>
    <row r="21" spans="9:17" x14ac:dyDescent="0.25">
      <c r="I21" s="15" t="s">
        <v>25</v>
      </c>
      <c r="J21" s="15">
        <v>5.4009991008410489</v>
      </c>
      <c r="K21" s="15">
        <v>8.1900673733165696</v>
      </c>
      <c r="L21" s="15">
        <v>0.65945722478884972</v>
      </c>
      <c r="M21" s="15">
        <v>0.53875994371500124</v>
      </c>
      <c r="N21" s="15">
        <v>-15.652239321644153</v>
      </c>
      <c r="O21" s="15">
        <v>26.454237523326249</v>
      </c>
      <c r="P21" s="15">
        <v>-15.652239321644153</v>
      </c>
      <c r="Q21" s="15">
        <v>26.454237523326249</v>
      </c>
    </row>
    <row r="22" spans="9:17" x14ac:dyDescent="0.25">
      <c r="I22" s="15" t="s">
        <v>93</v>
      </c>
      <c r="J22" s="15">
        <v>0.40000491077990924</v>
      </c>
      <c r="K22" s="15">
        <v>1.2161973411248501</v>
      </c>
      <c r="L22" s="15">
        <v>0.32889803098068626</v>
      </c>
      <c r="M22" s="15">
        <v>0.75556177210977793</v>
      </c>
      <c r="N22" s="15">
        <v>-2.7263298828648135</v>
      </c>
      <c r="O22" s="15">
        <v>3.5263397044246321</v>
      </c>
      <c r="P22" s="15">
        <v>-2.7263298828648135</v>
      </c>
      <c r="Q22" s="15">
        <v>3.5263397044246321</v>
      </c>
    </row>
    <row r="23" spans="9:17" ht="15.75" thickBot="1" x14ac:dyDescent="0.3">
      <c r="I23" s="21" t="s">
        <v>3</v>
      </c>
      <c r="J23" s="21">
        <v>9.1571835687522776E-4</v>
      </c>
      <c r="K23" s="21">
        <v>8.7208076423424112E-4</v>
      </c>
      <c r="L23" s="21">
        <v>1.0500384762864299</v>
      </c>
      <c r="M23" s="21">
        <v>0.34177937146735993</v>
      </c>
      <c r="N23" s="21">
        <v>-1.3260366148731483E-3</v>
      </c>
      <c r="O23" s="21">
        <v>3.1574733286236041E-3</v>
      </c>
      <c r="P23" s="21">
        <v>-1.3260366148731483E-3</v>
      </c>
      <c r="Q23" s="21">
        <v>3.1574733286236041E-3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0.21876939058613867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4.7860046257430497E-2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-0.91385191673662514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0.10477758668304227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2.7591741424386335E-3</v>
      </c>
      <c r="L13" s="15">
        <v>5.5183482848772674E-4</v>
      </c>
      <c r="M13" s="15">
        <v>5.02657682510931E-2</v>
      </c>
      <c r="N13" s="15">
        <v>0.99715144416211854</v>
      </c>
    </row>
    <row r="14" spans="1:14" x14ac:dyDescent="0.25">
      <c r="I14" s="15" t="s">
        <v>63</v>
      </c>
      <c r="J14" s="15">
        <v>5</v>
      </c>
      <c r="K14" s="15">
        <v>5.489171335561218E-2</v>
      </c>
      <c r="L14" s="15">
        <v>1.0978342671122436E-2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8.904808468907896E-2</v>
      </c>
      <c r="K19" s="15">
        <v>0.5696543842692301</v>
      </c>
      <c r="L19" s="15">
        <v>0.15631949327189423</v>
      </c>
      <c r="M19" s="15">
        <v>0.88189677442338932</v>
      </c>
      <c r="N19" s="15">
        <v>-1.3752951281039933</v>
      </c>
      <c r="O19" s="15">
        <v>1.5533912974821511</v>
      </c>
      <c r="P19" s="15">
        <v>-1.3752951281039933</v>
      </c>
      <c r="Q19" s="15">
        <v>1.5533912974821511</v>
      </c>
    </row>
    <row r="20" spans="9:17" x14ac:dyDescent="0.25">
      <c r="I20" s="15" t="s">
        <v>54</v>
      </c>
      <c r="J20" s="15">
        <v>2.8542517437308474E-2</v>
      </c>
      <c r="K20" s="15">
        <v>0.59551510617884051</v>
      </c>
      <c r="L20" s="15">
        <v>4.7929124116520401E-2</v>
      </c>
      <c r="M20" s="15">
        <v>0.96362827679200436</v>
      </c>
      <c r="N20" s="15">
        <v>-1.5022777973530506</v>
      </c>
      <c r="O20" s="15">
        <v>1.5593628322276674</v>
      </c>
      <c r="P20" s="15">
        <v>-1.5022777973530506</v>
      </c>
      <c r="Q20" s="15">
        <v>1.5593628322276674</v>
      </c>
    </row>
    <row r="21" spans="9:17" x14ac:dyDescent="0.25">
      <c r="I21" s="15" t="s">
        <v>26</v>
      </c>
      <c r="J21" s="15">
        <v>-0.45245961088821762</v>
      </c>
      <c r="K21" s="15">
        <v>3.518660904591326</v>
      </c>
      <c r="L21" s="15">
        <v>-0.12858858047327765</v>
      </c>
      <c r="M21" s="15">
        <v>0.90269540325556119</v>
      </c>
      <c r="N21" s="15">
        <v>-9.4974654179943254</v>
      </c>
      <c r="O21" s="15">
        <v>8.5925461962178904</v>
      </c>
      <c r="P21" s="15">
        <v>-9.4974654179943254</v>
      </c>
      <c r="Q21" s="15">
        <v>8.5925461962178904</v>
      </c>
    </row>
    <row r="22" spans="9:17" x14ac:dyDescent="0.25">
      <c r="I22" s="15" t="s">
        <v>94</v>
      </c>
      <c r="J22" s="15">
        <v>-1.2635684730155824E-2</v>
      </c>
      <c r="K22" s="15">
        <v>0.20068563673715994</v>
      </c>
      <c r="L22" s="15">
        <v>-6.2962576373639098E-2</v>
      </c>
      <c r="M22" s="15">
        <v>0.9522358337590997</v>
      </c>
      <c r="N22" s="15">
        <v>-0.52851453719980712</v>
      </c>
      <c r="O22" s="15">
        <v>0.5032431677394954</v>
      </c>
      <c r="P22" s="15">
        <v>-0.52851453719980712</v>
      </c>
      <c r="Q22" s="15">
        <v>0.5032431677394954</v>
      </c>
    </row>
    <row r="23" spans="9:17" ht="15.75" thickBot="1" x14ac:dyDescent="0.3">
      <c r="I23" s="21" t="s">
        <v>3</v>
      </c>
      <c r="J23" s="21">
        <v>8.6418804803731516E-6</v>
      </c>
      <c r="K23" s="21">
        <v>7.9555927230063966E-4</v>
      </c>
      <c r="L23" s="21">
        <v>1.0862648178786368E-2</v>
      </c>
      <c r="M23" s="21">
        <v>0.99175312678483718</v>
      </c>
      <c r="N23" s="21">
        <v>-2.0364083340676962E-3</v>
      </c>
      <c r="O23" s="21">
        <v>2.0536920950284428E-3</v>
      </c>
      <c r="P23" s="21">
        <v>-2.0364083340676962E-3</v>
      </c>
      <c r="Q23" s="21">
        <v>2.0536920950284428E-3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0.17856444728426127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3.1885261833933726E-2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-0.94260652869891925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0.10565289759889863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1.8382136428340065E-3</v>
      </c>
      <c r="L13" s="15">
        <v>3.6764272856680129E-4</v>
      </c>
      <c r="M13" s="15">
        <v>3.2935416203181758E-2</v>
      </c>
      <c r="N13" s="15">
        <v>0.99894256199847431</v>
      </c>
    </row>
    <row r="14" spans="1:14" x14ac:dyDescent="0.25">
      <c r="I14" s="15" t="s">
        <v>63</v>
      </c>
      <c r="J14" s="15">
        <v>5</v>
      </c>
      <c r="K14" s="15">
        <v>5.5812673855216807E-2</v>
      </c>
      <c r="L14" s="15">
        <v>1.1162534771043361E-2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-1.0612355096313066E-2</v>
      </c>
      <c r="K19" s="15">
        <v>0.6104367018672574</v>
      </c>
      <c r="L19" s="15">
        <v>-1.7384857535353071E-2</v>
      </c>
      <c r="M19" s="15">
        <v>0.98680198132236596</v>
      </c>
      <c r="N19" s="15">
        <v>-1.5797898527220255</v>
      </c>
      <c r="O19" s="15">
        <v>1.5585651425293994</v>
      </c>
      <c r="P19" s="15">
        <v>-1.5797898527220255</v>
      </c>
      <c r="Q19" s="15">
        <v>1.5585651425293994</v>
      </c>
    </row>
    <row r="20" spans="9:17" x14ac:dyDescent="0.25">
      <c r="I20" s="15" t="s">
        <v>54</v>
      </c>
      <c r="J20" s="15">
        <v>0.28484015404750462</v>
      </c>
      <c r="K20" s="15">
        <v>0.83664793515625968</v>
      </c>
      <c r="L20" s="15">
        <v>0.34045402143292852</v>
      </c>
      <c r="M20" s="15">
        <v>0.7473525101166959</v>
      </c>
      <c r="N20" s="15">
        <v>-1.8658318308878061</v>
      </c>
      <c r="O20" s="15">
        <v>2.4355121389828152</v>
      </c>
      <c r="P20" s="15">
        <v>-1.8658318308878061</v>
      </c>
      <c r="Q20" s="15">
        <v>2.4355121389828152</v>
      </c>
    </row>
    <row r="21" spans="9:17" x14ac:dyDescent="0.25">
      <c r="I21" s="15" t="s">
        <v>27</v>
      </c>
      <c r="J21" s="15">
        <v>-0.14172234287378976</v>
      </c>
      <c r="K21" s="15">
        <v>1.2192601774077687</v>
      </c>
      <c r="L21" s="15">
        <v>-0.11623634192260855</v>
      </c>
      <c r="M21" s="15">
        <v>0.91198950550718216</v>
      </c>
      <c r="N21" s="15">
        <v>-3.2759304078329112</v>
      </c>
      <c r="O21" s="15">
        <v>2.9924857220853314</v>
      </c>
      <c r="P21" s="15">
        <v>-3.2759304078329112</v>
      </c>
      <c r="Q21" s="15">
        <v>2.9924857220853314</v>
      </c>
    </row>
    <row r="22" spans="9:17" x14ac:dyDescent="0.25">
      <c r="I22" s="15" t="s">
        <v>95</v>
      </c>
      <c r="J22" s="15">
        <v>5.8626248308962202E-2</v>
      </c>
      <c r="K22" s="15">
        <v>0.1958633189977855</v>
      </c>
      <c r="L22" s="15">
        <v>0.29932224476204783</v>
      </c>
      <c r="M22" s="15">
        <v>0.77673684632291051</v>
      </c>
      <c r="N22" s="15">
        <v>-0.44485644177418643</v>
      </c>
      <c r="O22" s="15">
        <v>0.56210893839211085</v>
      </c>
      <c r="P22" s="15">
        <v>-0.44485644177418643</v>
      </c>
      <c r="Q22" s="15">
        <v>0.56210893839211085</v>
      </c>
    </row>
    <row r="23" spans="9:17" ht="15.75" thickBot="1" x14ac:dyDescent="0.3">
      <c r="I23" s="21" t="s">
        <v>3</v>
      </c>
      <c r="J23" s="21">
        <v>3.2924695365314945E-4</v>
      </c>
      <c r="K23" s="21">
        <v>9.1552038637909914E-4</v>
      </c>
      <c r="L23" s="21">
        <v>0.35962820550105662</v>
      </c>
      <c r="M23" s="21">
        <v>0.7338152356126415</v>
      </c>
      <c r="N23" s="21">
        <v>-2.0241731217277036E-3</v>
      </c>
      <c r="O23" s="21">
        <v>2.6826670290340028E-3</v>
      </c>
      <c r="P23" s="21">
        <v>-2.0241731217277036E-3</v>
      </c>
      <c r="Q23" s="21">
        <v>2.6826670290340028E-3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0.1440746967742185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2.0757518250583008E-2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-0.96263646714895068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0.10625836263433359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1.1966893494030975E-3</v>
      </c>
      <c r="L13" s="15">
        <v>2.393378698806195E-4</v>
      </c>
      <c r="M13" s="15">
        <v>2.1197526289402493E-2</v>
      </c>
      <c r="N13" s="15">
        <v>0.99963222708915733</v>
      </c>
    </row>
    <row r="14" spans="1:14" x14ac:dyDescent="0.25">
      <c r="I14" s="15" t="s">
        <v>63</v>
      </c>
      <c r="J14" s="15">
        <v>5</v>
      </c>
      <c r="K14" s="15">
        <v>5.6454198148647716E-2</v>
      </c>
      <c r="L14" s="15">
        <v>1.1290839629729543E-2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4.2732367007944014E-2</v>
      </c>
      <c r="K19" s="15">
        <v>0.60537242818633064</v>
      </c>
      <c r="L19" s="15">
        <v>7.0588558411833063E-2</v>
      </c>
      <c r="M19" s="15">
        <v>0.94646156504080037</v>
      </c>
      <c r="N19" s="15">
        <v>-1.5134270006828872</v>
      </c>
      <c r="O19" s="15">
        <v>1.5988917346987752</v>
      </c>
      <c r="P19" s="15">
        <v>-1.5134270006828872</v>
      </c>
      <c r="Q19" s="15">
        <v>1.5988917346987752</v>
      </c>
    </row>
    <row r="20" spans="9:17" x14ac:dyDescent="0.25">
      <c r="I20" s="15" t="s">
        <v>54</v>
      </c>
      <c r="J20" s="15">
        <v>0.13255939609871717</v>
      </c>
      <c r="K20" s="15">
        <v>0.63708269509268922</v>
      </c>
      <c r="L20" s="15">
        <v>0.20807251102532473</v>
      </c>
      <c r="M20" s="15">
        <v>0.84338234638953513</v>
      </c>
      <c r="N20" s="15">
        <v>-1.5051138077047785</v>
      </c>
      <c r="O20" s="15">
        <v>1.770232599902213</v>
      </c>
      <c r="P20" s="15">
        <v>-1.5051138077047785</v>
      </c>
      <c r="Q20" s="15">
        <v>1.770232599902213</v>
      </c>
    </row>
    <row r="21" spans="9:17" x14ac:dyDescent="0.25">
      <c r="I21" s="15" t="s">
        <v>28</v>
      </c>
      <c r="J21" s="15">
        <v>-0.33254245637720842</v>
      </c>
      <c r="K21" s="15">
        <v>2.1779009799989826</v>
      </c>
      <c r="L21" s="15">
        <v>-0.15268942868897731</v>
      </c>
      <c r="M21" s="15">
        <v>0.88461366622256254</v>
      </c>
      <c r="N21" s="15">
        <v>-5.9310151553771222</v>
      </c>
      <c r="O21" s="15">
        <v>5.2659302426227059</v>
      </c>
      <c r="P21" s="15">
        <v>-5.9310151553771222</v>
      </c>
      <c r="Q21" s="15">
        <v>5.2659302426227059</v>
      </c>
    </row>
    <row r="22" spans="9:17" x14ac:dyDescent="0.25">
      <c r="I22" s="15" t="s">
        <v>96</v>
      </c>
      <c r="J22" s="15">
        <v>2.568437842774611E-2</v>
      </c>
      <c r="K22" s="15">
        <v>0.14146700128988948</v>
      </c>
      <c r="L22" s="15">
        <v>0.18155738224149204</v>
      </c>
      <c r="M22" s="15">
        <v>0.86306080462517998</v>
      </c>
      <c r="N22" s="15">
        <v>-0.33796812542998295</v>
      </c>
      <c r="O22" s="15">
        <v>0.38933688228547519</v>
      </c>
      <c r="P22" s="15">
        <v>-0.33796812542998295</v>
      </c>
      <c r="Q22" s="15">
        <v>0.38933688228547519</v>
      </c>
    </row>
    <row r="23" spans="9:17" ht="15.75" thickBot="1" x14ac:dyDescent="0.3">
      <c r="I23" s="21" t="s">
        <v>3</v>
      </c>
      <c r="J23" s="21">
        <v>1.7912256535455496E-4</v>
      </c>
      <c r="K23" s="21">
        <v>8.4337547495614716E-4</v>
      </c>
      <c r="L23" s="21">
        <v>0.2123876857622268</v>
      </c>
      <c r="M23" s="21">
        <v>0.84019157388963861</v>
      </c>
      <c r="N23" s="21">
        <v>-1.9888431111888668E-3</v>
      </c>
      <c r="O23" s="21">
        <v>2.3470882418979771E-3</v>
      </c>
      <c r="P23" s="21">
        <v>-1.9888431111888668E-3</v>
      </c>
      <c r="Q23" s="21">
        <v>2.3470882418979771E-3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0.1247561451424113</v>
      </c>
      <c r="C2" s="13">
        <f>'ALL VARS'!G2</f>
        <v>5.4244434161139297E-2</v>
      </c>
      <c r="D2" s="13">
        <f>'ALL VARS'!H2</f>
        <v>-5.7383802646246318E-2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5.4244434161139297E-2</v>
      </c>
      <c r="C3" s="13">
        <f>'ALL VARS'!G3</f>
        <v>-5.7383802646246318E-2</v>
      </c>
      <c r="D3" s="13">
        <f>'ALL VARS'!H3</f>
        <v>4.5608878528353519E-2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-5.7383802646246318E-2</v>
      </c>
      <c r="C4" s="13">
        <f>'ALL VARS'!G4</f>
        <v>4.5608878528353519E-2</v>
      </c>
      <c r="D4" s="13">
        <f>'ALL VARS'!H4</f>
        <v>-9.0980283766353406E-2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4.5608878528353519E-2</v>
      </c>
      <c r="C5" s="13">
        <f>'ALL VARS'!G5</f>
        <v>-9.0980283766353406E-2</v>
      </c>
      <c r="D5" s="13">
        <f>'ALL VARS'!H5</f>
        <v>9.189678587596202E-2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0.13810166646628549</v>
      </c>
    </row>
    <row r="6" spans="1:14" x14ac:dyDescent="0.25">
      <c r="A6" s="17">
        <f>'ALL VARS'!A6</f>
        <v>43907</v>
      </c>
      <c r="B6" s="13">
        <f>'ALL VARS'!F6</f>
        <v>-9.0980283766353406E-2</v>
      </c>
      <c r="C6" s="13">
        <f>'ALL VARS'!G6</f>
        <v>9.189678587596202E-2</v>
      </c>
      <c r="D6" s="13">
        <f>'ALL VARS'!H6</f>
        <v>2.6592998037798233E-2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1.9072070280765161E-2</v>
      </c>
    </row>
    <row r="7" spans="1:14" x14ac:dyDescent="0.25">
      <c r="A7" s="17">
        <f>'ALL VARS'!A7</f>
        <v>43906</v>
      </c>
      <c r="B7" s="13">
        <f>'ALL VARS'!F7</f>
        <v>9.189678587596202E-2</v>
      </c>
      <c r="C7" s="13">
        <f>'ALL VARS'!G7</f>
        <v>2.6592998037798233E-2</v>
      </c>
      <c r="D7" s="13">
        <f>'ALL VARS'!H7</f>
        <v>-3.5941855834328948E-2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-0.96567027349462276</v>
      </c>
    </row>
    <row r="8" spans="1:14" x14ac:dyDescent="0.25">
      <c r="A8" s="17">
        <f>'ALL VARS'!A8</f>
        <v>43903</v>
      </c>
      <c r="B8" s="13">
        <f>'ALL VARS'!F8</f>
        <v>2.6592998037798233E-2</v>
      </c>
      <c r="C8" s="13">
        <f>'ALL VARS'!G8</f>
        <v>-3.5941855834328948E-2</v>
      </c>
      <c r="D8" s="13">
        <f>'ALL VARS'!H8</f>
        <v>-0.10349444370062925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0.10634976795455597</v>
      </c>
    </row>
    <row r="9" spans="1:14" ht="15.75" thickBot="1" x14ac:dyDescent="0.3">
      <c r="A9" s="17">
        <f>'ALL VARS'!A9</f>
        <v>43902</v>
      </c>
      <c r="B9" s="13">
        <f>'ALL VARS'!F9</f>
        <v>-3.5941855834328948E-2</v>
      </c>
      <c r="C9" s="13">
        <f>'ALL VARS'!G9</f>
        <v>-0.10349444370062925</v>
      </c>
      <c r="D9" s="13">
        <f>'ALL VARS'!H9</f>
        <v>-6.586901238170681E-2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-0.10349444370062925</v>
      </c>
      <c r="C10" s="13">
        <f>'ALL VARS'!G10</f>
        <v>-6.586901238170681E-2</v>
      </c>
      <c r="D10" s="13">
        <f>'ALL VARS'!H10</f>
        <v>1.3692262181464772E-2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-6.586901238170681E-2</v>
      </c>
      <c r="C11" s="13">
        <f>'ALL VARS'!G11</f>
        <v>1.3692262181464772E-2</v>
      </c>
      <c r="D11" s="13">
        <f>'ALL VARS'!H11</f>
        <v>-7.2693784779371468E-2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1.0995217781113106E-3</v>
      </c>
      <c r="L13" s="15">
        <v>2.1990435562226212E-4</v>
      </c>
      <c r="M13" s="15">
        <v>1.944288637619284E-2</v>
      </c>
      <c r="N13" s="15">
        <v>0.99970163372395948</v>
      </c>
    </row>
    <row r="14" spans="1:14" x14ac:dyDescent="0.25">
      <c r="I14" s="15" t="s">
        <v>63</v>
      </c>
      <c r="J14" s="15">
        <v>5</v>
      </c>
      <c r="K14" s="15">
        <v>5.6551365719939503E-2</v>
      </c>
      <c r="L14" s="15">
        <v>1.1310273143987901E-2</v>
      </c>
    </row>
    <row r="15" spans="1:14" ht="15.75" thickBot="1" x14ac:dyDescent="0.3">
      <c r="I15" s="21" t="s">
        <v>64</v>
      </c>
      <c r="J15" s="21">
        <v>10</v>
      </c>
      <c r="K15" s="21">
        <v>5.7650887498050814E-2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2.1170006457961035E-2</v>
      </c>
      <c r="K19" s="15">
        <v>0.56532175012436292</v>
      </c>
      <c r="L19" s="15">
        <v>3.7447712657975619E-2</v>
      </c>
      <c r="M19" s="15">
        <v>0.97157716671091432</v>
      </c>
      <c r="N19" s="15">
        <v>-1.432035815701858</v>
      </c>
      <c r="O19" s="15">
        <v>1.4743758286177799</v>
      </c>
      <c r="P19" s="15">
        <v>-1.432035815701858</v>
      </c>
      <c r="Q19" s="15">
        <v>1.4743758286177799</v>
      </c>
    </row>
    <row r="20" spans="9:17" x14ac:dyDescent="0.25">
      <c r="I20" s="15" t="s">
        <v>54</v>
      </c>
      <c r="J20" s="15">
        <v>0.14840920328829482</v>
      </c>
      <c r="K20" s="15">
        <v>0.65299082362399341</v>
      </c>
      <c r="L20" s="15">
        <v>0.2272760931993619</v>
      </c>
      <c r="M20" s="15">
        <v>0.82920972363574297</v>
      </c>
      <c r="N20" s="15">
        <v>-1.5301571467567394</v>
      </c>
      <c r="O20" s="15">
        <v>1.8269755533333292</v>
      </c>
      <c r="P20" s="15">
        <v>-1.5301571467567394</v>
      </c>
      <c r="Q20" s="15">
        <v>1.8269755533333292</v>
      </c>
    </row>
    <row r="21" spans="9:17" x14ac:dyDescent="0.25">
      <c r="I21" s="15" t="s">
        <v>29</v>
      </c>
      <c r="J21" s="15">
        <v>-0.28418770503317936</v>
      </c>
      <c r="K21" s="15">
        <v>3.5953219560389709</v>
      </c>
      <c r="L21" s="15">
        <v>-7.9043743093949209E-2</v>
      </c>
      <c r="M21" s="15">
        <v>0.94006380917666998</v>
      </c>
      <c r="N21" s="15">
        <v>-9.5262570184913837</v>
      </c>
      <c r="O21" s="15">
        <v>8.9578816084250246</v>
      </c>
      <c r="P21" s="15">
        <v>-9.5262570184913837</v>
      </c>
      <c r="Q21" s="15">
        <v>8.9578816084250246</v>
      </c>
    </row>
    <row r="22" spans="9:17" x14ac:dyDescent="0.25">
      <c r="I22" s="15" t="s">
        <v>97</v>
      </c>
      <c r="J22" s="15">
        <v>4.534090410372723E-2</v>
      </c>
      <c r="K22" s="15">
        <v>0.29209937033792344</v>
      </c>
      <c r="L22" s="15">
        <v>0.15522424458249712</v>
      </c>
      <c r="M22" s="15">
        <v>0.88271631224753755</v>
      </c>
      <c r="N22" s="15">
        <v>-0.7055244314877438</v>
      </c>
      <c r="O22" s="15">
        <v>0.79620623969519833</v>
      </c>
      <c r="P22" s="15">
        <v>-0.7055244314877438</v>
      </c>
      <c r="Q22" s="15">
        <v>0.79620623969519833</v>
      </c>
    </row>
    <row r="23" spans="9:17" ht="15.75" thickBot="1" x14ac:dyDescent="0.3">
      <c r="I23" s="21" t="s">
        <v>3</v>
      </c>
      <c r="J23" s="21">
        <v>2.0629402324513942E-4</v>
      </c>
      <c r="K23" s="21">
        <v>7.7743557501646255E-4</v>
      </c>
      <c r="L23" s="21">
        <v>0.26535192094955401</v>
      </c>
      <c r="M23" s="21">
        <v>0.8013311279989066</v>
      </c>
      <c r="N23" s="21">
        <v>-1.7921677442696532E-3</v>
      </c>
      <c r="O23" s="21">
        <v>2.204755790759932E-3</v>
      </c>
      <c r="P23" s="21">
        <v>-1.7921677442696532E-3</v>
      </c>
      <c r="Q23" s="21">
        <v>2.204755790759932E-3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98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x14ac:dyDescent="0.25">
      <c r="A5" s="1" t="s">
        <v>35</v>
      </c>
      <c r="B5" s="4" t="str">
        <f>IF('[1]Eq4 avec Sent_t__+__1'!CX21&lt;0.1,'[1]Eq4 avec Sent_t__+__1'!CU21,"-")</f>
        <v>-</v>
      </c>
      <c r="C5" s="4">
        <f>IF('[1]Eq4 avec Sent_t__+__1'!CX22&lt;0.1,'[1]Eq4 avec Sent_t__+__1'!CU22,"-")</f>
        <v>-3.8789526433198558E-2</v>
      </c>
      <c r="D5" s="4" t="str">
        <f>IF('[1]Eq7 avec Sent_t'!CX21&lt;0.1,'[1]Eq7 avec Sent_t'!CU21,"-")</f>
        <v>-</v>
      </c>
      <c r="E5" s="4" t="str">
        <f>IF('[1]Eq7 avec Sent_t'!CX22&lt;0.1,'[1]Eq7 avec Sent_t'!CU22,"-")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>
        <f>IF('[1]Eq4 avec Sent__t_+_1_k, k=0'!CX21&lt;0.1,'[1]Eq4 avec Sent__t_+_1_k, k=0'!CU21,"-")</f>
        <v>7.2954396899441623</v>
      </c>
      <c r="C6" s="4">
        <f>IF('[1]Eq4 avec Sent__t_+_1_k, k=0'!CX22&lt;0.1,'[1]Eq4 avec Sent__t_+_1_k, k=0'!CU22,"-")</f>
        <v>-0.59900894159729934</v>
      </c>
      <c r="D6" s="4" t="str">
        <f>IF('[1]Eq7 avec Sent__t_k, k=0'!CX21&lt;0.1,'[1]Eq7 avec Sent__t_k, k=0'!CU21,"-")</f>
        <v>-</v>
      </c>
      <c r="E6" s="4" t="str">
        <f>IF('[1]Eq7 avec Sent__t_k, k=0'!CX22&lt;0.1,'[1]Eq7 avec Sent__t_k, k=0'!CU22,"-")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IF('[1]Eq4 avec Sent__t_+_1_k, k=1'!CX21&lt;0.1,'[1]Eq4 avec Sent__t_+_1_k, k=1'!CU21,"-")</f>
        <v>-</v>
      </c>
      <c r="C7" s="4" t="str">
        <f>IF('[1]Eq4 avec Sent__t_+_1_k, k=1'!CX22&lt;0.1,'[1]Eq4 avec Sent__t_+_1_k, k=1'!CU22,"-")</f>
        <v>-</v>
      </c>
      <c r="D7" s="4" t="str">
        <f>IF('[1]Eq7 avec Sent__t_k, k=1'!CX21&lt;0.1,'[1]Eq7 avec Sent__t_k, k=1'!CU21,"-")</f>
        <v>-</v>
      </c>
      <c r="E7" s="4" t="str">
        <f>IF('[1]Eq7 avec Sent__t_k, k=1'!CX22&lt;0.1,'[1]Eq7 avec Sent__t_k, k=1'!CU22,"-")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IF('[1]Eq4 avec Sent__t_+_1_k, k=2'!CX21&lt;0.1,'[1]Eq4 avec Sent__t_+_1_k, k=2'!CU21,"-")</f>
        <v>-</v>
      </c>
      <c r="C8" s="4">
        <f>IF('[1]Eq4 avec Sent__t_+_1_k, k=2'!CX22&lt;0.1,'[1]Eq4 avec Sent__t_+_1_k, k=2'!CU22,"-")</f>
        <v>-0.57841076563748139</v>
      </c>
      <c r="D8" s="4" t="str">
        <f>IF('[1]Eq7 avec Sent__t_k, k=2'!CX21&lt;0.1,'[1]Eq7 avec Sent__t_k, k=2'!CU21,"-")</f>
        <v>-</v>
      </c>
      <c r="E8" s="4" t="str">
        <f>IF('[1]Eq7 avec Sent__t_k, k=2'!CX22&lt;0.1,'[1]Eq7 avec Sent__t_k, k=2'!CU22,"-")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IF('[1]Eq4 avec Sent__t_+_1_k, k=3'!CX21&lt;0.1,'[1]Eq4 avec Sent__t_+_1_k, k=3'!CU21,"-")</f>
        <v>-</v>
      </c>
      <c r="C9" s="4">
        <f>IF('[1]Eq4 avec Sent__t_+_1_k, k=3'!CX22&lt;0.1,'[1]Eq4 avec Sent__t_+_1_k, k=3'!CU22,"-")</f>
        <v>-0.54172911448149308</v>
      </c>
      <c r="D9" s="4" t="str">
        <f>IF('[1]Eq7 avec Sent__t_k, k=3'!CX21&lt;0.1,'[1]Eq7 avec Sent__t_k, k=3'!CU21,"-")</f>
        <v>-</v>
      </c>
      <c r="E9" s="4" t="str">
        <f>IF('[1]Eq7 avec Sent__t_k, k=3'!CX22&lt;0.1,'[1]Eq7 avec Sent__t_k, k=3'!CU22,"-")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>
        <f>IF('[1]Eq4 avec Sent__t_+_1_k, k=4'!CX21&lt;0.1,'[1]Eq4 avec Sent__t_+_1_k, k=4'!CU21,"-")</f>
        <v>5.6190027243607634</v>
      </c>
      <c r="C10" s="4">
        <f>IF('[1]Eq4 avec Sent__t_+_1_k, k=4'!CX22&lt;0.1,'[1]Eq4 avec Sent__t_+_1_k, k=4'!CU22,"-")</f>
        <v>-0.4898894565485401</v>
      </c>
      <c r="D10" s="4" t="str">
        <f>IF('[1]Eq7 avec Sent__t_k, k=4'!CX22&lt;0.1,'[1]Eq7 avec Sent__t_k, k=4'!CU22,"-")</f>
        <v>-</v>
      </c>
      <c r="E10" s="4" t="str">
        <f>IF('[1]Eq7 avec Sent__t_k, k=4'!CX22&lt;0.1,'[1]Eq7 avec Sent__t_k, k=4'!CU22,"-")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>
        <f>IF('[1]Eq4 avec Sent__t_+_1_k, k=5'!CX21&lt;0.1,'[1]Eq4 avec Sent__t_+_1_k, k=5'!CU21,"-")</f>
        <v>6.5537832616014811</v>
      </c>
      <c r="C11" s="4">
        <f>IF('[1]Eq4 avec Sent__t_+_1_k, k=5'!CX22&lt;0.1,'[1]Eq4 avec Sent__t_+_1_k, k=5'!CU22,"-")</f>
        <v>-1.3371202199178251</v>
      </c>
      <c r="D11" s="4" t="str">
        <f>IF('[1]Eq7 avec Sent__t_k, k=5'!CX21&lt;0.1,'[1]Eq7 avec Sent__t_k, k=5'!CU21,"-")</f>
        <v>-</v>
      </c>
      <c r="E11" s="4" t="str">
        <f>IF('[1]Eq7 avec Sent__t_k, k=5'!CX22&lt;0.1,'[1]Eq7 avec Sent__t_k, k=5'!CU22,"-")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IF('[1]Eq4 avec Sent__t_+_1_k, k=6'!CX21&lt;0.1,'[1]Eq4 avec Sent__t_+_1_k, k=6'!CU21,"-")</f>
        <v>-</v>
      </c>
      <c r="C12" s="4" t="str">
        <f>IF('[1]Eq4 avec Sent__t_+_1_k, k=6'!CX22&lt;0.1,'[1]Eq4 avec Sent__t_+_1_k, k=6'!CU22,"-")</f>
        <v>-</v>
      </c>
      <c r="D12" s="4" t="str">
        <f>IF('[1]Eq7 avec Sent__t_k, k=6'!CX21&lt;0.1,'[1]Eq7 avec Sent__t_k, k=6'!CU21,"-")</f>
        <v>-</v>
      </c>
      <c r="E12" s="4" t="str">
        <f>IF('[1]Eq7 avec Sent__t_k, k=6'!CX22&lt;0.1,'[1]Eq7 avec Sent__t_k, k=6'!CU22,"-")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IF('[1]Eq4 avec Sent__t_+_1_k, k=7'!CX21&lt;0.1,'[1]Eq4 avec Sent__t_+_1_k, k=7'!CU21,"-")</f>
        <v>-</v>
      </c>
      <c r="C13" s="4">
        <f>IF('[1]Eq4 avec Sent__t_+_1_k, k=7'!CX22&lt;0.1,'[1]Eq4 avec Sent__t_+_1_k, k=7'!CU22,"-")</f>
        <v>-0.14085437575512375</v>
      </c>
      <c r="D13" s="4" t="str">
        <f>IF('[1]Eq7 avec Sent__t_k, k=7'!CX21&lt;0.1,'[1]Eq7 avec Sent__t_k, k=7'!CU21,"-")</f>
        <v>-</v>
      </c>
      <c r="E13" s="4" t="str">
        <f>IF('[1]Eq7 avec Sent__t_k, k=7'!CX22&lt;0.1,'[1]Eq7 avec Sent__t_k, k=7'!CU22,"-")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IF('[1]Eq4 avec Sent__t_+_1_k, k=8'!CX21&lt;0.1,'[1]Eq4 avec Sent__t_+_1_k, k=8'!CU21,"-")</f>
        <v>-</v>
      </c>
      <c r="C14" s="4">
        <f>IF('[1]Eq4 avec Sent__t_+_1_k, k=8'!CX22&lt;0.1,'[1]Eq4 avec Sent__t_+_1_k, k=8'!CU22,"-")</f>
        <v>-0.24061119285450441</v>
      </c>
      <c r="D14" s="4" t="str">
        <f>IF('[1]Eq7 avec Sent__t_k, k=8'!CX21&lt;0.1,'[1]Eq7 avec Sent__t_k, k=8'!CU21,"-")</f>
        <v>-</v>
      </c>
      <c r="E14" s="4" t="str">
        <f>IF('[1]Eq7 avec Sent__t_k, k=8'!CX22&lt;0.1,'[1]Eq7 avec Sent__t_k, k=8'!CU22,"-")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IF('[1]Eq4 avec Sent__t_+_1_k, k=9'!CX21&lt;0.1,'[1]Eq4 avec Sent__t_+_1_k, k=9'!CU21,"-")</f>
        <v>-</v>
      </c>
      <c r="C15" s="3" t="str">
        <f>IF('[1]Eq4 avec Sent__t_+_1_k, k=9'!CX22&lt;0.1,'[1]Eq4 avec Sent__t_+_1_k, k=9'!CU22,"-")</f>
        <v>-</v>
      </c>
      <c r="D15" s="3" t="str">
        <f>IF('[1]Eq7 avec Sent__t_k, k=9'!CX21&lt;0.1,'[1]Eq7 avec Sent__t_k, k=9'!CU21,"-")</f>
        <v>-</v>
      </c>
      <c r="E15" s="4" t="str">
        <f>IF('[1]Eq7 avec Sent__t_k, k=8'!CX22&lt;0.1,'[1]Eq7 avec Sent__t_k, k=8'!CU22,"-")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103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