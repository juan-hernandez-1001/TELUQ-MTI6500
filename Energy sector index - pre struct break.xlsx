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C5E5794F-8FC8-4B31-9849-81CE9FEC3647}" xr6:coauthVersionLast="47" xr6:coauthVersionMax="47" xr10:uidLastSave="{00000000-0000-0000-0000-000000000000}"/>
  <bookViews>
    <workbookView xWindow="-120" yWindow="-120" windowWidth="20730" windowHeight="11160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I14" i="112" s="1"/>
  <c r="G15" i="112"/>
  <c r="I15" i="112" s="1"/>
  <c r="G13" i="112"/>
  <c r="I13" i="112" s="1"/>
  <c r="G12" i="112"/>
  <c r="I12" i="112" s="1"/>
  <c r="G11" i="112"/>
  <c r="I11" i="112" s="1"/>
  <c r="G10" i="112"/>
  <c r="I10" i="112" s="1"/>
  <c r="G9" i="112"/>
  <c r="I9" i="112" s="1"/>
  <c r="G8" i="112"/>
  <c r="I8" i="112" s="1"/>
  <c r="G7" i="112"/>
  <c r="H7" i="112" s="1"/>
  <c r="G6" i="112"/>
  <c r="I6" i="112" s="1"/>
  <c r="G5" i="112"/>
  <c r="I5" i="112" s="1"/>
  <c r="H14" i="112" l="1"/>
  <c r="J14" i="112" s="1"/>
  <c r="H15" i="112"/>
  <c r="J15" i="112" s="1"/>
  <c r="H13" i="112"/>
  <c r="J13" i="112" s="1"/>
  <c r="H12" i="112"/>
  <c r="J12" i="112" s="1"/>
  <c r="H11" i="112"/>
  <c r="J11" i="112" s="1"/>
  <c r="H10" i="112"/>
  <c r="J10" i="112" s="1"/>
  <c r="H9" i="112"/>
  <c r="J9" i="112" s="1"/>
  <c r="H8" i="112"/>
  <c r="J8" i="112" s="1"/>
  <c r="I7" i="112"/>
  <c r="J7" i="112" s="1"/>
  <c r="H6" i="112"/>
  <c r="J6" i="112" s="1"/>
  <c r="H5" i="112"/>
  <c r="J5" i="112" s="1"/>
  <c r="B16" i="112" s="1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13" i="42" s="1"/>
  <c r="B3" i="42"/>
  <c r="B4" i="42"/>
  <c r="B5" i="42"/>
  <c r="B6" i="42"/>
  <c r="B7" i="42"/>
  <c r="B8" i="42"/>
  <c r="B9" i="42"/>
  <c r="B10" i="42"/>
  <c r="B11" i="42"/>
  <c r="E22" i="42" l="1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<sst xmlns="http://schemas.openxmlformats.org/spreadsheetml/2006/main" count="768" uniqueCount="106">
  <si>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</si>
  <si>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</si>
  <si>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</si>
  <si>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</si>
  <si>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</si>
  <si>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</si>
  <si>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</si>
  <si>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</si>
  <si>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</si>
  <si>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</si>
  <si>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</si>
  <si>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</si>
  <si>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</si>
  <si>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</si>
  <si>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</si>
  <si>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</si>
  <si>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</si>
  <si>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</si>
  <si>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</si>
  <si>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</si>
  <si>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</si>
  <si>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</si>
  <si>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</si>
  <si>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</si>
  <si>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</si>
  <si>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</si>
  <si>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</si>
  <si>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</si>
  <si>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</si>
  <si>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</si>
  <si>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</si>
  <si>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</si>
  <si>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</si>
  <si>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</si>
  <si>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</si>
  <si>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</si>
  <si>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</si>
  <si>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</si>
  <si>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</si>
  <si>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</si>
  <si>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</si>
  <si>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</si>
  <si>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</si>
  <si>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</si>
  <si>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</si>
  <si>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</si>
  <si>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</si>
  <si>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</si>
  <si>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</si>
  <si>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</si>
  <si>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</si>
  <si>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</si>
  <si>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</si>
  <si>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</si>
  <si>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</si>
  <si>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</si>
  <si>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</si>
  <si>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</si>
  <si>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</si>
  <si>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</si>
  <si>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</si>
  <si>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</si>
  <si>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</si>
  <si>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</si>
  <si>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</si>
  <si>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</si>
  <si>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</si>
  <si>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</si>
  <si>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</si>
  <si>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</si>
  <si>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</si>
  <si>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</si>
  <si>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</si>
  <si>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</si>
  <si>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</si>
  <si>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</si>
  <si>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</si>
  <si>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</si>
  <si>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</si>
  <si>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</si>
  <si>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</si>
  <si>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</si>
  <si>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</si>
  <si>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</si>
  <si>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</si>
  <si>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</si>
  <si>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</si>
  <si>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</si>
  <si>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</si>
  <si>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</si>
  <si>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</si>
  <si>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</si>
  <si>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</si>
  <si>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</si>
  <si>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</si>
  <si>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</si>
  <si>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</si>
  <si>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</si>
  <si>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Energy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</si>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</sst>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80132623608968E-2"/>
          <c:y val="4.1025635001650421E-2"/>
          <c:w val="0.92737459219466722"/>
          <c:h val="0.76429553962953001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43.46</c:v>
                </c:pt>
                <c:pt idx="1">
                  <c:v>45.17</c:v>
                </c:pt>
                <c:pt idx="2">
                  <c:v>44.23</c:v>
                </c:pt>
                <c:pt idx="3">
                  <c:v>41.95</c:v>
                </c:pt>
                <c:pt idx="4">
                  <c:v>47.93</c:v>
                </c:pt>
                <c:pt idx="5">
                  <c:v>52.8</c:v>
                </c:pt>
                <c:pt idx="6">
                  <c:v>64.510000000000005</c:v>
                </c:pt>
                <c:pt idx="7">
                  <c:v>58.33</c:v>
                </c:pt>
                <c:pt idx="8">
                  <c:v>69.900000000000006</c:v>
                </c:pt>
                <c:pt idx="9">
                  <c:v>75.45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  <c:minorUnit val="1"/>
      </c:valAx>
      <c:valAx>
        <c:axId val="119367040"/>
        <c:scaling>
          <c:orientation val="minMax"/>
          <c:min val="4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Date_2</v>
          </cell>
        </row>
        <row r="123">
          <cell r="G123">
            <v>74.2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43.46</v>
      </c>
      <c r="C2" s="13">
        <v>-3.7856984724374605E-2</v>
      </c>
      <c r="D2" s="14">
        <v>9.646422257646918E-2</v>
      </c>
      <c r="F2" s="13">
        <v>0.11297745052922219</v>
      </c>
      <c r="G2" s="13">
        <v>-3.7856984724374605E-2</v>
      </c>
      <c r="H2" s="13">
        <v>2.1252543522496153E-2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45.17</v>
      </c>
      <c r="C3" s="13">
        <v>2.1252543522496153E-2</v>
      </c>
      <c r="D3" s="14">
        <v>-0.26341802316407364</v>
      </c>
      <c r="F3" s="13">
        <v>-3.7856984724374605E-2</v>
      </c>
      <c r="G3" s="13">
        <v>2.1252543522496153E-2</v>
      </c>
      <c r="H3" s="13">
        <v>5.4350417163289484E-2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44.23</v>
      </c>
      <c r="C4" s="13">
        <v>5.4350417163289484E-2</v>
      </c>
      <c r="D4" s="14">
        <v>-1.0060927661305124E-2</v>
      </c>
      <c r="F4" s="13">
        <v>2.1252543522496153E-2</v>
      </c>
      <c r="G4" s="13">
        <v>5.4350417163289484E-2</v>
      </c>
      <c r="H4" s="13">
        <v>-0.12476528270394319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41.95</v>
      </c>
      <c r="C5" s="13">
        <v>-0.12476528270394319</v>
      </c>
      <c r="D5" s="14">
        <v>-0.20595118422061204</v>
      </c>
      <c r="F5" s="13">
        <v>5.4350417163289484E-2</v>
      </c>
      <c r="G5" s="13">
        <v>-0.12476528270394319</v>
      </c>
      <c r="H5" s="13">
        <v>-9.2234848484848447E-2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47.93</v>
      </c>
      <c r="C6" s="13">
        <v>-9.2234848484848447E-2</v>
      </c>
      <c r="D6" s="14">
        <v>-0.11883065734918301</v>
      </c>
      <c r="F6" s="13">
        <v>-0.12476528270394319</v>
      </c>
      <c r="G6" s="13">
        <v>-9.2234848484848447E-2</v>
      </c>
      <c r="H6" s="13">
        <v>-0.18152224461323838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52.8</v>
      </c>
      <c r="C7" s="13">
        <v>-0.18152224461323838</v>
      </c>
      <c r="D7" s="14">
        <v>3.1907220238021443E-2</v>
      </c>
      <c r="F7" s="13">
        <v>-9.2234848484848447E-2</v>
      </c>
      <c r="G7" s="13">
        <v>-0.18152224461323838</v>
      </c>
      <c r="H7" s="13">
        <v>0.10594891136636392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64.510000000000005</v>
      </c>
      <c r="C8" s="13">
        <v>0.10594891136636392</v>
      </c>
      <c r="D8" s="14">
        <v>-0.35427594827488063</v>
      </c>
      <c r="F8" s="13">
        <v>-0.18152224461323838</v>
      </c>
      <c r="G8" s="13">
        <v>0.10594891136636392</v>
      </c>
      <c r="H8" s="13">
        <v>-0.16552217453505016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58.33</v>
      </c>
      <c r="C9" s="13">
        <v>-0.16552217453505016</v>
      </c>
      <c r="D9" s="14">
        <v>-6.778317345306277E-2</v>
      </c>
      <c r="F9" s="13">
        <v>0.10594891136636392</v>
      </c>
      <c r="G9" s="13">
        <v>-0.16552217453505016</v>
      </c>
      <c r="H9" s="13">
        <v>-7.3558648111331962E-2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69.900000000000006</v>
      </c>
      <c r="C10" s="13">
        <v>-7.3558648111331962E-2</v>
      </c>
      <c r="D10" s="14">
        <v>-5.6557500781491396E-2</v>
      </c>
      <c r="F10" s="13">
        <v>-0.16552217453505016</v>
      </c>
      <c r="G10" s="13">
        <v>-7.3558648111331962E-2</v>
      </c>
      <c r="H10" s="13">
        <v>1.6846361185983826E-2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75.45</v>
      </c>
      <c r="C11" s="13">
        <v>1.6846361185983826E-2</v>
      </c>
      <c r="D11" s="14">
        <v>4.3987865692802837E-2</v>
      </c>
      <c r="F11" s="13">
        <v>-7.3558648111331962E-2</v>
      </c>
      <c r="G11" s="13">
        <v>1.6846361185983826E-2</v>
      </c>
      <c r="H11" s="13">
        <v>-0.2722636327971753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6"/>
  <sheetViews>
    <sheetView workbookViewId="0">
      <selection activeCell="M9" sqref="M9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3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43.46</v>
      </c>
    </row>
    <row r="3" spans="1:2" x14ac:dyDescent="0.25">
      <c r="A3" s="17">
        <f>'ALL VARS'!A3</f>
        <v>43910</v>
      </c>
      <c r="B3" s="18">
        <f>'ALL VARS'!B3</f>
        <v>45.17</v>
      </c>
    </row>
    <row r="4" spans="1:2" x14ac:dyDescent="0.25">
      <c r="A4" s="17">
        <f>'ALL VARS'!A4</f>
        <v>43909</v>
      </c>
      <c r="B4" s="18">
        <f>'ALL VARS'!B4</f>
        <v>44.23</v>
      </c>
    </row>
    <row r="5" spans="1:2" x14ac:dyDescent="0.25">
      <c r="A5" s="17">
        <f>'ALL VARS'!A5</f>
        <v>43908</v>
      </c>
      <c r="B5" s="18">
        <f>'ALL VARS'!B5</f>
        <v>41.95</v>
      </c>
    </row>
    <row r="6" spans="1:2" x14ac:dyDescent="0.25">
      <c r="A6" s="17">
        <f>'ALL VARS'!A6</f>
        <v>43907</v>
      </c>
      <c r="B6" s="18">
        <f>'ALL VARS'!B6</f>
        <v>47.93</v>
      </c>
    </row>
    <row r="7" spans="1:2" x14ac:dyDescent="0.25">
      <c r="A7" s="17">
        <f>'ALL VARS'!A7</f>
        <v>43906</v>
      </c>
      <c r="B7" s="18">
        <f>'ALL VARS'!B7</f>
        <v>52.8</v>
      </c>
    </row>
    <row r="8" spans="1:2" x14ac:dyDescent="0.25">
      <c r="A8" s="17">
        <f>'ALL VARS'!A8</f>
        <v>43903</v>
      </c>
      <c r="B8" s="18">
        <f>'ALL VARS'!B8</f>
        <v>64.510000000000005</v>
      </c>
    </row>
    <row r="9" spans="1:2" x14ac:dyDescent="0.25">
      <c r="A9" s="17">
        <f>'ALL VARS'!A9</f>
        <v>43902</v>
      </c>
      <c r="B9" s="18">
        <f>'ALL VARS'!B9</f>
        <v>58.33</v>
      </c>
    </row>
    <row r="10" spans="1:2" x14ac:dyDescent="0.25">
      <c r="A10" s="17">
        <f>'ALL VARS'!A10</f>
        <v>43901</v>
      </c>
      <c r="B10" s="18">
        <f>'ALL VARS'!B10</f>
        <v>69.900000000000006</v>
      </c>
    </row>
    <row r="11" spans="1:2" x14ac:dyDescent="0.25">
      <c r="A11" s="17">
        <f>'ALL VARS'!A11</f>
        <v>43900</v>
      </c>
      <c r="B11" s="18">
        <f>'ALL VARS'!B11</f>
        <v>75.45</v>
      </c>
    </row>
    <row r="13" spans="1:2" x14ac:dyDescent="0.25">
      <c r="B13" s="19">
        <f>(B2-'[1]SPTSX Energy_ret'!$G$123)/'[1]SPTSX Energy_ret'!$G$123</f>
        <v>-0.41428571428571431</v>
      </c>
    </row>
    <row r="20" spans="1:8" x14ac:dyDescent="0.25">
      <c r="D20" s="17" t="s">
        <v>104</v>
      </c>
      <c r="E20" s="18">
        <f>MAX(B2:B11)</f>
        <v>75.45</v>
      </c>
      <c r="G20" s="19"/>
      <c r="H20" s="19"/>
    </row>
    <row r="21" spans="1:8" x14ac:dyDescent="0.25">
      <c r="D21" s="17" t="s">
        <v>31</v>
      </c>
      <c r="E21" s="18">
        <f>QUARTILE(B2:B11, 3)</f>
        <v>62.965000000000003</v>
      </c>
    </row>
    <row r="22" spans="1:8" x14ac:dyDescent="0.25">
      <c r="A22" s="13"/>
      <c r="B22" s="13"/>
      <c r="D22" s="17" t="s">
        <v>32</v>
      </c>
      <c r="E22" s="18">
        <f>MEDIAN(B2:B11)</f>
        <v>50.364999999999995</v>
      </c>
    </row>
    <row r="23" spans="1:8" x14ac:dyDescent="0.25">
      <c r="A23" s="13"/>
      <c r="B23" s="13"/>
      <c r="D23" s="17" t="s">
        <v>33</v>
      </c>
      <c r="E23" s="18">
        <f>QUARTILE(B2:B11, 1)</f>
        <v>44.464999999999996</v>
      </c>
    </row>
    <row r="24" spans="1:8" x14ac:dyDescent="0.25">
      <c r="A24" s="13"/>
      <c r="B24" s="13"/>
      <c r="D24" s="17" t="s">
        <v>105</v>
      </c>
      <c r="E24" s="18">
        <f>MIN(B2:B11)</f>
        <v>41.95</v>
      </c>
    </row>
    <row r="25" spans="1:8" x14ac:dyDescent="0.25">
      <c r="A25" s="13"/>
      <c r="B25" s="13"/>
    </row>
    <row r="26" spans="1:8" x14ac:dyDescent="0.25">
      <c r="A26" s="13"/>
      <c r="B26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0.48673070386075201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0.23690677808078306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-0.57356779945459047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0.13457256037555052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2.8111429169489791E-2</v>
      </c>
      <c r="L13" s="15">
        <v>5.6222858338979579E-3</v>
      </c>
      <c r="M13" s="15">
        <v>0.31045588045579919</v>
      </c>
      <c r="N13" s="15">
        <v>0.88423715470583619</v>
      </c>
    </row>
    <row r="14" spans="1:14" x14ac:dyDescent="0.25">
      <c r="I14" s="15" t="s">
        <v>63</v>
      </c>
      <c r="J14" s="15">
        <v>5</v>
      </c>
      <c r="K14" s="15">
        <v>9.0548870030155937E-2</v>
      </c>
      <c r="L14" s="15">
        <v>1.8109774006031188E-2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-1.1816357400901695E-2</v>
      </c>
      <c r="K19" s="15">
        <v>0.6820009048093234</v>
      </c>
      <c r="L19" s="15">
        <v>-1.7326014258302724E-2</v>
      </c>
      <c r="M19" s="15">
        <v>0.9868466478526764</v>
      </c>
      <c r="N19" s="15">
        <v>-1.7649554951912798</v>
      </c>
      <c r="O19" s="15">
        <v>1.7413227803894766</v>
      </c>
      <c r="P19" s="15">
        <v>-1.7649554951912798</v>
      </c>
      <c r="Q19" s="15">
        <v>1.7413227803894766</v>
      </c>
    </row>
    <row r="20" spans="9:17" x14ac:dyDescent="0.25">
      <c r="I20" s="15" t="s">
        <v>54</v>
      </c>
      <c r="J20" s="15">
        <v>0.26782675894464603</v>
      </c>
      <c r="K20" s="15">
        <v>0.43148046569809306</v>
      </c>
      <c r="L20" s="15">
        <v>0.62071583822764398</v>
      </c>
      <c r="M20" s="15">
        <v>0.56198276689510518</v>
      </c>
      <c r="N20" s="15">
        <v>-0.84132908861077016</v>
      </c>
      <c r="O20" s="15">
        <v>1.3769826065000621</v>
      </c>
      <c r="P20" s="15">
        <v>-0.84132908861077016</v>
      </c>
      <c r="Q20" s="15">
        <v>1.3769826065000621</v>
      </c>
    </row>
    <row r="21" spans="9:17" x14ac:dyDescent="0.25">
      <c r="I21" s="15" t="s">
        <v>5</v>
      </c>
      <c r="J21" s="15">
        <v>-0.2344822078554164</v>
      </c>
      <c r="K21" s="15">
        <v>0.47674728532187494</v>
      </c>
      <c r="L21" s="15">
        <v>-0.49183753127635793</v>
      </c>
      <c r="M21" s="15">
        <v>0.64366456332518207</v>
      </c>
      <c r="N21" s="15">
        <v>-1.4600001196927517</v>
      </c>
      <c r="O21" s="15">
        <v>0.99103570398191898</v>
      </c>
      <c r="P21" s="15">
        <v>-1.4600001196927517</v>
      </c>
      <c r="Q21" s="15">
        <v>0.99103570398191898</v>
      </c>
    </row>
    <row r="22" spans="9:17" x14ac:dyDescent="0.25">
      <c r="I22" s="15" t="s">
        <v>18</v>
      </c>
      <c r="J22" s="15">
        <v>-9.0374070540008219E-3</v>
      </c>
      <c r="K22" s="15">
        <v>3.3754358989394335E-2</v>
      </c>
      <c r="L22" s="15">
        <v>-0.26774044374062583</v>
      </c>
      <c r="M22" s="15">
        <v>0.799592885859433</v>
      </c>
      <c r="N22" s="15">
        <v>-9.5805749145685265E-2</v>
      </c>
      <c r="O22" s="15">
        <v>7.7730935037683607E-2</v>
      </c>
      <c r="P22" s="15">
        <v>-9.5805749145685265E-2</v>
      </c>
      <c r="Q22" s="15">
        <v>7.7730935037683607E-2</v>
      </c>
    </row>
    <row r="23" spans="9:17" ht="15.75" thickBot="1" x14ac:dyDescent="0.3">
      <c r="I23" s="21" t="s">
        <v>3</v>
      </c>
      <c r="J23" s="21">
        <v>-7.7348771756368079E-4</v>
      </c>
      <c r="K23" s="21">
        <v>1.1380377075499862E-3</v>
      </c>
      <c r="L23" s="21">
        <v>-0.67966791647780855</v>
      </c>
      <c r="M23" s="21">
        <v>0.52690045774924243</v>
      </c>
      <c r="N23" s="21">
        <v>-3.6989067768608682E-3</v>
      </c>
      <c r="O23" s="21">
        <v>2.1519313417335062E-3</v>
      </c>
      <c r="P23" s="21">
        <v>-3.6989067768608682E-3</v>
      </c>
      <c r="Q23" s="21">
        <v>2.1519313417335062E-3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0.6396454046740695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0.40914624372065406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-0.26353676130282266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0.11841527224420147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4.8549415696303985E-2</v>
      </c>
      <c r="L13" s="15">
        <v>9.7098831392607964E-3</v>
      </c>
      <c r="M13" s="15">
        <v>0.69246618028982532</v>
      </c>
      <c r="N13" s="15">
        <v>0.6568666875926914</v>
      </c>
    </row>
    <row r="14" spans="1:14" x14ac:dyDescent="0.25">
      <c r="I14" s="15" t="s">
        <v>63</v>
      </c>
      <c r="J14" s="15">
        <v>5</v>
      </c>
      <c r="K14" s="15">
        <v>7.0110883503341742E-2</v>
      </c>
      <c r="L14" s="15">
        <v>1.4022176700668349E-2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-0.53965427925443399</v>
      </c>
      <c r="K19" s="15">
        <v>0.51910862100885902</v>
      </c>
      <c r="L19" s="15">
        <v>-1.0395787267135839</v>
      </c>
      <c r="M19" s="15">
        <v>0.34617070591300808</v>
      </c>
      <c r="N19" s="15">
        <v>-1.874065471142023</v>
      </c>
      <c r="O19" s="15">
        <v>0.79475691263315495</v>
      </c>
      <c r="P19" s="15">
        <v>-1.874065471142023</v>
      </c>
      <c r="Q19" s="15">
        <v>0.79475691263315495</v>
      </c>
    </row>
    <row r="20" spans="9:17" x14ac:dyDescent="0.25">
      <c r="I20" s="15" t="s">
        <v>54</v>
      </c>
      <c r="J20" s="15">
        <v>-0.22369984222173389</v>
      </c>
      <c r="K20" s="15">
        <v>0.45561420591998381</v>
      </c>
      <c r="L20" s="15">
        <v>-0.49098522239892728</v>
      </c>
      <c r="M20" s="15">
        <v>0.64422626768087965</v>
      </c>
      <c r="N20" s="15">
        <v>-1.3948934440175078</v>
      </c>
      <c r="O20" s="15">
        <v>0.94749375957404014</v>
      </c>
      <c r="P20" s="15">
        <v>-1.3948934440175078</v>
      </c>
      <c r="Q20" s="15">
        <v>0.94749375957404014</v>
      </c>
    </row>
    <row r="21" spans="9:17" x14ac:dyDescent="0.25">
      <c r="I21" s="15" t="s">
        <v>8</v>
      </c>
      <c r="J21" s="15">
        <v>11.011483328793879</v>
      </c>
      <c r="K21" s="15">
        <v>7.2315783288754476</v>
      </c>
      <c r="L21" s="15">
        <v>1.5226943314470367</v>
      </c>
      <c r="M21" s="15">
        <v>0.18833101986388737</v>
      </c>
      <c r="N21" s="15">
        <v>-7.5778805663945654</v>
      </c>
      <c r="O21" s="15">
        <v>29.600847223982324</v>
      </c>
      <c r="P21" s="15">
        <v>-7.5778805663945654</v>
      </c>
      <c r="Q21" s="15">
        <v>29.600847223982324</v>
      </c>
    </row>
    <row r="22" spans="9:17" x14ac:dyDescent="0.25">
      <c r="I22" s="15" t="s">
        <v>78</v>
      </c>
      <c r="J22" s="15">
        <v>-0.7347235960361338</v>
      </c>
      <c r="K22" s="15">
        <v>0.54360316291455402</v>
      </c>
      <c r="L22" s="15">
        <v>-1.3515807967284048</v>
      </c>
      <c r="M22" s="15">
        <v>0.23443682452617279</v>
      </c>
      <c r="N22" s="15">
        <v>-2.1321000124187348</v>
      </c>
      <c r="O22" s="15">
        <v>0.66265282034646722</v>
      </c>
      <c r="P22" s="15">
        <v>-2.1321000124187348</v>
      </c>
      <c r="Q22" s="15">
        <v>0.66265282034646722</v>
      </c>
    </row>
    <row r="23" spans="9:17" ht="15.75" thickBot="1" x14ac:dyDescent="0.3">
      <c r="I23" s="21" t="s">
        <v>3</v>
      </c>
      <c r="J23" s="21">
        <v>-3.5691892588580917E-4</v>
      </c>
      <c r="K23" s="21">
        <v>1.0001378349976638E-3</v>
      </c>
      <c r="L23" s="21">
        <v>-0.35686973674647843</v>
      </c>
      <c r="M23" s="21">
        <v>0.73575616968607704</v>
      </c>
      <c r="N23" s="21">
        <v>-2.9278550776634339E-3</v>
      </c>
      <c r="O23" s="21">
        <v>2.2140172258918152E-3</v>
      </c>
      <c r="P23" s="21">
        <v>-2.9278550776634339E-3</v>
      </c>
      <c r="Q23" s="21">
        <v>2.2140172258918152E-3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0.53554956149517174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0.2868133328176708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-0.48373600092819258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0.13009761205575859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3.4033355886592384E-2</v>
      </c>
      <c r="L13" s="15">
        <v>6.806671177318477E-3</v>
      </c>
      <c r="M13" s="15">
        <v>0.40215745192043217</v>
      </c>
      <c r="N13" s="15">
        <v>0.82758769863436044</v>
      </c>
    </row>
    <row r="14" spans="1:14" x14ac:dyDescent="0.25">
      <c r="I14" s="15" t="s">
        <v>63</v>
      </c>
      <c r="J14" s="15">
        <v>5</v>
      </c>
      <c r="K14" s="15">
        <v>8.4626943313053343E-2</v>
      </c>
      <c r="L14" s="15">
        <v>1.6925388662610667E-2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0.22021978020406408</v>
      </c>
      <c r="K19" s="15">
        <v>0.60697463093047255</v>
      </c>
      <c r="L19" s="15">
        <v>0.3628154604525633</v>
      </c>
      <c r="M19" s="15">
        <v>0.73157539974716101</v>
      </c>
      <c r="N19" s="15">
        <v>-1.3400581807578651</v>
      </c>
      <c r="O19" s="15">
        <v>1.780497741165993</v>
      </c>
      <c r="P19" s="15">
        <v>-1.3400581807578651</v>
      </c>
      <c r="Q19" s="15">
        <v>1.780497741165993</v>
      </c>
    </row>
    <row r="20" spans="9:17" x14ac:dyDescent="0.25">
      <c r="I20" s="15" t="s">
        <v>54</v>
      </c>
      <c r="J20" s="15">
        <v>0.30198688906737303</v>
      </c>
      <c r="K20" s="15">
        <v>0.3946694688574845</v>
      </c>
      <c r="L20" s="15">
        <v>0.76516404965802098</v>
      </c>
      <c r="M20" s="15">
        <v>0.47871419836465207</v>
      </c>
      <c r="N20" s="15">
        <v>-0.71254327865790901</v>
      </c>
      <c r="O20" s="15">
        <v>1.3165170567926552</v>
      </c>
      <c r="P20" s="15">
        <v>-0.71254327865790901</v>
      </c>
      <c r="Q20" s="15">
        <v>1.3165170567926552</v>
      </c>
    </row>
    <row r="21" spans="9:17" x14ac:dyDescent="0.25">
      <c r="I21" s="15" t="s">
        <v>9</v>
      </c>
      <c r="J21" s="15">
        <v>-4.6649381877231759</v>
      </c>
      <c r="K21" s="15">
        <v>4.5501660302698408</v>
      </c>
      <c r="L21" s="15">
        <v>-1.0252237295715843</v>
      </c>
      <c r="M21" s="15">
        <v>0.35227454364908384</v>
      </c>
      <c r="N21" s="15">
        <v>-16.361512334264226</v>
      </c>
      <c r="O21" s="15">
        <v>7.0316359588178754</v>
      </c>
      <c r="P21" s="15">
        <v>-16.361512334264226</v>
      </c>
      <c r="Q21" s="15">
        <v>7.0316359588178754</v>
      </c>
    </row>
    <row r="22" spans="9:17" x14ac:dyDescent="0.25">
      <c r="I22" s="15" t="s">
        <v>79</v>
      </c>
      <c r="J22" s="15">
        <v>-0.14649013998076676</v>
      </c>
      <c r="K22" s="15">
        <v>0.4985545864933672</v>
      </c>
      <c r="L22" s="15">
        <v>-0.29382969076890775</v>
      </c>
      <c r="M22" s="15">
        <v>0.78069431304209991</v>
      </c>
      <c r="N22" s="15">
        <v>-1.4280655040937906</v>
      </c>
      <c r="O22" s="15">
        <v>1.1350852241322571</v>
      </c>
      <c r="P22" s="15">
        <v>-1.4280655040937906</v>
      </c>
      <c r="Q22" s="15">
        <v>1.1350852241322571</v>
      </c>
    </row>
    <row r="23" spans="9:17" ht="15.75" thickBot="1" x14ac:dyDescent="0.3">
      <c r="I23" s="21" t="s">
        <v>3</v>
      </c>
      <c r="J23" s="21">
        <v>-3.6662237759256755E-4</v>
      </c>
      <c r="K23" s="21">
        <v>1.0516719330613807E-3</v>
      </c>
      <c r="L23" s="21">
        <v>-0.34860907291244569</v>
      </c>
      <c r="M23" s="21">
        <v>0.74158192451738913</v>
      </c>
      <c r="N23" s="21">
        <v>-3.0700311457686831E-3</v>
      </c>
      <c r="O23" s="21">
        <v>2.3367863905835481E-3</v>
      </c>
      <c r="P23" s="21">
        <v>-3.0700311457686831E-3</v>
      </c>
      <c r="Q23" s="21">
        <v>2.3367863905835481E-3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0.62089238215666298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0.38550735022017568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-0.30608676960368381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0.12076082285150021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4.5744417520788658E-2</v>
      </c>
      <c r="L13" s="15">
        <v>9.1488835041577312E-3</v>
      </c>
      <c r="M13" s="15">
        <v>0.62735876557401427</v>
      </c>
      <c r="N13" s="15">
        <v>0.69247283759281153</v>
      </c>
    </row>
    <row r="14" spans="1:14" x14ac:dyDescent="0.25">
      <c r="I14" s="15" t="s">
        <v>63</v>
      </c>
      <c r="J14" s="15">
        <v>5</v>
      </c>
      <c r="K14" s="15">
        <v>7.291588167885707E-2</v>
      </c>
      <c r="L14" s="15">
        <v>1.4583176335771414E-2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0.14611054441053295</v>
      </c>
      <c r="K19" s="15">
        <v>0.63093563030245881</v>
      </c>
      <c r="L19" s="15">
        <v>0.2315775768448681</v>
      </c>
      <c r="M19" s="15">
        <v>0.82604498704848239</v>
      </c>
      <c r="N19" s="15">
        <v>-1.4757611263007169</v>
      </c>
      <c r="O19" s="15">
        <v>1.767982215121783</v>
      </c>
      <c r="P19" s="15">
        <v>-1.4757611263007169</v>
      </c>
      <c r="Q19" s="15">
        <v>1.767982215121783</v>
      </c>
    </row>
    <row r="20" spans="9:17" x14ac:dyDescent="0.25">
      <c r="I20" s="15" t="s">
        <v>54</v>
      </c>
      <c r="J20" s="15">
        <v>4.7787203884392983E-2</v>
      </c>
      <c r="K20" s="15">
        <v>0.36694561669936676</v>
      </c>
      <c r="L20" s="15">
        <v>0.13022966267926386</v>
      </c>
      <c r="M20" s="15">
        <v>0.90146190761346612</v>
      </c>
      <c r="N20" s="15">
        <v>-0.89547653306936492</v>
      </c>
      <c r="O20" s="15">
        <v>0.99105094083815082</v>
      </c>
      <c r="P20" s="15">
        <v>-0.89547653306936492</v>
      </c>
      <c r="Q20" s="15">
        <v>0.99105094083815082</v>
      </c>
    </row>
    <row r="21" spans="9:17" x14ac:dyDescent="0.25">
      <c r="I21" s="15" t="s">
        <v>10</v>
      </c>
      <c r="J21" s="15">
        <v>-5.5084005586594271</v>
      </c>
      <c r="K21" s="15">
        <v>5.1124232747546863</v>
      </c>
      <c r="L21" s="15">
        <v>-1.0774539318487359</v>
      </c>
      <c r="M21" s="15">
        <v>0.33049275992423932</v>
      </c>
      <c r="N21" s="15">
        <v>-18.65030296482815</v>
      </c>
      <c r="O21" s="15">
        <v>7.6335018475092946</v>
      </c>
      <c r="P21" s="15">
        <v>-18.65030296482815</v>
      </c>
      <c r="Q21" s="15">
        <v>7.6335018475092946</v>
      </c>
    </row>
    <row r="22" spans="9:17" x14ac:dyDescent="0.25">
      <c r="I22" s="15" t="s">
        <v>80</v>
      </c>
      <c r="J22" s="15">
        <v>-0.73228739707884682</v>
      </c>
      <c r="K22" s="15">
        <v>0.57054888412644023</v>
      </c>
      <c r="L22" s="15">
        <v>-1.2834787998929176</v>
      </c>
      <c r="M22" s="15">
        <v>0.25558773662473511</v>
      </c>
      <c r="N22" s="15">
        <v>-2.1989299949568428</v>
      </c>
      <c r="O22" s="15">
        <v>0.73435520079914918</v>
      </c>
      <c r="P22" s="15">
        <v>-2.1989299949568428</v>
      </c>
      <c r="Q22" s="15">
        <v>0.73435520079914918</v>
      </c>
    </row>
    <row r="23" spans="9:17" ht="15.75" thickBot="1" x14ac:dyDescent="0.3">
      <c r="I23" s="21" t="s">
        <v>3</v>
      </c>
      <c r="J23" s="21">
        <v>-1.3681515157820848E-3</v>
      </c>
      <c r="K23" s="21">
        <v>1.1432613179441743E-3</v>
      </c>
      <c r="L23" s="21">
        <v>-1.1967093562146498</v>
      </c>
      <c r="M23" s="21">
        <v>0.28506243145298732</v>
      </c>
      <c r="N23" s="21">
        <v>-4.3069982930750133E-3</v>
      </c>
      <c r="O23" s="21">
        <v>1.5706952615108434E-3</v>
      </c>
      <c r="P23" s="21">
        <v>-4.3069982930750133E-3</v>
      </c>
      <c r="Q23" s="21">
        <v>1.5706952615108434E-3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0.66779347874587169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0.44594813025551305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-0.19729336554007659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0.11466818271517515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5.2916338563641765E-2</v>
      </c>
      <c r="L13" s="15">
        <v>1.0583267712728352E-2</v>
      </c>
      <c r="M13" s="15">
        <v>0.80488516438212132</v>
      </c>
      <c r="N13" s="15">
        <v>0.5998964797532913</v>
      </c>
    </row>
    <row r="14" spans="1:14" x14ac:dyDescent="0.25">
      <c r="I14" s="15" t="s">
        <v>63</v>
      </c>
      <c r="J14" s="15">
        <v>5</v>
      </c>
      <c r="K14" s="15">
        <v>6.5743960636003962E-2</v>
      </c>
      <c r="L14" s="15">
        <v>1.3148792127200793E-2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7.9012335478204201E-2</v>
      </c>
      <c r="K19" s="15">
        <v>0.51364870578260247</v>
      </c>
      <c r="L19" s="15">
        <v>0.15382562944029984</v>
      </c>
      <c r="M19" s="15">
        <v>0.88376309078447368</v>
      </c>
      <c r="N19" s="15">
        <v>-1.2413636975046556</v>
      </c>
      <c r="O19" s="15">
        <v>1.399388368461064</v>
      </c>
      <c r="P19" s="15">
        <v>-1.2413636975046556</v>
      </c>
      <c r="Q19" s="15">
        <v>1.399388368461064</v>
      </c>
    </row>
    <row r="20" spans="9:17" x14ac:dyDescent="0.25">
      <c r="I20" s="15" t="s">
        <v>54</v>
      </c>
      <c r="J20" s="15">
        <v>0.12531913406330478</v>
      </c>
      <c r="K20" s="15">
        <v>0.36187196615203893</v>
      </c>
      <c r="L20" s="15">
        <v>0.34630793701950507</v>
      </c>
      <c r="M20" s="15">
        <v>0.74320830093149337</v>
      </c>
      <c r="N20" s="15">
        <v>-0.80490236895312595</v>
      </c>
      <c r="O20" s="15">
        <v>1.0555406370797356</v>
      </c>
      <c r="P20" s="15">
        <v>-0.80490236895312595</v>
      </c>
      <c r="Q20" s="15">
        <v>1.0555406370797356</v>
      </c>
    </row>
    <row r="21" spans="9:17" x14ac:dyDescent="0.25">
      <c r="I21" s="15" t="s">
        <v>11</v>
      </c>
      <c r="J21" s="15">
        <v>-5.3679354712367218</v>
      </c>
      <c r="K21" s="15">
        <v>3.4526937088380656</v>
      </c>
      <c r="L21" s="15">
        <v>-1.554709430928118</v>
      </c>
      <c r="M21" s="15">
        <v>0.18073346729037862</v>
      </c>
      <c r="N21" s="15">
        <v>-14.243367203191633</v>
      </c>
      <c r="O21" s="15">
        <v>3.5074962607181899</v>
      </c>
      <c r="P21" s="15">
        <v>-14.243367203191633</v>
      </c>
      <c r="Q21" s="15">
        <v>3.5074962607181899</v>
      </c>
    </row>
    <row r="22" spans="9:17" x14ac:dyDescent="0.25">
      <c r="I22" s="15" t="s">
        <v>81</v>
      </c>
      <c r="J22" s="15">
        <v>-0.67183257042704669</v>
      </c>
      <c r="K22" s="15">
        <v>0.51984428687394246</v>
      </c>
      <c r="L22" s="15">
        <v>-1.2923727111960355</v>
      </c>
      <c r="M22" s="15">
        <v>0.25272890042372059</v>
      </c>
      <c r="N22" s="15">
        <v>-2.0081348516245168</v>
      </c>
      <c r="O22" s="15">
        <v>0.66446971077042338</v>
      </c>
      <c r="P22" s="15">
        <v>-2.0081348516245168</v>
      </c>
      <c r="Q22" s="15">
        <v>0.66446971077042338</v>
      </c>
    </row>
    <row r="23" spans="9:17" ht="15.75" thickBot="1" x14ac:dyDescent="0.3">
      <c r="I23" s="21" t="s">
        <v>3</v>
      </c>
      <c r="J23" s="21">
        <v>-1.3492366010427572E-3</v>
      </c>
      <c r="K23" s="21">
        <v>1.0901160295500015E-3</v>
      </c>
      <c r="L23" s="21">
        <v>-1.2376999919905043</v>
      </c>
      <c r="M23" s="21">
        <v>0.27077554043586372</v>
      </c>
      <c r="N23" s="21">
        <v>-4.1514690653399718E-3</v>
      </c>
      <c r="O23" s="21">
        <v>1.4529958632544572E-3</v>
      </c>
      <c r="P23" s="21">
        <v>-4.1514690653399718E-3</v>
      </c>
      <c r="Q23" s="21">
        <v>1.4529958632544572E-3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0.81404119640922656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0.66266306945136499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0.19279352501245697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8.9474578635488564E-2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7.8631798089654592E-2</v>
      </c>
      <c r="L13" s="15">
        <v>1.5726359617930917E-2</v>
      </c>
      <c r="M13" s="15">
        <v>1.9643952661027333</v>
      </c>
      <c r="N13" s="15">
        <v>0.2663659337120679</v>
      </c>
    </row>
    <row r="14" spans="1:14" x14ac:dyDescent="0.25">
      <c r="I14" s="15" t="s">
        <v>63</v>
      </c>
      <c r="J14" s="15">
        <v>5</v>
      </c>
      <c r="K14" s="15">
        <v>4.0028501109991135E-2</v>
      </c>
      <c r="L14" s="15">
        <v>8.0057002219982264E-3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-0.8376758672114164</v>
      </c>
      <c r="K19" s="15">
        <v>0.40313373721368662</v>
      </c>
      <c r="L19" s="15">
        <v>-2.0779106035657708</v>
      </c>
      <c r="M19" s="15">
        <v>9.2306691379232572E-2</v>
      </c>
      <c r="N19" s="15">
        <v>-1.8739641294251028</v>
      </c>
      <c r="O19" s="15">
        <v>0.19861239500227001</v>
      </c>
      <c r="P19" s="15">
        <v>-1.8739641294251028</v>
      </c>
      <c r="Q19" s="15">
        <v>0.19861239500227001</v>
      </c>
    </row>
    <row r="20" spans="9:17" x14ac:dyDescent="0.25">
      <c r="I20" s="15" t="s">
        <v>54</v>
      </c>
      <c r="J20" s="15">
        <v>-0.21763501090104972</v>
      </c>
      <c r="K20" s="15">
        <v>0.30363807143040838</v>
      </c>
      <c r="L20" s="15">
        <v>-0.71675798056479911</v>
      </c>
      <c r="M20" s="15">
        <v>0.50559947399300209</v>
      </c>
      <c r="N20" s="15">
        <v>-0.99816152192769947</v>
      </c>
      <c r="O20" s="15">
        <v>0.56289150012559996</v>
      </c>
      <c r="P20" s="15">
        <v>-0.99816152192769947</v>
      </c>
      <c r="Q20" s="15">
        <v>0.56289150012559996</v>
      </c>
    </row>
    <row r="21" spans="9:17" x14ac:dyDescent="0.25">
      <c r="I21" s="15" t="s">
        <v>12</v>
      </c>
      <c r="J21" s="15">
        <v>13.16884625961554</v>
      </c>
      <c r="K21" s="15">
        <v>5.0028407090264686</v>
      </c>
      <c r="L21" s="15">
        <v>2.6322737471643669</v>
      </c>
      <c r="M21" s="15">
        <v>4.6405950629939588E-2</v>
      </c>
      <c r="N21" s="15">
        <v>0.30863480641019692</v>
      </c>
      <c r="O21" s="15">
        <v>26.029057712820883</v>
      </c>
      <c r="P21" s="15">
        <v>0.30863480641019692</v>
      </c>
      <c r="Q21" s="15">
        <v>26.029057712820883</v>
      </c>
    </row>
    <row r="22" spans="9:17" x14ac:dyDescent="0.25">
      <c r="I22" s="15" t="s">
        <v>82</v>
      </c>
      <c r="J22" s="15">
        <v>-1.0105373752052766</v>
      </c>
      <c r="K22" s="15">
        <v>0.36234063371619751</v>
      </c>
      <c r="L22" s="15">
        <v>-2.7889154049357261</v>
      </c>
      <c r="M22" s="15">
        <v>3.8494179471076015E-2</v>
      </c>
      <c r="N22" s="15">
        <v>-1.9419636265490854</v>
      </c>
      <c r="O22" s="15">
        <v>-7.9111123861468013E-2</v>
      </c>
      <c r="P22" s="15">
        <v>-1.9419636265490854</v>
      </c>
      <c r="Q22" s="15">
        <v>-7.9111123861468013E-2</v>
      </c>
    </row>
    <row r="23" spans="9:17" ht="15.75" thickBot="1" x14ac:dyDescent="0.3">
      <c r="I23" s="21" t="s">
        <v>3</v>
      </c>
      <c r="J23" s="21">
        <v>-5.6739774825604347E-4</v>
      </c>
      <c r="K23" s="21">
        <v>7.4988004054636994E-4</v>
      </c>
      <c r="L23" s="21">
        <v>-0.75665135431879471</v>
      </c>
      <c r="M23" s="21">
        <v>0.48336658907437691</v>
      </c>
      <c r="N23" s="21">
        <v>-2.4950257593907657E-3</v>
      </c>
      <c r="O23" s="21">
        <v>1.3602302628786785E-3</v>
      </c>
      <c r="P23" s="21">
        <v>-2.4950257593907657E-3</v>
      </c>
      <c r="Q23" s="21">
        <v>1.3602302628786785E-3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0.81107603985664134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0.65784434242953205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0.18411981637315761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9.0111367429601519E-2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7.806000649948247E-2</v>
      </c>
      <c r="L13" s="15">
        <v>1.5612001299896493E-2</v>
      </c>
      <c r="M13" s="15">
        <v>1.9226463975509367</v>
      </c>
      <c r="N13" s="15">
        <v>0.27311679952283807</v>
      </c>
    </row>
    <row r="14" spans="1:14" x14ac:dyDescent="0.25">
      <c r="I14" s="15" t="s">
        <v>63</v>
      </c>
      <c r="J14" s="15">
        <v>5</v>
      </c>
      <c r="K14" s="15">
        <v>4.060029270016325E-2</v>
      </c>
      <c r="L14" s="15">
        <v>8.12005854003265E-3</v>
      </c>
    </row>
    <row r="15" spans="1:14" ht="15.75" thickBot="1" x14ac:dyDescent="0.3">
      <c r="I15" s="21" t="s">
        <v>64</v>
      </c>
      <c r="J15" s="21">
        <v>10</v>
      </c>
      <c r="K15" s="21">
        <v>0.11866029919964571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-0.88968946213944455</v>
      </c>
      <c r="K19" s="15">
        <v>0.43120186799531196</v>
      </c>
      <c r="L19" s="15">
        <v>-2.0632783115612972</v>
      </c>
      <c r="M19" s="15">
        <v>9.4040159775391929E-2</v>
      </c>
      <c r="N19" s="15">
        <v>-1.9981291515006414</v>
      </c>
      <c r="O19" s="15">
        <v>0.21875022722175241</v>
      </c>
      <c r="P19" s="15">
        <v>-1.9981291515006414</v>
      </c>
      <c r="Q19" s="15">
        <v>0.21875022722175241</v>
      </c>
    </row>
    <row r="20" spans="9:17" x14ac:dyDescent="0.25">
      <c r="I20" s="15" t="s">
        <v>54</v>
      </c>
      <c r="J20" s="15">
        <v>0.24856021521647195</v>
      </c>
      <c r="K20" s="15">
        <v>0.26183246653922204</v>
      </c>
      <c r="L20" s="15">
        <v>0.9493101390435783</v>
      </c>
      <c r="M20" s="15">
        <v>0.38605596159332956</v>
      </c>
      <c r="N20" s="15">
        <v>-0.42450156724910548</v>
      </c>
      <c r="O20" s="15">
        <v>0.92162199768204944</v>
      </c>
      <c r="P20" s="15">
        <v>-0.42450156724910548</v>
      </c>
      <c r="Q20" s="15">
        <v>0.92162199768204944</v>
      </c>
    </row>
    <row r="21" spans="9:17" x14ac:dyDescent="0.25">
      <c r="I21" s="15" t="s">
        <v>13</v>
      </c>
      <c r="J21" s="15">
        <v>18.147372750647765</v>
      </c>
      <c r="K21" s="15">
        <v>7.9789956713299235</v>
      </c>
      <c r="L21" s="15">
        <v>2.2743931063723708</v>
      </c>
      <c r="M21" s="15">
        <v>7.2041622833971433E-2</v>
      </c>
      <c r="N21" s="15">
        <v>-2.3632885886937203</v>
      </c>
      <c r="O21" s="15">
        <v>38.658034089989251</v>
      </c>
      <c r="P21" s="15">
        <v>-2.3632885886937203</v>
      </c>
      <c r="Q21" s="15">
        <v>38.658034089989251</v>
      </c>
    </row>
    <row r="22" spans="9:17" x14ac:dyDescent="0.25">
      <c r="I22" s="15" t="s">
        <v>83</v>
      </c>
      <c r="J22" s="15">
        <v>-1.7730599562521587</v>
      </c>
      <c r="K22" s="15">
        <v>0.76174948132991005</v>
      </c>
      <c r="L22" s="15">
        <v>-2.3276155740291933</v>
      </c>
      <c r="M22" s="15">
        <v>6.741109151599263E-2</v>
      </c>
      <c r="N22" s="15">
        <v>-3.7311993362642095</v>
      </c>
      <c r="O22" s="15">
        <v>0.18507942375989228</v>
      </c>
      <c r="P22" s="15">
        <v>-3.7311993362642095</v>
      </c>
      <c r="Q22" s="15">
        <v>0.18507942375989228</v>
      </c>
    </row>
    <row r="23" spans="9:17" ht="15.75" thickBot="1" x14ac:dyDescent="0.3">
      <c r="I23" s="21" t="s">
        <v>3</v>
      </c>
      <c r="J23" s="21">
        <v>-2.4802867877728543E-4</v>
      </c>
      <c r="K23" s="21">
        <v>8.6181221287060872E-4</v>
      </c>
      <c r="L23" s="21">
        <v>-0.28779898343645788</v>
      </c>
      <c r="M23" s="21">
        <v>0.78504820843364231</v>
      </c>
      <c r="N23" s="21">
        <v>-2.4633874989120098E-3</v>
      </c>
      <c r="O23" s="21">
        <v>1.9673301413574385E-3</v>
      </c>
      <c r="P23" s="21">
        <v>-2.4633874989120098E-3</v>
      </c>
      <c r="Q23" s="21">
        <v>1.9673301413574385E-3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0.59106641143772465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0.34935950272986954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-0.37115289508623484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0.12426197815702111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4.1455103122165771E-2</v>
      </c>
      <c r="L13" s="15">
        <v>8.2910206244331541E-3</v>
      </c>
      <c r="M13" s="15">
        <v>0.53694706092790878</v>
      </c>
      <c r="N13" s="15">
        <v>0.74486017536024085</v>
      </c>
    </row>
    <row r="14" spans="1:14" x14ac:dyDescent="0.25">
      <c r="I14" s="15" t="s">
        <v>63</v>
      </c>
      <c r="J14" s="15">
        <v>5</v>
      </c>
      <c r="K14" s="15">
        <v>7.7205196077479957E-2</v>
      </c>
      <c r="L14" s="15">
        <v>1.5441039215495991E-2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-6.3608919200456498E-2</v>
      </c>
      <c r="K19" s="15">
        <v>0.59858455301709756</v>
      </c>
      <c r="L19" s="15">
        <v>-0.10626555409731667</v>
      </c>
      <c r="M19" s="15">
        <v>0.91950348669272264</v>
      </c>
      <c r="N19" s="15">
        <v>-1.6023194982786904</v>
      </c>
      <c r="O19" s="15">
        <v>1.4751016598777773</v>
      </c>
      <c r="P19" s="15">
        <v>-1.6023194982786904</v>
      </c>
      <c r="Q19" s="15">
        <v>1.4751016598777773</v>
      </c>
    </row>
    <row r="20" spans="9:17" x14ac:dyDescent="0.25">
      <c r="I20" s="15" t="s">
        <v>54</v>
      </c>
      <c r="J20" s="15">
        <v>0.26914413702756756</v>
      </c>
      <c r="K20" s="15">
        <v>0.3879050412633166</v>
      </c>
      <c r="L20" s="15">
        <v>0.69384026603786231</v>
      </c>
      <c r="M20" s="15">
        <v>0.51869006302411291</v>
      </c>
      <c r="N20" s="15">
        <v>-0.72799751599566931</v>
      </c>
      <c r="O20" s="15">
        <v>1.2662857900508044</v>
      </c>
      <c r="P20" s="15">
        <v>-0.72799751599566931</v>
      </c>
      <c r="Q20" s="15">
        <v>1.2662857900508044</v>
      </c>
    </row>
    <row r="21" spans="9:17" x14ac:dyDescent="0.25">
      <c r="I21" s="15" t="s">
        <v>14</v>
      </c>
      <c r="J21" s="15">
        <v>-3.767965887493014</v>
      </c>
      <c r="K21" s="15">
        <v>4.3280908701518728</v>
      </c>
      <c r="L21" s="15">
        <v>-0.87058382102795273</v>
      </c>
      <c r="M21" s="15">
        <v>0.42380015295902995</v>
      </c>
      <c r="N21" s="15">
        <v>-14.893677661288791</v>
      </c>
      <c r="O21" s="15">
        <v>7.3577458863027623</v>
      </c>
      <c r="P21" s="15">
        <v>-14.893677661288791</v>
      </c>
      <c r="Q21" s="15">
        <v>7.3577458863027623</v>
      </c>
    </row>
    <row r="22" spans="9:17" x14ac:dyDescent="0.25">
      <c r="I22" s="15" t="s">
        <v>84</v>
      </c>
      <c r="J22" s="15">
        <v>0.12287855151872409</v>
      </c>
      <c r="K22" s="15">
        <v>0.30518158460174605</v>
      </c>
      <c r="L22" s="15">
        <v>0.40264078082914923</v>
      </c>
      <c r="M22" s="15">
        <v>0.70385010134730597</v>
      </c>
      <c r="N22" s="15">
        <v>-0.66161568642923163</v>
      </c>
      <c r="O22" s="15">
        <v>0.90737278946667976</v>
      </c>
      <c r="P22" s="15">
        <v>-0.66161568642923163</v>
      </c>
      <c r="Q22" s="15">
        <v>0.90737278946667976</v>
      </c>
    </row>
    <row r="23" spans="9:17" ht="15.75" thickBot="1" x14ac:dyDescent="0.3">
      <c r="I23" s="21" t="s">
        <v>3</v>
      </c>
      <c r="J23" s="21">
        <v>-8.8609611526726053E-4</v>
      </c>
      <c r="K23" s="21">
        <v>1.1716995585829041E-3</v>
      </c>
      <c r="L23" s="21">
        <v>-0.75624856967509424</v>
      </c>
      <c r="M23" s="21">
        <v>0.48358752320576204</v>
      </c>
      <c r="N23" s="21">
        <v>-3.898045717383562E-3</v>
      </c>
      <c r="O23" s="21">
        <v>2.1258534868490411E-3</v>
      </c>
      <c r="P23" s="21">
        <v>-3.898045717383562E-3</v>
      </c>
      <c r="Q23" s="21">
        <v>2.1258534868490411E-3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0.44295003651701254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0.19620473485042272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-0.64683147726923917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0.13811487005960468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2.3281712541738317E-2</v>
      </c>
      <c r="L13" s="15">
        <v>4.6563425083476634E-3</v>
      </c>
      <c r="M13" s="15">
        <v>0.24409789825511252</v>
      </c>
      <c r="N13" s="15">
        <v>0.92294968119977217</v>
      </c>
    </row>
    <row r="14" spans="1:14" x14ac:dyDescent="0.25">
      <c r="I14" s="15" t="s">
        <v>63</v>
      </c>
      <c r="J14" s="15">
        <v>5</v>
      </c>
      <c r="K14" s="15">
        <v>9.537858665790741E-2</v>
      </c>
      <c r="L14" s="15">
        <v>1.9075717331581483E-2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7.420631751718039E-2</v>
      </c>
      <c r="K19" s="15">
        <v>0.7180701068792642</v>
      </c>
      <c r="L19" s="15">
        <v>0.10334132671206905</v>
      </c>
      <c r="M19" s="15">
        <v>0.92170903125999049</v>
      </c>
      <c r="N19" s="15">
        <v>-1.7716516559400837</v>
      </c>
      <c r="O19" s="15">
        <v>1.9200642909744443</v>
      </c>
      <c r="P19" s="15">
        <v>-1.7716516559400837</v>
      </c>
      <c r="Q19" s="15">
        <v>1.9200642909744443</v>
      </c>
    </row>
    <row r="20" spans="9:17" x14ac:dyDescent="0.25">
      <c r="I20" s="15" t="s">
        <v>54</v>
      </c>
      <c r="J20" s="15">
        <v>0.28372142666741063</v>
      </c>
      <c r="K20" s="15">
        <v>0.45275634396805942</v>
      </c>
      <c r="L20" s="15">
        <v>0.62665367464718791</v>
      </c>
      <c r="M20" s="15">
        <v>0.55838211254404113</v>
      </c>
      <c r="N20" s="15">
        <v>-0.88012580710599031</v>
      </c>
      <c r="O20" s="15">
        <v>1.4475686604408116</v>
      </c>
      <c r="P20" s="15">
        <v>-0.88012580710599031</v>
      </c>
      <c r="Q20" s="15">
        <v>1.4475686604408116</v>
      </c>
    </row>
    <row r="21" spans="9:17" x14ac:dyDescent="0.25">
      <c r="I21" s="15" t="s">
        <v>15</v>
      </c>
      <c r="J21" s="15">
        <v>-0.91369260769308613</v>
      </c>
      <c r="K21" s="15">
        <v>1.76890282636862</v>
      </c>
      <c r="L21" s="15">
        <v>-0.51653069579226429</v>
      </c>
      <c r="M21" s="15">
        <v>0.62750897825033469</v>
      </c>
      <c r="N21" s="15">
        <v>-5.4608020821619991</v>
      </c>
      <c r="O21" s="15">
        <v>3.6334168667758266</v>
      </c>
      <c r="P21" s="15">
        <v>-5.4608020821619991</v>
      </c>
      <c r="Q21" s="15">
        <v>3.6334168667758266</v>
      </c>
    </row>
    <row r="22" spans="9:17" x14ac:dyDescent="0.25">
      <c r="I22" s="15" t="s">
        <v>85</v>
      </c>
      <c r="J22" s="15">
        <v>-3.6525214645399075E-2</v>
      </c>
      <c r="K22" s="15">
        <v>0.14806498767815007</v>
      </c>
      <c r="L22" s="15">
        <v>-0.24668367058385332</v>
      </c>
      <c r="M22" s="15">
        <v>0.81496101402512577</v>
      </c>
      <c r="N22" s="15">
        <v>-0.41713838246456647</v>
      </c>
      <c r="O22" s="15">
        <v>0.34408795317376828</v>
      </c>
      <c r="P22" s="15">
        <v>-0.41713838246456647</v>
      </c>
      <c r="Q22" s="15">
        <v>0.34408795317376828</v>
      </c>
    </row>
    <row r="23" spans="9:17" ht="15.75" thickBot="1" x14ac:dyDescent="0.3">
      <c r="I23" s="21" t="s">
        <v>3</v>
      </c>
      <c r="J23" s="21">
        <v>-6.2949457318512943E-4</v>
      </c>
      <c r="K23" s="21">
        <v>1.1424679813562865E-3</v>
      </c>
      <c r="L23" s="21">
        <v>-0.55099537445051361</v>
      </c>
      <c r="M23" s="21">
        <v>0.60535135545834828</v>
      </c>
      <c r="N23" s="21">
        <v>-3.5663020138556878E-3</v>
      </c>
      <c r="O23" s="21">
        <v>2.3073128674854287E-3</v>
      </c>
      <c r="P23" s="21">
        <v>-3.5663020138556878E-3</v>
      </c>
      <c r="Q23" s="21">
        <v>2.3073128674854287E-3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0.4840191140795212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0.23427450279432455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-0.57830589497021578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0.13480446328161613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2.7799082596422789E-2</v>
      </c>
      <c r="L13" s="15">
        <v>5.5598165192845576E-3</v>
      </c>
      <c r="M13" s="15">
        <v>0.30595102768453053</v>
      </c>
      <c r="N13" s="15">
        <v>0.88695567712579249</v>
      </c>
    </row>
    <row r="14" spans="1:14" x14ac:dyDescent="0.25">
      <c r="I14" s="15" t="s">
        <v>63</v>
      </c>
      <c r="J14" s="15">
        <v>5</v>
      </c>
      <c r="K14" s="15">
        <v>9.0861216603222938E-2</v>
      </c>
      <c r="L14" s="15">
        <v>1.8172243320644588E-2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-1.3277424094328114E-2</v>
      </c>
      <c r="K19" s="15">
        <v>0.68792872995665189</v>
      </c>
      <c r="L19" s="15">
        <v>-1.9300580883087639E-2</v>
      </c>
      <c r="M19" s="15">
        <v>0.98534783236526591</v>
      </c>
      <c r="N19" s="15">
        <v>-1.7816545215332571</v>
      </c>
      <c r="O19" s="15">
        <v>1.7550996733446009</v>
      </c>
      <c r="P19" s="15">
        <v>-1.7816545215332571</v>
      </c>
      <c r="Q19" s="15">
        <v>1.7550996733446009</v>
      </c>
    </row>
    <row r="20" spans="9:17" x14ac:dyDescent="0.25">
      <c r="I20" s="15" t="s">
        <v>54</v>
      </c>
      <c r="J20" s="15">
        <v>0.2737790360946083</v>
      </c>
      <c r="K20" s="15">
        <v>0.42546010048857713</v>
      </c>
      <c r="L20" s="15">
        <v>0.64348933256071283</v>
      </c>
      <c r="M20" s="15">
        <v>0.54825418447835972</v>
      </c>
      <c r="N20" s="15">
        <v>-0.81990097000932927</v>
      </c>
      <c r="O20" s="15">
        <v>1.3674590421985457</v>
      </c>
      <c r="P20" s="15">
        <v>-0.81990097000932927</v>
      </c>
      <c r="Q20" s="15">
        <v>1.3674590421985457</v>
      </c>
    </row>
    <row r="21" spans="9:17" x14ac:dyDescent="0.25">
      <c r="I21" s="15" t="s">
        <v>16</v>
      </c>
      <c r="J21" s="15">
        <v>-1.5728369747482773</v>
      </c>
      <c r="K21" s="15">
        <v>3.3497347037137448</v>
      </c>
      <c r="L21" s="15">
        <v>-0.46954075885607383</v>
      </c>
      <c r="M21" s="15">
        <v>0.65844678052073324</v>
      </c>
      <c r="N21" s="15">
        <v>-10.183604158315424</v>
      </c>
      <c r="O21" s="15">
        <v>7.0379302088188691</v>
      </c>
      <c r="P21" s="15">
        <v>-10.183604158315424</v>
      </c>
      <c r="Q21" s="15">
        <v>7.0379302088188691</v>
      </c>
    </row>
    <row r="22" spans="9:17" x14ac:dyDescent="0.25">
      <c r="I22" s="15" t="s">
        <v>86</v>
      </c>
      <c r="J22" s="15">
        <v>6.8125951174660528E-3</v>
      </c>
      <c r="K22" s="15">
        <v>0.22522920406557662</v>
      </c>
      <c r="L22" s="15">
        <v>3.0247387969645941E-2</v>
      </c>
      <c r="M22" s="15">
        <v>0.97703997944551502</v>
      </c>
      <c r="N22" s="15">
        <v>-0.57215750570833013</v>
      </c>
      <c r="O22" s="15">
        <v>0.58578269594326215</v>
      </c>
      <c r="P22" s="15">
        <v>-0.57215750570833013</v>
      </c>
      <c r="Q22" s="15">
        <v>0.58578269594326215</v>
      </c>
    </row>
    <row r="23" spans="9:17" ht="15.75" thickBot="1" x14ac:dyDescent="0.3">
      <c r="I23" s="21" t="s">
        <v>3</v>
      </c>
      <c r="J23" s="21">
        <v>-6.9576485415857035E-4</v>
      </c>
      <c r="K23" s="21">
        <v>1.1236461914829049E-3</v>
      </c>
      <c r="L23" s="21">
        <v>-0.61920278770344206</v>
      </c>
      <c r="M23" s="21">
        <v>0.5629026391874461</v>
      </c>
      <c r="N23" s="21">
        <v>-3.5841893436664505E-3</v>
      </c>
      <c r="O23" s="21">
        <v>2.1926596353493096E-3</v>
      </c>
      <c r="P23" s="21">
        <v>-3.5841893436664505E-3</v>
      </c>
      <c r="Q23" s="21">
        <v>2.1926596353493096E-3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0.56991731911148935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0.32480575062322714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-0.41534964887819115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0.12658495301490463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3.8541547550717647E-2</v>
      </c>
      <c r="L13" s="15">
        <v>7.7083095101435298E-3</v>
      </c>
      <c r="M13" s="15">
        <v>0.48105526805513205</v>
      </c>
      <c r="N13" s="15">
        <v>0.77868367511586545</v>
      </c>
    </row>
    <row r="14" spans="1:14" x14ac:dyDescent="0.25">
      <c r="I14" s="15" t="s">
        <v>63</v>
      </c>
      <c r="J14" s="15">
        <v>5</v>
      </c>
      <c r="K14" s="15">
        <v>8.011875164892808E-2</v>
      </c>
      <c r="L14" s="15">
        <v>1.6023750329785615E-2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2.3073501426961369E-2</v>
      </c>
      <c r="K19" s="15">
        <v>0.56505780704281949</v>
      </c>
      <c r="L19" s="15">
        <v>4.0833877772107098E-2</v>
      </c>
      <c r="M19" s="15">
        <v>0.96900870797396821</v>
      </c>
      <c r="N19" s="15">
        <v>-1.4294538334418003</v>
      </c>
      <c r="O19" s="15">
        <v>1.4756008362957231</v>
      </c>
      <c r="P19" s="15">
        <v>-1.4294538334418003</v>
      </c>
      <c r="Q19" s="15">
        <v>1.4756008362957231</v>
      </c>
    </row>
    <row r="20" spans="9:17" x14ac:dyDescent="0.25">
      <c r="I20" s="15" t="s">
        <v>54</v>
      </c>
      <c r="J20" s="15">
        <v>0.2682610707074593</v>
      </c>
      <c r="K20" s="15">
        <v>0.37512850421906957</v>
      </c>
      <c r="L20" s="15">
        <v>0.7151178001413584</v>
      </c>
      <c r="M20" s="15">
        <v>0.50652866247734762</v>
      </c>
      <c r="N20" s="15">
        <v>-0.69603744826750169</v>
      </c>
      <c r="O20" s="15">
        <v>1.2325595896824204</v>
      </c>
      <c r="P20" s="15">
        <v>-0.69603744826750169</v>
      </c>
      <c r="Q20" s="15">
        <v>1.2325595896824204</v>
      </c>
    </row>
    <row r="21" spans="9:17" x14ac:dyDescent="0.25">
      <c r="I21" s="15" t="s">
        <v>17</v>
      </c>
      <c r="J21" s="15">
        <v>-3.7412220885208289</v>
      </c>
      <c r="K21" s="15">
        <v>3.9685583487591218</v>
      </c>
      <c r="L21" s="15">
        <v>-0.94271565635178933</v>
      </c>
      <c r="M21" s="15">
        <v>0.38911099887400485</v>
      </c>
      <c r="N21" s="15">
        <v>-13.942726093503875</v>
      </c>
      <c r="O21" s="15">
        <v>6.4602819164622183</v>
      </c>
      <c r="P21" s="15">
        <v>-13.942726093503875</v>
      </c>
      <c r="Q21" s="15">
        <v>6.4602819164622183</v>
      </c>
    </row>
    <row r="22" spans="9:17" x14ac:dyDescent="0.25">
      <c r="I22" s="15" t="s">
        <v>87</v>
      </c>
      <c r="J22" s="15">
        <v>-1.4741002238885801E-2</v>
      </c>
      <c r="K22" s="15">
        <v>0.31664256189492479</v>
      </c>
      <c r="L22" s="15">
        <v>-4.6554077097751251E-2</v>
      </c>
      <c r="M22" s="15">
        <v>0.96467083411661081</v>
      </c>
      <c r="N22" s="15">
        <v>-0.82869662023532698</v>
      </c>
      <c r="O22" s="15">
        <v>0.79921461575755548</v>
      </c>
      <c r="P22" s="15">
        <v>-0.82869662023532698</v>
      </c>
      <c r="Q22" s="15">
        <v>0.79921461575755548</v>
      </c>
    </row>
    <row r="23" spans="9:17" ht="15.75" thickBot="1" x14ac:dyDescent="0.3">
      <c r="I23" s="21" t="s">
        <v>3</v>
      </c>
      <c r="J23" s="21">
        <v>-7.6022661058523029E-4</v>
      </c>
      <c r="K23" s="21">
        <v>1.0649746046720201E-3</v>
      </c>
      <c r="L23" s="21">
        <v>-0.71384482526637993</v>
      </c>
      <c r="M23" s="21">
        <v>0.50725064146792098</v>
      </c>
      <c r="N23" s="21">
        <v>-3.4978309847690904E-3</v>
      </c>
      <c r="O23" s="21">
        <v>1.9773777635986303E-3</v>
      </c>
      <c r="P23" s="21">
        <v>-3.4978309847690904E-3</v>
      </c>
      <c r="Q23" s="21">
        <v>1.9773777635986303E-3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0.51224507884629389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0.26239502080224586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-0.52768896255595743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0.13230602973617941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3.113587167689176E-2</v>
      </c>
      <c r="L13" s="15">
        <v>6.2271743353783521E-3</v>
      </c>
      <c r="M13" s="15">
        <v>0.35573922113112111</v>
      </c>
      <c r="N13" s="15">
        <v>0.85647716608258773</v>
      </c>
    </row>
    <row r="14" spans="1:14" x14ac:dyDescent="0.25">
      <c r="I14" s="15" t="s">
        <v>63</v>
      </c>
      <c r="J14" s="15">
        <v>5</v>
      </c>
      <c r="K14" s="15">
        <v>8.7524427522753967E-2</v>
      </c>
      <c r="L14" s="15">
        <v>1.7504885504550795E-2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-5.3817871786146221E-2</v>
      </c>
      <c r="K19" s="15">
        <v>0.49201391840312342</v>
      </c>
      <c r="L19" s="15">
        <v>-0.10938282388599309</v>
      </c>
      <c r="M19" s="15">
        <v>0.91715324744462312</v>
      </c>
      <c r="N19" s="15">
        <v>-1.3185799133134632</v>
      </c>
      <c r="O19" s="15">
        <v>1.2109441697411709</v>
      </c>
      <c r="P19" s="15">
        <v>-1.3185799133134632</v>
      </c>
      <c r="Q19" s="15">
        <v>1.2109441697411709</v>
      </c>
    </row>
    <row r="20" spans="9:17" x14ac:dyDescent="0.25">
      <c r="I20" s="15" t="s">
        <v>54</v>
      </c>
      <c r="J20" s="15">
        <v>0.10058387825870095</v>
      </c>
      <c r="K20" s="15">
        <v>0.3841227073977182</v>
      </c>
      <c r="L20" s="15">
        <v>0.26185350754220588</v>
      </c>
      <c r="M20" s="15">
        <v>0.80387944162736358</v>
      </c>
      <c r="N20" s="15">
        <v>-0.88683497603331662</v>
      </c>
      <c r="O20" s="15">
        <v>1.0880027325507184</v>
      </c>
      <c r="P20" s="15">
        <v>-0.88683497603331662</v>
      </c>
      <c r="Q20" s="15">
        <v>1.0880027325507184</v>
      </c>
    </row>
    <row r="21" spans="9:17" x14ac:dyDescent="0.25">
      <c r="I21" s="15" t="s">
        <v>19</v>
      </c>
      <c r="J21" s="15">
        <v>0.36387224520712397</v>
      </c>
      <c r="K21" s="15">
        <v>0.40407323589223587</v>
      </c>
      <c r="L21" s="15">
        <v>0.90051063244427976</v>
      </c>
      <c r="M21" s="15">
        <v>0.40912416971427634</v>
      </c>
      <c r="N21" s="15">
        <v>-0.67483107524424546</v>
      </c>
      <c r="O21" s="15">
        <v>1.4025755656584933</v>
      </c>
      <c r="P21" s="15">
        <v>-0.67483107524424546</v>
      </c>
      <c r="Q21" s="15">
        <v>1.4025755656584933</v>
      </c>
    </row>
    <row r="22" spans="9:17" x14ac:dyDescent="0.25">
      <c r="I22" s="15" t="s">
        <v>30</v>
      </c>
      <c r="J22" s="15">
        <v>-1.0322716523279079E-2</v>
      </c>
      <c r="K22" s="15">
        <v>3.1287400764465671E-2</v>
      </c>
      <c r="L22" s="15">
        <v>-0.32993205798683645</v>
      </c>
      <c r="M22" s="15">
        <v>0.75482569740101524</v>
      </c>
      <c r="N22" s="15">
        <v>-9.0749540612688293E-2</v>
      </c>
      <c r="O22" s="15">
        <v>7.0104107566130128E-2</v>
      </c>
      <c r="P22" s="15">
        <v>-9.0749540612688293E-2</v>
      </c>
      <c r="Q22" s="15">
        <v>7.0104107566130128E-2</v>
      </c>
    </row>
    <row r="23" spans="9:17" ht="15.75" thickBot="1" x14ac:dyDescent="0.3">
      <c r="I23" s="21" t="s">
        <v>3</v>
      </c>
      <c r="J23" s="21">
        <v>3.5103841182468962E-5</v>
      </c>
      <c r="K23" s="21">
        <v>1.2366647834343057E-3</v>
      </c>
      <c r="L23" s="21">
        <v>2.8385898630494764E-2</v>
      </c>
      <c r="M23" s="21">
        <v>0.97845251827107227</v>
      </c>
      <c r="N23" s="21">
        <v>-3.1438441878848746E-3</v>
      </c>
      <c r="O23" s="21">
        <v>3.2140518702498126E-3</v>
      </c>
      <c r="P23" s="21">
        <v>-3.1438441878848746E-3</v>
      </c>
      <c r="Q23" s="21">
        <v>3.2140518702498126E-3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0.38454714172486709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0.147876504208765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-0.73382229242422292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0.14220634934181806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1.7547070234009726E-2</v>
      </c>
      <c r="L13" s="15">
        <v>3.5094140468019453E-3</v>
      </c>
      <c r="M13" s="15">
        <v>0.17353881795203291</v>
      </c>
      <c r="N13" s="15">
        <v>0.95902407702067305</v>
      </c>
    </row>
    <row r="14" spans="1:14" x14ac:dyDescent="0.25">
      <c r="I14" s="15" t="s">
        <v>63</v>
      </c>
      <c r="J14" s="15">
        <v>5</v>
      </c>
      <c r="K14" s="15">
        <v>0.101113228965636</v>
      </c>
      <c r="L14" s="15">
        <v>2.02226457931272E-2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-0.17405590088296374</v>
      </c>
      <c r="K19" s="15">
        <v>0.54337470641789765</v>
      </c>
      <c r="L19" s="15">
        <v>-0.32032389220027691</v>
      </c>
      <c r="M19" s="15">
        <v>0.76167655191191186</v>
      </c>
      <c r="N19" s="15">
        <v>-1.5708450511450267</v>
      </c>
      <c r="O19" s="15">
        <v>1.2227332493790994</v>
      </c>
      <c r="P19" s="15">
        <v>-1.5708450511450267</v>
      </c>
      <c r="Q19" s="15">
        <v>1.2227332493790994</v>
      </c>
    </row>
    <row r="20" spans="9:17" x14ac:dyDescent="0.25">
      <c r="I20" s="15" t="s">
        <v>54</v>
      </c>
      <c r="J20" s="15">
        <v>0.10617589562141734</v>
      </c>
      <c r="K20" s="15">
        <v>0.42911011415250111</v>
      </c>
      <c r="L20" s="15">
        <v>0.2474327500555803</v>
      </c>
      <c r="M20" s="15">
        <v>0.8144126322434273</v>
      </c>
      <c r="N20" s="15">
        <v>-0.99688676930682751</v>
      </c>
      <c r="O20" s="15">
        <v>1.2092385605496623</v>
      </c>
      <c r="P20" s="15">
        <v>-0.99688676930682751</v>
      </c>
      <c r="Q20" s="15">
        <v>1.2092385605496623</v>
      </c>
    </row>
    <row r="21" spans="9:17" x14ac:dyDescent="0.25">
      <c r="I21" s="15" t="s">
        <v>20</v>
      </c>
      <c r="J21" s="15">
        <v>-1.5638341682362533</v>
      </c>
      <c r="K21" s="15">
        <v>8.4198337462561277</v>
      </c>
      <c r="L21" s="15">
        <v>-0.18573219084422077</v>
      </c>
      <c r="M21" s="15">
        <v>0.85995451806657064</v>
      </c>
      <c r="N21" s="15">
        <v>-23.207705855439919</v>
      </c>
      <c r="O21" s="15">
        <v>20.080037518967416</v>
      </c>
      <c r="P21" s="15">
        <v>-23.207705855439919</v>
      </c>
      <c r="Q21" s="15">
        <v>20.080037518967416</v>
      </c>
    </row>
    <row r="22" spans="9:17" x14ac:dyDescent="0.25">
      <c r="I22" s="15" t="s">
        <v>88</v>
      </c>
      <c r="J22" s="15">
        <v>0.17406801242828146</v>
      </c>
      <c r="K22" s="15">
        <v>0.62432940147356863</v>
      </c>
      <c r="L22" s="15">
        <v>0.27880796902634858</v>
      </c>
      <c r="M22" s="15">
        <v>0.79155584082089381</v>
      </c>
      <c r="N22" s="15">
        <v>-1.4308218064533667</v>
      </c>
      <c r="O22" s="15">
        <v>1.7789578313099295</v>
      </c>
      <c r="P22" s="15">
        <v>-1.4308218064533667</v>
      </c>
      <c r="Q22" s="15">
        <v>1.7789578313099295</v>
      </c>
    </row>
    <row r="23" spans="9:17" ht="15.75" thickBot="1" x14ac:dyDescent="0.3">
      <c r="I23" s="21" t="s">
        <v>3</v>
      </c>
      <c r="J23" s="21">
        <v>-6.3720258098288714E-4</v>
      </c>
      <c r="K23" s="21">
        <v>1.2487644130225435E-3</v>
      </c>
      <c r="L23" s="21">
        <v>-0.5102664476485077</v>
      </c>
      <c r="M23" s="21">
        <v>0.63158558783850172</v>
      </c>
      <c r="N23" s="21">
        <v>-3.8472536980876824E-3</v>
      </c>
      <c r="O23" s="21">
        <v>2.5728485361219081E-3</v>
      </c>
      <c r="P23" s="21">
        <v>-3.8472536980876824E-3</v>
      </c>
      <c r="Q23" s="21">
        <v>2.5728485361219081E-3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0.67480363813169464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0.45535995003577107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-0.18035208993561208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0.11369006226127717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5.4033147914780325E-2</v>
      </c>
      <c r="L13" s="15">
        <v>1.0806629582956065E-2</v>
      </c>
      <c r="M13" s="15">
        <v>0.83607503720242093</v>
      </c>
      <c r="N13" s="15">
        <v>0.58510833031524823</v>
      </c>
    </row>
    <row r="14" spans="1:14" x14ac:dyDescent="0.25">
      <c r="I14" s="15" t="s">
        <v>63</v>
      </c>
      <c r="J14" s="15">
        <v>5</v>
      </c>
      <c r="K14" s="15">
        <v>6.4627151284865403E-2</v>
      </c>
      <c r="L14" s="15">
        <v>1.292543025697308E-2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9.8962304621651037E-3</v>
      </c>
      <c r="K19" s="15">
        <v>0.4432456039521353</v>
      </c>
      <c r="L19" s="15">
        <v>2.2326742496545475E-2</v>
      </c>
      <c r="M19" s="15">
        <v>0.98305092810534234</v>
      </c>
      <c r="N19" s="15">
        <v>-1.129502867782842</v>
      </c>
      <c r="O19" s="15">
        <v>1.1492953287071721</v>
      </c>
      <c r="P19" s="15">
        <v>-1.129502867782842</v>
      </c>
      <c r="Q19" s="15">
        <v>1.1492953287071721</v>
      </c>
    </row>
    <row r="20" spans="9:17" x14ac:dyDescent="0.25">
      <c r="I20" s="15" t="s">
        <v>54</v>
      </c>
      <c r="J20" s="15">
        <v>-2.6709769491063899E-2</v>
      </c>
      <c r="K20" s="15">
        <v>0.33780582650408603</v>
      </c>
      <c r="L20" s="15">
        <v>-7.9068409705896014E-2</v>
      </c>
      <c r="M20" s="15">
        <v>0.94004515200519989</v>
      </c>
      <c r="N20" s="15">
        <v>-0.89506729107457983</v>
      </c>
      <c r="O20" s="15">
        <v>0.84164775209245213</v>
      </c>
      <c r="P20" s="15">
        <v>-0.89506729107457983</v>
      </c>
      <c r="Q20" s="15">
        <v>0.84164775209245213</v>
      </c>
    </row>
    <row r="21" spans="9:17" x14ac:dyDescent="0.25">
      <c r="I21" s="15" t="s">
        <v>21</v>
      </c>
      <c r="J21" s="15">
        <v>4.8036965225836967</v>
      </c>
      <c r="K21" s="15">
        <v>3.8473710786889663</v>
      </c>
      <c r="L21" s="15">
        <v>1.2485659491469194</v>
      </c>
      <c r="M21" s="15">
        <v>0.26709815558286615</v>
      </c>
      <c r="N21" s="15">
        <v>-5.0862856872466553</v>
      </c>
      <c r="O21" s="15">
        <v>14.69367873241405</v>
      </c>
      <c r="P21" s="15">
        <v>-5.0862856872466553</v>
      </c>
      <c r="Q21" s="15">
        <v>14.69367873241405</v>
      </c>
    </row>
    <row r="22" spans="9:17" x14ac:dyDescent="0.25">
      <c r="I22" s="15" t="s">
        <v>89</v>
      </c>
      <c r="J22" s="15">
        <v>0.28115381132452316</v>
      </c>
      <c r="K22" s="15">
        <v>0.51772857973201303</v>
      </c>
      <c r="L22" s="15">
        <v>0.54305252275247029</v>
      </c>
      <c r="M22" s="15">
        <v>0.61041671205218262</v>
      </c>
      <c r="N22" s="15">
        <v>-1.0497098715243773</v>
      </c>
      <c r="O22" s="15">
        <v>1.6120174941734235</v>
      </c>
      <c r="P22" s="15">
        <v>-1.0497098715243773</v>
      </c>
      <c r="Q22" s="15">
        <v>1.6120174941734235</v>
      </c>
    </row>
    <row r="23" spans="9:17" ht="15.75" thickBot="1" x14ac:dyDescent="0.3">
      <c r="I23" s="21" t="s">
        <v>3</v>
      </c>
      <c r="J23" s="21">
        <v>-2.0562291828092599E-4</v>
      </c>
      <c r="K23" s="21">
        <v>9.9049402084247897E-4</v>
      </c>
      <c r="L23" s="21">
        <v>-0.20759632461590274</v>
      </c>
      <c r="M23" s="21">
        <v>0.84373466333951153</v>
      </c>
      <c r="N23" s="21">
        <v>-2.7517688565649803E-3</v>
      </c>
      <c r="O23" s="21">
        <v>2.3405230200031282E-3</v>
      </c>
      <c r="P23" s="21">
        <v>-2.7517688565649803E-3</v>
      </c>
      <c r="Q23" s="21">
        <v>2.3405230200031282E-3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0.54826881168801078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0.30059868986978339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-0.45892235823438987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0.12883413268282262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3.566913047897001E-2</v>
      </c>
      <c r="L13" s="15">
        <v>7.1338260957940023E-3</v>
      </c>
      <c r="M13" s="15">
        <v>0.42979429051086138</v>
      </c>
      <c r="N13" s="15">
        <v>0.81036748114779578</v>
      </c>
    </row>
    <row r="14" spans="1:14" x14ac:dyDescent="0.25">
      <c r="I14" s="15" t="s">
        <v>63</v>
      </c>
      <c r="J14" s="15">
        <v>5</v>
      </c>
      <c r="K14" s="15">
        <v>8.2991168720675718E-2</v>
      </c>
      <c r="L14" s="15">
        <v>1.6598233744135143E-2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-4.618431034594174E-2</v>
      </c>
      <c r="K19" s="15">
        <v>0.47835572399723719</v>
      </c>
      <c r="L19" s="15">
        <v>-9.6548045793235837E-2</v>
      </c>
      <c r="M19" s="15">
        <v>0.92683578143101508</v>
      </c>
      <c r="N19" s="15">
        <v>-1.2758368454258984</v>
      </c>
      <c r="O19" s="15">
        <v>1.1834682247340147</v>
      </c>
      <c r="P19" s="15">
        <v>-1.2758368454258984</v>
      </c>
      <c r="Q19" s="15">
        <v>1.1834682247340147</v>
      </c>
    </row>
    <row r="20" spans="9:17" x14ac:dyDescent="0.25">
      <c r="I20" s="15" t="s">
        <v>54</v>
      </c>
      <c r="J20" s="15">
        <v>-2.6191761154776377E-2</v>
      </c>
      <c r="K20" s="15">
        <v>0.39910964896223944</v>
      </c>
      <c r="L20" s="15">
        <v>-6.5625477166187052E-2</v>
      </c>
      <c r="M20" s="15">
        <v>0.95021913059063889</v>
      </c>
      <c r="N20" s="15">
        <v>-1.0521357752042952</v>
      </c>
      <c r="O20" s="15">
        <v>0.99975225289474245</v>
      </c>
      <c r="P20" s="15">
        <v>-1.0521357752042952</v>
      </c>
      <c r="Q20" s="15">
        <v>0.99975225289474245</v>
      </c>
    </row>
    <row r="21" spans="9:17" x14ac:dyDescent="0.25">
      <c r="I21" s="15" t="s">
        <v>22</v>
      </c>
      <c r="J21" s="15">
        <v>4.1517917688197139</v>
      </c>
      <c r="K21" s="15">
        <v>3.9368390092752668</v>
      </c>
      <c r="L21" s="15">
        <v>1.0546003428227606</v>
      </c>
      <c r="M21" s="15">
        <v>0.33987893828903676</v>
      </c>
      <c r="N21" s="15">
        <v>-5.9681750782477527</v>
      </c>
      <c r="O21" s="15">
        <v>14.27175861588718</v>
      </c>
      <c r="P21" s="15">
        <v>-5.9681750782477527</v>
      </c>
      <c r="Q21" s="15">
        <v>14.27175861588718</v>
      </c>
    </row>
    <row r="22" spans="9:17" x14ac:dyDescent="0.25">
      <c r="I22" s="15" t="s">
        <v>90</v>
      </c>
      <c r="J22" s="15">
        <v>0.22865433522138612</v>
      </c>
      <c r="K22" s="15">
        <v>0.78620688060272736</v>
      </c>
      <c r="L22" s="15">
        <v>0.29083227438316689</v>
      </c>
      <c r="M22" s="15">
        <v>0.78285718452378628</v>
      </c>
      <c r="N22" s="15">
        <v>-1.7923547911082738</v>
      </c>
      <c r="O22" s="15">
        <v>2.2496634615510462</v>
      </c>
      <c r="P22" s="15">
        <v>-1.7923547911082738</v>
      </c>
      <c r="Q22" s="15">
        <v>2.2496634615510462</v>
      </c>
    </row>
    <row r="23" spans="9:17" ht="15.75" thickBot="1" x14ac:dyDescent="0.3">
      <c r="I23" s="21" t="s">
        <v>3</v>
      </c>
      <c r="J23" s="21">
        <v>2.4096913000072772E-5</v>
      </c>
      <c r="K23" s="21">
        <v>1.1510762892292296E-3</v>
      </c>
      <c r="L23" s="21">
        <v>2.0934244954527097E-2</v>
      </c>
      <c r="M23" s="21">
        <v>0.9841078340382039</v>
      </c>
      <c r="N23" s="21">
        <v>-2.9348388875242381E-3</v>
      </c>
      <c r="O23" s="21">
        <v>2.9830327135243833E-3</v>
      </c>
      <c r="P23" s="21">
        <v>-2.9348388875242381E-3</v>
      </c>
      <c r="Q23" s="21">
        <v>2.9830327135243833E-3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0.6305861337888784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0.39763887212680521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-0.28425003017175066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0.11956283005990562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4.7183947539976373E-2</v>
      </c>
      <c r="L13" s="15">
        <v>9.4367895079952753E-3</v>
      </c>
      <c r="M13" s="15">
        <v>0.6601336867981189</v>
      </c>
      <c r="N13" s="15">
        <v>0.67431448400306115</v>
      </c>
    </row>
    <row r="14" spans="1:14" x14ac:dyDescent="0.25">
      <c r="I14" s="15" t="s">
        <v>63</v>
      </c>
      <c r="J14" s="15">
        <v>5</v>
      </c>
      <c r="K14" s="15">
        <v>7.1476351659669354E-2</v>
      </c>
      <c r="L14" s="15">
        <v>1.4295270331933872E-2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7.2083071613344082E-2</v>
      </c>
      <c r="K19" s="15">
        <v>0.46342248516160978</v>
      </c>
      <c r="L19" s="15">
        <v>0.15554504565786548</v>
      </c>
      <c r="M19" s="15">
        <v>0.88247625028990084</v>
      </c>
      <c r="N19" s="15">
        <v>-1.1191823509685297</v>
      </c>
      <c r="O19" s="15">
        <v>1.2633484941952178</v>
      </c>
      <c r="P19" s="15">
        <v>-1.1191823509685297</v>
      </c>
      <c r="Q19" s="15">
        <v>1.2633484941952178</v>
      </c>
    </row>
    <row r="20" spans="9:17" x14ac:dyDescent="0.25">
      <c r="I20" s="15" t="s">
        <v>54</v>
      </c>
      <c r="J20" s="15">
        <v>4.2955725162459428E-2</v>
      </c>
      <c r="K20" s="15">
        <v>0.34771290032119823</v>
      </c>
      <c r="L20" s="15">
        <v>0.12353791050829369</v>
      </c>
      <c r="M20" s="15">
        <v>0.90649360302353688</v>
      </c>
      <c r="N20" s="15">
        <v>-0.85086874041963334</v>
      </c>
      <c r="O20" s="15">
        <v>0.9367801907445521</v>
      </c>
      <c r="P20" s="15">
        <v>-0.85086874041963334</v>
      </c>
      <c r="Q20" s="15">
        <v>0.9367801907445521</v>
      </c>
    </row>
    <row r="21" spans="9:17" x14ac:dyDescent="0.25">
      <c r="I21" s="15" t="s">
        <v>23</v>
      </c>
      <c r="J21" s="15">
        <v>4.1963262788659055</v>
      </c>
      <c r="K21" s="15">
        <v>2.8283842137596644</v>
      </c>
      <c r="L21" s="15">
        <v>1.4836478928327377</v>
      </c>
      <c r="M21" s="15">
        <v>0.19801747652327736</v>
      </c>
      <c r="N21" s="15">
        <v>-3.0742668052251885</v>
      </c>
      <c r="O21" s="15">
        <v>11.466919362957</v>
      </c>
      <c r="P21" s="15">
        <v>-3.0742668052251885</v>
      </c>
      <c r="Q21" s="15">
        <v>11.466919362957</v>
      </c>
    </row>
    <row r="22" spans="9:17" x14ac:dyDescent="0.25">
      <c r="I22" s="15" t="s">
        <v>91</v>
      </c>
      <c r="J22" s="15">
        <v>0.23053442714401248</v>
      </c>
      <c r="K22" s="15">
        <v>0.85969074780478316</v>
      </c>
      <c r="L22" s="15">
        <v>0.26815971642440167</v>
      </c>
      <c r="M22" s="15">
        <v>0.7992878964347665</v>
      </c>
      <c r="N22" s="15">
        <v>-1.9793709934275634</v>
      </c>
      <c r="O22" s="15">
        <v>2.4404398477155884</v>
      </c>
      <c r="P22" s="15">
        <v>-1.9793709934275634</v>
      </c>
      <c r="Q22" s="15">
        <v>2.4404398477155884</v>
      </c>
    </row>
    <row r="23" spans="9:17" ht="15.75" thickBot="1" x14ac:dyDescent="0.3">
      <c r="I23" s="21" t="s">
        <v>3</v>
      </c>
      <c r="J23" s="21">
        <v>2.4393199832782134E-4</v>
      </c>
      <c r="K23" s="21">
        <v>1.1110199456155357E-3</v>
      </c>
      <c r="L23" s="21">
        <v>0.21955681290012868</v>
      </c>
      <c r="M23" s="21">
        <v>0.83489821778544726</v>
      </c>
      <c r="N23" s="21">
        <v>-2.6120356929011214E-3</v>
      </c>
      <c r="O23" s="21">
        <v>3.0998996895567638E-3</v>
      </c>
      <c r="P23" s="21">
        <v>-2.6120356929011214E-3</v>
      </c>
      <c r="Q23" s="21">
        <v>3.0998996895567638E-3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0.36306464775145797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0.13181593844689024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-0.76273131079559753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0.14354022467883742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1.564131869539008E-2</v>
      </c>
      <c r="L13" s="15">
        <v>3.1282637390780159E-3</v>
      </c>
      <c r="M13" s="15">
        <v>0.15182948441956234</v>
      </c>
      <c r="N13" s="15">
        <v>0.96848447676726834</v>
      </c>
    </row>
    <row r="14" spans="1:14" x14ac:dyDescent="0.25">
      <c r="I14" s="15" t="s">
        <v>63</v>
      </c>
      <c r="J14" s="15">
        <v>5</v>
      </c>
      <c r="K14" s="15">
        <v>0.10301898050425565</v>
      </c>
      <c r="L14" s="15">
        <v>2.060379610085113E-2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-0.16426566327141068</v>
      </c>
      <c r="K19" s="15">
        <v>0.62143417083108332</v>
      </c>
      <c r="L19" s="15">
        <v>-0.26433316830924791</v>
      </c>
      <c r="M19" s="15">
        <v>0.80207292032249922</v>
      </c>
      <c r="N19" s="15">
        <v>-1.7617130548535083</v>
      </c>
      <c r="O19" s="15">
        <v>1.4331817283106867</v>
      </c>
      <c r="P19" s="15">
        <v>-1.7617130548535083</v>
      </c>
      <c r="Q19" s="15">
        <v>1.4331817283106867</v>
      </c>
    </row>
    <row r="20" spans="9:17" x14ac:dyDescent="0.25">
      <c r="I20" s="15" t="s">
        <v>54</v>
      </c>
      <c r="J20" s="15">
        <v>0.15924320273698278</v>
      </c>
      <c r="K20" s="15">
        <v>0.45221341631568313</v>
      </c>
      <c r="L20" s="15">
        <v>0.35214170343371148</v>
      </c>
      <c r="M20" s="15">
        <v>0.73908813899654602</v>
      </c>
      <c r="N20" s="15">
        <v>-1.003208391075155</v>
      </c>
      <c r="O20" s="15">
        <v>1.3216947965491206</v>
      </c>
      <c r="P20" s="15">
        <v>-1.003208391075155</v>
      </c>
      <c r="Q20" s="15">
        <v>1.3216947965491206</v>
      </c>
    </row>
    <row r="21" spans="9:17" x14ac:dyDescent="0.25">
      <c r="I21" s="15" t="s">
        <v>24</v>
      </c>
      <c r="J21" s="15">
        <v>-0.15758853163188444</v>
      </c>
      <c r="K21" s="15">
        <v>10.621035739646956</v>
      </c>
      <c r="L21" s="15">
        <v>-1.4837397735479487E-2</v>
      </c>
      <c r="M21" s="15">
        <v>0.98873574507721795</v>
      </c>
      <c r="N21" s="15">
        <v>-27.459830079612463</v>
      </c>
      <c r="O21" s="15">
        <v>27.144653016348695</v>
      </c>
      <c r="P21" s="15">
        <v>-27.459830079612463</v>
      </c>
      <c r="Q21" s="15">
        <v>27.144653016348695</v>
      </c>
    </row>
    <row r="22" spans="9:17" x14ac:dyDescent="0.25">
      <c r="I22" s="15" t="s">
        <v>92</v>
      </c>
      <c r="J22" s="15">
        <v>2.1344273047631489E-2</v>
      </c>
      <c r="K22" s="15">
        <v>0.68395811665425055</v>
      </c>
      <c r="L22" s="15">
        <v>3.1206988451342978E-2</v>
      </c>
      <c r="M22" s="15">
        <v>0.97631185051424652</v>
      </c>
      <c r="N22" s="15">
        <v>-1.7368260379598088</v>
      </c>
      <c r="O22" s="15">
        <v>1.7795145840550717</v>
      </c>
      <c r="P22" s="15">
        <v>-1.7368260379598088</v>
      </c>
      <c r="Q22" s="15">
        <v>1.7795145840550717</v>
      </c>
    </row>
    <row r="23" spans="9:17" ht="15.75" thickBot="1" x14ac:dyDescent="0.3">
      <c r="I23" s="21" t="s">
        <v>3</v>
      </c>
      <c r="J23" s="21">
        <v>-4.7426431569681028E-4</v>
      </c>
      <c r="K23" s="21">
        <v>1.262649302209149E-3</v>
      </c>
      <c r="L23" s="21">
        <v>-0.37561048413603904</v>
      </c>
      <c r="M23" s="21">
        <v>0.72261439996169896</v>
      </c>
      <c r="N23" s="21">
        <v>-3.7200076767345165E-3</v>
      </c>
      <c r="O23" s="21">
        <v>2.7714790453408963E-3</v>
      </c>
      <c r="P23" s="21">
        <v>-3.7200076767345165E-3</v>
      </c>
      <c r="Q23" s="21">
        <v>2.7714790453408963E-3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0.45861489880379808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0.21032762540481795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-0.62141027427132767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0.13689613598576039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2.4957538960486705E-2</v>
      </c>
      <c r="L13" s="15">
        <v>4.9915077920973409E-3</v>
      </c>
      <c r="M13" s="15">
        <v>0.26634795919338111</v>
      </c>
      <c r="N13" s="15">
        <v>0.91034003356534243</v>
      </c>
    </row>
    <row r="14" spans="1:14" x14ac:dyDescent="0.25">
      <c r="I14" s="15" t="s">
        <v>63</v>
      </c>
      <c r="J14" s="15">
        <v>5</v>
      </c>
      <c r="K14" s="15">
        <v>9.3702760239159022E-2</v>
      </c>
      <c r="L14" s="15">
        <v>1.8740552047831805E-2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-0.21675678290334852</v>
      </c>
      <c r="K19" s="15">
        <v>0.5503766814279798</v>
      </c>
      <c r="L19" s="15">
        <v>-0.39383351478656803</v>
      </c>
      <c r="M19" s="15">
        <v>0.7099387372031315</v>
      </c>
      <c r="N19" s="15">
        <v>-1.6315450829399083</v>
      </c>
      <c r="O19" s="15">
        <v>1.1980315171332112</v>
      </c>
      <c r="P19" s="15">
        <v>-1.6315450829399083</v>
      </c>
      <c r="Q19" s="15">
        <v>1.1980315171332112</v>
      </c>
    </row>
    <row r="20" spans="9:17" x14ac:dyDescent="0.25">
      <c r="I20" s="15" t="s">
        <v>54</v>
      </c>
      <c r="J20" s="15">
        <v>7.2271290713113071E-2</v>
      </c>
      <c r="K20" s="15">
        <v>0.4493874271001303</v>
      </c>
      <c r="L20" s="15">
        <v>0.16082179063058197</v>
      </c>
      <c r="M20" s="15">
        <v>0.87852962865171902</v>
      </c>
      <c r="N20" s="15">
        <v>-1.0829158665538205</v>
      </c>
      <c r="O20" s="15">
        <v>1.2274584479800468</v>
      </c>
      <c r="P20" s="15">
        <v>-1.0829158665538205</v>
      </c>
      <c r="Q20" s="15">
        <v>1.2274584479800468</v>
      </c>
    </row>
    <row r="21" spans="9:17" x14ac:dyDescent="0.25">
      <c r="I21" s="15" t="s">
        <v>25</v>
      </c>
      <c r="J21" s="15">
        <v>3.0234457544519024</v>
      </c>
      <c r="K21" s="15">
        <v>13.697864434319785</v>
      </c>
      <c r="L21" s="15">
        <v>0.22072387772189558</v>
      </c>
      <c r="M21" s="15">
        <v>0.83403743890759574</v>
      </c>
      <c r="N21" s="15">
        <v>-32.188035747419249</v>
      </c>
      <c r="O21" s="15">
        <v>38.234927256323047</v>
      </c>
      <c r="P21" s="15">
        <v>-32.188035747419249</v>
      </c>
      <c r="Q21" s="15">
        <v>38.234927256323047</v>
      </c>
    </row>
    <row r="22" spans="9:17" x14ac:dyDescent="0.25">
      <c r="I22" s="15" t="s">
        <v>93</v>
      </c>
      <c r="J22" s="15">
        <v>0.39671757106365907</v>
      </c>
      <c r="K22" s="15">
        <v>1.3743380767026319</v>
      </c>
      <c r="L22" s="15">
        <v>0.28866083083099908</v>
      </c>
      <c r="M22" s="15">
        <v>0.78442544329563435</v>
      </c>
      <c r="N22" s="15">
        <v>-3.1361309249314751</v>
      </c>
      <c r="O22" s="15">
        <v>3.9295660670587935</v>
      </c>
      <c r="P22" s="15">
        <v>-3.1361309249314751</v>
      </c>
      <c r="Q22" s="15">
        <v>3.9295660670587935</v>
      </c>
    </row>
    <row r="23" spans="9:17" ht="15.75" thickBot="1" x14ac:dyDescent="0.3">
      <c r="I23" s="21" t="s">
        <v>3</v>
      </c>
      <c r="J23" s="21">
        <v>-2.3318571470045294E-4</v>
      </c>
      <c r="K23" s="21">
        <v>1.1643461532078651E-3</v>
      </c>
      <c r="L23" s="21">
        <v>-0.20027181268904265</v>
      </c>
      <c r="M23" s="21">
        <v>0.84915903122049896</v>
      </c>
      <c r="N23" s="21">
        <v>-3.2262327865296087E-3</v>
      </c>
      <c r="O23" s="21">
        <v>2.7598613571287031E-3</v>
      </c>
      <c r="P23" s="21">
        <v>-3.2262327865296087E-3</v>
      </c>
      <c r="Q23" s="21">
        <v>2.7598613571287031E-3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0.55300295425883128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0.30581226741899509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-0.44953791864580889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0.1283530475281251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3.6287775150860027E-2</v>
      </c>
      <c r="L13" s="15">
        <v>7.2575550301720053E-3</v>
      </c>
      <c r="M13" s="15">
        <v>0.44053251457207182</v>
      </c>
      <c r="N13" s="15">
        <v>0.80369436210802525</v>
      </c>
    </row>
    <row r="14" spans="1:14" x14ac:dyDescent="0.25">
      <c r="I14" s="15" t="s">
        <v>63</v>
      </c>
      <c r="J14" s="15">
        <v>5</v>
      </c>
      <c r="K14" s="15">
        <v>8.23725240487857E-2</v>
      </c>
      <c r="L14" s="15">
        <v>1.6474504809757141E-2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0.14408352305662386</v>
      </c>
      <c r="K19" s="15">
        <v>0.5746515219809728</v>
      </c>
      <c r="L19" s="15">
        <v>0.25073199590585021</v>
      </c>
      <c r="M19" s="15">
        <v>0.81199877770939966</v>
      </c>
      <c r="N19" s="15">
        <v>-1.3331052411684277</v>
      </c>
      <c r="O19" s="15">
        <v>1.6212722872816752</v>
      </c>
      <c r="P19" s="15">
        <v>-1.3331052411684277</v>
      </c>
      <c r="Q19" s="15">
        <v>1.6212722872816752</v>
      </c>
    </row>
    <row r="20" spans="9:17" x14ac:dyDescent="0.25">
      <c r="I20" s="15" t="s">
        <v>54</v>
      </c>
      <c r="J20" s="15">
        <v>0.25261500002728909</v>
      </c>
      <c r="K20" s="15">
        <v>0.41480900347417249</v>
      </c>
      <c r="L20" s="15">
        <v>0.60899112100159081</v>
      </c>
      <c r="M20" s="15">
        <v>0.56913599017891225</v>
      </c>
      <c r="N20" s="15">
        <v>-0.81368548956181974</v>
      </c>
      <c r="O20" s="15">
        <v>1.3189154896163979</v>
      </c>
      <c r="P20" s="15">
        <v>-0.81368548956181974</v>
      </c>
      <c r="Q20" s="15">
        <v>1.3189154896163979</v>
      </c>
    </row>
    <row r="21" spans="9:17" x14ac:dyDescent="0.25">
      <c r="I21" s="15" t="s">
        <v>26</v>
      </c>
      <c r="J21" s="15">
        <v>5.0499048496741317</v>
      </c>
      <c r="K21" s="15">
        <v>4.5197830633075471</v>
      </c>
      <c r="L21" s="15">
        <v>1.1172892103318439</v>
      </c>
      <c r="M21" s="15">
        <v>0.31466226159478417</v>
      </c>
      <c r="N21" s="15">
        <v>-6.5685673938809099</v>
      </c>
      <c r="O21" s="15">
        <v>16.668377093229175</v>
      </c>
      <c r="P21" s="15">
        <v>-6.5685673938809099</v>
      </c>
      <c r="Q21" s="15">
        <v>16.668377093229175</v>
      </c>
    </row>
    <row r="22" spans="9:17" x14ac:dyDescent="0.25">
      <c r="I22" s="15" t="s">
        <v>94</v>
      </c>
      <c r="J22" s="15">
        <v>-0.21857833789872663</v>
      </c>
      <c r="K22" s="15">
        <v>0.23596095592561339</v>
      </c>
      <c r="L22" s="15">
        <v>-0.92633265126978626</v>
      </c>
      <c r="M22" s="15">
        <v>0.3967848605621157</v>
      </c>
      <c r="N22" s="15">
        <v>-0.8251352851204895</v>
      </c>
      <c r="O22" s="15">
        <v>0.38797860932303629</v>
      </c>
      <c r="P22" s="15">
        <v>-0.8251352851204895</v>
      </c>
      <c r="Q22" s="15">
        <v>0.38797860932303629</v>
      </c>
    </row>
    <row r="23" spans="9:17" ht="15.75" thickBot="1" x14ac:dyDescent="0.3">
      <c r="I23" s="21" t="s">
        <v>3</v>
      </c>
      <c r="J23" s="21">
        <v>3.1803430237877374E-4</v>
      </c>
      <c r="K23" s="21">
        <v>1.4694155737584864E-3</v>
      </c>
      <c r="L23" s="21">
        <v>0.21643591374583182</v>
      </c>
      <c r="M23" s="21">
        <v>0.83720134877688757</v>
      </c>
      <c r="N23" s="21">
        <v>-3.4592186805259056E-3</v>
      </c>
      <c r="O23" s="21">
        <v>4.0952872852834526E-3</v>
      </c>
      <c r="P23" s="21">
        <v>-3.4592186805259056E-3</v>
      </c>
      <c r="Q23" s="21">
        <v>4.0952872852834526E-3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0.46376447253111686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0.21507748598206505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-0.61286052523228296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0.13648380150179454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2.5521158837739449E-2</v>
      </c>
      <c r="L13" s="15">
        <v>5.1042317675478897E-3</v>
      </c>
      <c r="M13" s="15">
        <v>0.27401110573463644</v>
      </c>
      <c r="N13" s="15">
        <v>0.90589880412587831</v>
      </c>
    </row>
    <row r="14" spans="1:14" x14ac:dyDescent="0.25">
      <c r="I14" s="15" t="s">
        <v>63</v>
      </c>
      <c r="J14" s="15">
        <v>5</v>
      </c>
      <c r="K14" s="15">
        <v>9.3139140361906278E-2</v>
      </c>
      <c r="L14" s="15">
        <v>1.8627828072381256E-2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-9.343005114565299E-2</v>
      </c>
      <c r="K19" s="15">
        <v>0.50231717433425216</v>
      </c>
      <c r="L19" s="15">
        <v>-0.18599812214161468</v>
      </c>
      <c r="M19" s="15">
        <v>0.85975674715547945</v>
      </c>
      <c r="N19" s="15">
        <v>-1.3846774552174417</v>
      </c>
      <c r="O19" s="15">
        <v>1.1978173529261358</v>
      </c>
      <c r="P19" s="15">
        <v>-1.3846774552174417</v>
      </c>
      <c r="Q19" s="15">
        <v>1.1978173529261358</v>
      </c>
    </row>
    <row r="20" spans="9:17" x14ac:dyDescent="0.25">
      <c r="I20" s="15" t="s">
        <v>54</v>
      </c>
      <c r="J20" s="15">
        <v>7.8801353601558349E-2</v>
      </c>
      <c r="K20" s="15">
        <v>0.39971565550752963</v>
      </c>
      <c r="L20" s="15">
        <v>0.19714352569328858</v>
      </c>
      <c r="M20" s="15">
        <v>0.85147867798155352</v>
      </c>
      <c r="N20" s="15">
        <v>-0.94870044986556001</v>
      </c>
      <c r="O20" s="15">
        <v>1.1063031570686768</v>
      </c>
      <c r="P20" s="15">
        <v>-0.94870044986556001</v>
      </c>
      <c r="Q20" s="15">
        <v>1.1063031570686768</v>
      </c>
    </row>
    <row r="21" spans="9:17" x14ac:dyDescent="0.25">
      <c r="I21" s="15" t="s">
        <v>27</v>
      </c>
      <c r="J21" s="15">
        <v>1.0734108815688594</v>
      </c>
      <c r="K21" s="15">
        <v>1.4820535301313085</v>
      </c>
      <c r="L21" s="15">
        <v>0.72427267959326425</v>
      </c>
      <c r="M21" s="15">
        <v>0.50135747659351404</v>
      </c>
      <c r="N21" s="15">
        <v>-2.7363290024273601</v>
      </c>
      <c r="O21" s="15">
        <v>4.8831507655650794</v>
      </c>
      <c r="P21" s="15">
        <v>-2.7363290024273601</v>
      </c>
      <c r="Q21" s="15">
        <v>4.8831507655650794</v>
      </c>
    </row>
    <row r="22" spans="9:17" x14ac:dyDescent="0.25">
      <c r="I22" s="15" t="s">
        <v>95</v>
      </c>
      <c r="J22" s="15">
        <v>-5.0504209435925804E-2</v>
      </c>
      <c r="K22" s="15">
        <v>0.16334845170867734</v>
      </c>
      <c r="L22" s="15">
        <v>-0.30918082729058971</v>
      </c>
      <c r="M22" s="15">
        <v>0.76965289111813817</v>
      </c>
      <c r="N22" s="15">
        <v>-0.47040477227756761</v>
      </c>
      <c r="O22" s="15">
        <v>0.36939635340571597</v>
      </c>
      <c r="P22" s="15">
        <v>-0.47040477227756761</v>
      </c>
      <c r="Q22" s="15">
        <v>0.36939635340571597</v>
      </c>
    </row>
    <row r="23" spans="9:17" ht="15.75" thickBot="1" x14ac:dyDescent="0.3">
      <c r="I23" s="21" t="s">
        <v>3</v>
      </c>
      <c r="J23" s="21">
        <v>-1.8845978890950828E-4</v>
      </c>
      <c r="K23" s="21">
        <v>1.190058680632321E-3</v>
      </c>
      <c r="L23" s="21">
        <v>-0.1583617614632018</v>
      </c>
      <c r="M23" s="21">
        <v>0.88036906203138243</v>
      </c>
      <c r="N23" s="21">
        <v>-3.2476030166842711E-3</v>
      </c>
      <c r="O23" s="21">
        <v>2.8706834388652546E-3</v>
      </c>
      <c r="P23" s="21">
        <v>-3.2476030166842711E-3</v>
      </c>
      <c r="Q23" s="21">
        <v>2.8706834388652546E-3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0.45672566450142676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0.20859833261426983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-0.62452300129431426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0.13704594750600199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2.4752340560556474E-2</v>
      </c>
      <c r="L13" s="15">
        <v>4.9504681121112946E-3</v>
      </c>
      <c r="M13" s="15">
        <v>0.26358086065618397</v>
      </c>
      <c r="N13" s="15">
        <v>0.91193218333127679</v>
      </c>
    </row>
    <row r="14" spans="1:14" x14ac:dyDescent="0.25">
      <c r="I14" s="15" t="s">
        <v>63</v>
      </c>
      <c r="J14" s="15">
        <v>5</v>
      </c>
      <c r="K14" s="15">
        <v>9.3907958639089253E-2</v>
      </c>
      <c r="L14" s="15">
        <v>1.8781591727817851E-2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-5.4419525568052934E-2</v>
      </c>
      <c r="K19" s="15">
        <v>0.51993665027929858</v>
      </c>
      <c r="L19" s="15">
        <v>-0.10466568482683411</v>
      </c>
      <c r="M19" s="15">
        <v>0.92071005835382469</v>
      </c>
      <c r="N19" s="15">
        <v>-1.3909592344576089</v>
      </c>
      <c r="O19" s="15">
        <v>1.2821201833215032</v>
      </c>
      <c r="P19" s="15">
        <v>-1.3909592344576089</v>
      </c>
      <c r="Q19" s="15">
        <v>1.2821201833215032</v>
      </c>
    </row>
    <row r="20" spans="9:17" x14ac:dyDescent="0.25">
      <c r="I20" s="15" t="s">
        <v>54</v>
      </c>
      <c r="J20" s="15">
        <v>0.17143977353075987</v>
      </c>
      <c r="K20" s="15">
        <v>0.39460571383839516</v>
      </c>
      <c r="L20" s="15">
        <v>0.43445841638514759</v>
      </c>
      <c r="M20" s="15">
        <v>0.6820655332280281</v>
      </c>
      <c r="N20" s="15">
        <v>-0.84292650670052038</v>
      </c>
      <c r="O20" s="15">
        <v>1.1858060537620401</v>
      </c>
      <c r="P20" s="15">
        <v>-0.84292650670052038</v>
      </c>
      <c r="Q20" s="15">
        <v>1.1858060537620401</v>
      </c>
    </row>
    <row r="21" spans="9:17" x14ac:dyDescent="0.25">
      <c r="I21" s="15" t="s">
        <v>28</v>
      </c>
      <c r="J21" s="15">
        <v>1.6893275409558157</v>
      </c>
      <c r="K21" s="15">
        <v>2.7302001695610416</v>
      </c>
      <c r="L21" s="15">
        <v>0.61875592851766026</v>
      </c>
      <c r="M21" s="15">
        <v>0.56317449500578076</v>
      </c>
      <c r="N21" s="15">
        <v>-5.3288754225689852</v>
      </c>
      <c r="O21" s="15">
        <v>8.7075305044806157</v>
      </c>
      <c r="P21" s="15">
        <v>-5.3288754225689852</v>
      </c>
      <c r="Q21" s="15">
        <v>8.7075305044806157</v>
      </c>
    </row>
    <row r="22" spans="9:17" x14ac:dyDescent="0.25">
      <c r="I22" s="15" t="s">
        <v>96</v>
      </c>
      <c r="J22" s="15">
        <v>-4.7696042696506402E-2</v>
      </c>
      <c r="K22" s="15">
        <v>0.17033555247594204</v>
      </c>
      <c r="L22" s="15">
        <v>-0.28001225817636</v>
      </c>
      <c r="M22" s="15">
        <v>0.79068305323616506</v>
      </c>
      <c r="N22" s="15">
        <v>-0.48555751985423934</v>
      </c>
      <c r="O22" s="15">
        <v>0.39016543446122653</v>
      </c>
      <c r="P22" s="15">
        <v>-0.48555751985423934</v>
      </c>
      <c r="Q22" s="15">
        <v>0.39016543446122653</v>
      </c>
    </row>
    <row r="23" spans="9:17" ht="15.75" thickBot="1" x14ac:dyDescent="0.3">
      <c r="I23" s="21" t="s">
        <v>3</v>
      </c>
      <c r="J23" s="21">
        <v>-5.6722711331591256E-5</v>
      </c>
      <c r="K23" s="21">
        <v>1.2871138104488238E-3</v>
      </c>
      <c r="L23" s="21">
        <v>-4.4069693659655261E-2</v>
      </c>
      <c r="M23" s="21">
        <v>0.96655468900877661</v>
      </c>
      <c r="N23" s="21">
        <v>-3.3653540928679808E-3</v>
      </c>
      <c r="O23" s="21">
        <v>3.2519086702047983E-3</v>
      </c>
      <c r="P23" s="21">
        <v>-3.3653540928679808E-3</v>
      </c>
      <c r="Q23" s="21">
        <v>3.2519086702047983E-3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0.11297745052922219</v>
      </c>
      <c r="C2" s="13">
        <f>'ALL VARS'!G2</f>
        <v>-3.7856984724374605E-2</v>
      </c>
      <c r="D2" s="13">
        <f>'ALL VARS'!H2</f>
        <v>2.1252543522496153E-2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-3.7856984724374605E-2</v>
      </c>
      <c r="C3" s="13">
        <f>'ALL VARS'!G3</f>
        <v>2.1252543522496153E-2</v>
      </c>
      <c r="D3" s="13">
        <f>'ALL VARS'!H3</f>
        <v>5.4350417163289484E-2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2.1252543522496153E-2</v>
      </c>
      <c r="C4" s="13">
        <f>'ALL VARS'!G4</f>
        <v>5.4350417163289484E-2</v>
      </c>
      <c r="D4" s="13">
        <f>'ALL VARS'!H4</f>
        <v>-0.12476528270394319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5.4350417163289484E-2</v>
      </c>
      <c r="C5" s="13">
        <f>'ALL VARS'!G5</f>
        <v>-0.12476528270394319</v>
      </c>
      <c r="D5" s="13">
        <f>'ALL VARS'!H5</f>
        <v>-9.2234848484848447E-2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0.64172638599262266</v>
      </c>
    </row>
    <row r="6" spans="1:14" x14ac:dyDescent="0.25">
      <c r="A6" s="17">
        <f>'ALL VARS'!A6</f>
        <v>43907</v>
      </c>
      <c r="B6" s="13">
        <f>'ALL VARS'!F6</f>
        <v>-0.12476528270394319</v>
      </c>
      <c r="C6" s="13">
        <f>'ALL VARS'!G6</f>
        <v>-9.2234848484848447E-2</v>
      </c>
      <c r="D6" s="13">
        <f>'ALL VARS'!H6</f>
        <v>-0.18152224461323838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0.41181275447915255</v>
      </c>
    </row>
    <row r="7" spans="1:14" x14ac:dyDescent="0.25">
      <c r="A7" s="17">
        <f>'ALL VARS'!A7</f>
        <v>43906</v>
      </c>
      <c r="B7" s="13">
        <f>'ALL VARS'!F7</f>
        <v>-9.2234848484848447E-2</v>
      </c>
      <c r="C7" s="13">
        <f>'ALL VARS'!G7</f>
        <v>-0.18152224461323838</v>
      </c>
      <c r="D7" s="13">
        <f>'ALL VARS'!H7</f>
        <v>0.10594891136636392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-0.25873704193752545</v>
      </c>
    </row>
    <row r="8" spans="1:14" x14ac:dyDescent="0.25">
      <c r="A8" s="17">
        <f>'ALL VARS'!A8</f>
        <v>43903</v>
      </c>
      <c r="B8" s="13">
        <f>'ALL VARS'!F8</f>
        <v>-0.18152224461323838</v>
      </c>
      <c r="C8" s="13">
        <f>'ALL VARS'!G8</f>
        <v>0.10594891136636392</v>
      </c>
      <c r="D8" s="13">
        <f>'ALL VARS'!H8</f>
        <v>-0.16552217453505016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0.11814776725687137</v>
      </c>
    </row>
    <row r="9" spans="1:14" ht="15.75" thickBot="1" x14ac:dyDescent="0.3">
      <c r="A9" s="17">
        <f>'ALL VARS'!A9</f>
        <v>43902</v>
      </c>
      <c r="B9" s="13">
        <f>'ALL VARS'!F9</f>
        <v>0.10594891136636392</v>
      </c>
      <c r="C9" s="13">
        <f>'ALL VARS'!G9</f>
        <v>-0.16552217453505016</v>
      </c>
      <c r="D9" s="13">
        <f>'ALL VARS'!H9</f>
        <v>-7.3558648111331962E-2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-0.16552217453505016</v>
      </c>
      <c r="C10" s="13">
        <f>'ALL VARS'!G10</f>
        <v>-7.3558648111331962E-2</v>
      </c>
      <c r="D10" s="13">
        <f>'ALL VARS'!H10</f>
        <v>1.6846361185983826E-2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-7.3558648111331962E-2</v>
      </c>
      <c r="C11" s="13">
        <f>'ALL VARS'!G11</f>
        <v>1.6846361185983826E-2</v>
      </c>
      <c r="D11" s="13">
        <f>'ALL VARS'!H11</f>
        <v>-0.2722636327971753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4.886582466072649E-2</v>
      </c>
      <c r="L13" s="15">
        <v>9.7731649321452976E-3</v>
      </c>
      <c r="M13" s="15">
        <v>0.70013887178816159</v>
      </c>
      <c r="N13" s="15">
        <v>0.65279527608962518</v>
      </c>
    </row>
    <row r="14" spans="1:14" x14ac:dyDescent="0.25">
      <c r="I14" s="15" t="s">
        <v>63</v>
      </c>
      <c r="J14" s="15">
        <v>5</v>
      </c>
      <c r="K14" s="15">
        <v>6.9794474538919238E-2</v>
      </c>
      <c r="L14" s="15">
        <v>1.3958894907783848E-2</v>
      </c>
    </row>
    <row r="15" spans="1:14" ht="15.75" thickBot="1" x14ac:dyDescent="0.3">
      <c r="I15" s="21" t="s">
        <v>64</v>
      </c>
      <c r="J15" s="21">
        <v>10</v>
      </c>
      <c r="K15" s="21">
        <v>0.11866029919964573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0.18513377982497226</v>
      </c>
      <c r="K19" s="15">
        <v>0.48435594298046714</v>
      </c>
      <c r="L19" s="15">
        <v>0.38222671262327884</v>
      </c>
      <c r="M19" s="15">
        <v>0.71800029656158482</v>
      </c>
      <c r="N19" s="15">
        <v>-1.0599428091831151</v>
      </c>
      <c r="O19" s="15">
        <v>1.4302103688330599</v>
      </c>
      <c r="P19" s="15">
        <v>-1.0599428091831151</v>
      </c>
      <c r="Q19" s="15">
        <v>1.4302103688330599</v>
      </c>
    </row>
    <row r="20" spans="9:17" x14ac:dyDescent="0.25">
      <c r="I20" s="15" t="s">
        <v>54</v>
      </c>
      <c r="J20" s="15">
        <v>0.11619475611736804</v>
      </c>
      <c r="K20" s="15">
        <v>0.35143245620772146</v>
      </c>
      <c r="L20" s="15">
        <v>0.33063183000004054</v>
      </c>
      <c r="M20" s="15">
        <v>0.75432773019158716</v>
      </c>
      <c r="N20" s="15">
        <v>-0.78719113226325543</v>
      </c>
      <c r="O20" s="15">
        <v>1.0195806444979916</v>
      </c>
      <c r="P20" s="15">
        <v>-0.78719113226325543</v>
      </c>
      <c r="Q20" s="15">
        <v>1.0195806444979916</v>
      </c>
    </row>
    <row r="21" spans="9:17" x14ac:dyDescent="0.25">
      <c r="I21" s="15" t="s">
        <v>29</v>
      </c>
      <c r="J21" s="15">
        <v>6.0737769235713825</v>
      </c>
      <c r="K21" s="15">
        <v>4.2059849460269714</v>
      </c>
      <c r="L21" s="15">
        <v>1.4440795679282572</v>
      </c>
      <c r="M21" s="15">
        <v>0.20832208935957333</v>
      </c>
      <c r="N21" s="15">
        <v>-4.7380515796453375</v>
      </c>
      <c r="O21" s="15">
        <v>16.885605426788104</v>
      </c>
      <c r="P21" s="15">
        <v>-4.7380515796453375</v>
      </c>
      <c r="Q21" s="15">
        <v>16.885605426788104</v>
      </c>
    </row>
    <row r="22" spans="9:17" x14ac:dyDescent="0.25">
      <c r="I22" s="15" t="s">
        <v>97</v>
      </c>
      <c r="J22" s="15">
        <v>-0.1537637092016669</v>
      </c>
      <c r="K22" s="15">
        <v>0.28815538982198979</v>
      </c>
      <c r="L22" s="15">
        <v>-0.53361385777533299</v>
      </c>
      <c r="M22" s="15">
        <v>0.61646823949509844</v>
      </c>
      <c r="N22" s="15">
        <v>-0.8944907201187754</v>
      </c>
      <c r="O22" s="15">
        <v>0.58696330171544153</v>
      </c>
      <c r="P22" s="15">
        <v>-0.8944907201187754</v>
      </c>
      <c r="Q22" s="15">
        <v>0.58696330171544153</v>
      </c>
    </row>
    <row r="23" spans="9:17" ht="15.75" thickBot="1" x14ac:dyDescent="0.3">
      <c r="I23" s="21" t="s">
        <v>3</v>
      </c>
      <c r="J23" s="21">
        <v>4.2449839425927522E-4</v>
      </c>
      <c r="K23" s="21">
        <v>1.1464512823407427E-3</v>
      </c>
      <c r="L23" s="21">
        <v>0.37027163805213298</v>
      </c>
      <c r="M23" s="21">
        <v>0.72634744631962866</v>
      </c>
      <c r="N23" s="21">
        <v>-2.5225484475677987E-3</v>
      </c>
      <c r="O23" s="21">
        <v>3.3715452360863489E-3</v>
      </c>
      <c r="P23" s="21">
        <v>-2.5225484475677987E-3</v>
      </c>
      <c r="Q23" s="21">
        <v>3.3715452360863489E-3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2" style="1" hidden="1" customWidth="1"/>
    <col min="4" max="4" width="15.7109375" style="1" customWidth="1"/>
    <col min="5" max="5" width="12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 t="str">
        <f>IF('Eq4 avec Sent__t_+_1_k, k=0'!M21&lt;0.1,'Eq4 avec Sent__t_+_1_k, k=0'!J21,"-")</f>
        <v>-</v>
      </c>
      <c r="C6" s="4" t="str">
        <f>IF('Eq4 avec Sent__t_+_1_k, k=0'!M22&lt;0.1,'Eq4 avec Sent__t_+_1_k, k=0'!J22,"-")</f>
        <v>-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 t="str">
        <f>IF('Eq4 avec Sent__t_+_1_k, k=2'!M22&lt;0.1,'Eq4 avec Sent__t_+_1_k, k=2'!J22,"-")</f>
        <v>-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 t="str">
        <f>IF('Eq4 avec Sent__t_+_1_k, k=3'!M22&lt;0.1,'Eq4 avec Sent__t_+_1_k, k=3'!J22,"-")</f>
        <v>-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>
        <f>IF('Eq4 avec Sent__t_+_1_k, k=4'!M21&lt;0.1,'Eq4 avec Sent__t_+_1_k, k=4'!J21,"-")</f>
        <v>13.16884625961554</v>
      </c>
      <c r="C10" s="4">
        <f>IF('Eq4 avec Sent__t_+_1_k, k=4'!M22&lt;0.1,'Eq4 avec Sent__t_+_1_k, k=4'!J22,"-")</f>
        <v>-1.0105373752052766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>
        <f>IF('Eq4 avec Sent__t_+_1_k, k=5'!M21&lt;0.1,'Eq4 avec Sent__t_+_1_k, k=5'!J21,"-")</f>
        <v>18.147372750647765</v>
      </c>
      <c r="C11" s="4">
        <f>IF('Eq4 avec Sent__t_+_1_k, k=5'!M22&lt;0.1,'Eq4 avec Sent__t_+_1_k, k=5'!J22,"-")</f>
        <v>-1.7730599562521587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