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ient\Documents\Teluq\MTI6500\Memoire\Cinquieme version memoire\Regressions to share online\Formatted\"/>
    </mc:Choice>
  </mc:AlternateContent>
  <xr:revisionPtr revIDLastSave="0" documentId="13_ncr:1_{47AB1EFA-F6FD-4565-ACCF-44B603B44C63}" xr6:coauthVersionLast="47" xr6:coauthVersionMax="47" xr10:uidLastSave="{00000000-0000-0000-0000-000000000000}"/>
  <bookViews>
    <workbookView xWindow="-120" yWindow="-120" windowWidth="20730" windowHeight="11160" firstSheet="2" activeTab="2" xr2:uid="{25069CF0-230D-4A55-86AE-389E22C1E849}"/>
  </bookViews>
  <sheets>
    <sheet name="ALL VARS" sheetId="4" state="hidden" r:id="rId1"/>
    <sheet name="Adj close price" sheetId="42" state="hidden" r:id="rId2"/>
    <sheet name="Eq4 avec Sent_t__+__1" sheetId="89" r:id="rId3"/>
    <sheet name="Eq4 avec Sent__t_+_1_k, k=0" sheetId="90" r:id="rId4"/>
    <sheet name="Eq4 avec Sent__t_+_1_k, k=1" sheetId="91" r:id="rId5"/>
    <sheet name="Eq4 avec Sent__t_+_1_k, k=2" sheetId="92" r:id="rId6"/>
    <sheet name="Eq4 avec Sent__t_+_1_k, k=3" sheetId="93" r:id="rId7"/>
    <sheet name="Eq4 avec Sent__t_+_1_k, k=4" sheetId="94" r:id="rId8"/>
    <sheet name="Eq4 avec Sent__t_+_1_k, k=5" sheetId="95" r:id="rId9"/>
    <sheet name="Eq4 avec Sent__t_+_1_k, k=6" sheetId="96" r:id="rId10"/>
    <sheet name="Eq4 avec Sent__t_+_1_k, k=7" sheetId="97" r:id="rId11"/>
    <sheet name="Eq4 avec Sent__t_+_1_k, k=8" sheetId="98" r:id="rId12"/>
    <sheet name="Eq4 avec Sent__t_+_1_k, k=9" sheetId="109" r:id="rId13"/>
    <sheet name="Eq7 avec Sent_t" sheetId="99" r:id="rId14"/>
    <sheet name="Eq7 avec Sent__t_k, k=0" sheetId="100" r:id="rId15"/>
    <sheet name="Eq7 avec Sent__t_k, k=1" sheetId="101" r:id="rId16"/>
    <sheet name="Eq7 avec Sent__t_k, k=2" sheetId="102" r:id="rId17"/>
    <sheet name="Eq7 avec Sent__t_k, k=3" sheetId="103" r:id="rId18"/>
    <sheet name="Eq7 avec Sent__t_k, k=4" sheetId="104" r:id="rId19"/>
    <sheet name="Eq7 avec Sent__t_k, k=5" sheetId="105" r:id="rId20"/>
    <sheet name="Eq7 avec Sent__t_k, k=6" sheetId="106" r:id="rId21"/>
    <sheet name="Eq7 avec Sent__t_k, k=7" sheetId="107" r:id="rId22"/>
    <sheet name="Eq7 avec Sent__t_k, k=8" sheetId="108" r:id="rId23"/>
    <sheet name="Eq7 avec Sent__t_k, k=9" sheetId="110" r:id="rId24"/>
    <sheet name="Sommaire" sheetId="112" r:id="rId25"/>
  </sheets>
  <externalReferences>
    <externalReference r:id="rId26"/>
  </externalReferences>
  <definedNames>
    <definedName name="_xlnm._FilterDatabase" localSheetId="0" hidden="1">'ALL VARS'!$A$1:$CD$565</definedName>
    <definedName name="E44ct2">'Eq7 avec Sent__t_k, k=0'!$E$44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12" l="1"/>
  <c r="D15" i="112"/>
  <c r="E14" i="112"/>
  <c r="D14" i="112"/>
  <c r="E13" i="112"/>
  <c r="D13" i="112"/>
  <c r="E12" i="112"/>
  <c r="D12" i="112"/>
  <c r="E11" i="112"/>
  <c r="D11" i="112"/>
  <c r="E10" i="112"/>
  <c r="D10" i="112"/>
  <c r="E9" i="112"/>
  <c r="D9" i="112"/>
  <c r="E8" i="112"/>
  <c r="D8" i="112"/>
  <c r="E7" i="112"/>
  <c r="D7" i="112"/>
  <c r="E6" i="112"/>
  <c r="D6" i="112"/>
  <c r="E5" i="112"/>
  <c r="D5" i="112"/>
  <c r="C15" i="112"/>
  <c r="B15" i="112"/>
  <c r="C14" i="112"/>
  <c r="B14" i="112"/>
  <c r="C13" i="112"/>
  <c r="B13" i="112"/>
  <c r="C12" i="112"/>
  <c r="B12" i="112"/>
  <c r="C11" i="112"/>
  <c r="B11" i="112"/>
  <c r="C10" i="112"/>
  <c r="B10" i="112"/>
  <c r="C9" i="112"/>
  <c r="B9" i="112"/>
  <c r="C8" i="112"/>
  <c r="B8" i="112"/>
  <c r="C7" i="112"/>
  <c r="B7" i="112"/>
  <c r="C6" i="112"/>
  <c r="B6" i="112"/>
  <c r="C5" i="112"/>
  <c r="B5" i="112"/>
  <c r="G15" i="112" l="1"/>
  <c r="I15" i="112" s="1"/>
  <c r="G14" i="112"/>
  <c r="I14" i="112" s="1"/>
  <c r="G13" i="112"/>
  <c r="I13" i="112" s="1"/>
  <c r="G12" i="112"/>
  <c r="I12" i="112" s="1"/>
  <c r="G11" i="112"/>
  <c r="I11" i="112" s="1"/>
  <c r="G10" i="112"/>
  <c r="I10" i="112" s="1"/>
  <c r="G9" i="112"/>
  <c r="I9" i="112" s="1"/>
  <c r="G8" i="112"/>
  <c r="I8" i="112" s="1"/>
  <c r="G7" i="112"/>
  <c r="I7" i="112" s="1"/>
  <c r="G5" i="112"/>
  <c r="I5" i="112" s="1"/>
  <c r="G6" i="112"/>
  <c r="I6" i="112" s="1"/>
  <c r="H15" i="112" l="1"/>
  <c r="J15" i="112" s="1"/>
  <c r="H14" i="112"/>
  <c r="J14" i="112" s="1"/>
  <c r="H13" i="112"/>
  <c r="J13" i="112" s="1"/>
  <c r="H12" i="112"/>
  <c r="J12" i="112" s="1"/>
  <c r="H11" i="112"/>
  <c r="J11" i="112" s="1"/>
  <c r="H10" i="112"/>
  <c r="J10" i="112" s="1"/>
  <c r="H9" i="112"/>
  <c r="J9" i="112" s="1"/>
  <c r="H8" i="112"/>
  <c r="J8" i="112" s="1"/>
  <c r="H7" i="112"/>
  <c r="J7" i="112" s="1"/>
  <c r="B16" i="112" s="1"/>
  <c r="H5" i="112"/>
  <c r="J5" i="112" s="1"/>
  <c r="H6" i="112"/>
  <c r="J6" i="112" s="1"/>
  <c r="A1" i="97" l="1"/>
  <c r="A1" i="107"/>
  <c r="F1" i="110"/>
  <c r="E1" i="110"/>
  <c r="A48" i="110"/>
  <c r="A47" i="110"/>
  <c r="A46" i="110"/>
  <c r="A45" i="110"/>
  <c r="A44" i="110"/>
  <c r="A43" i="110"/>
  <c r="A42" i="110"/>
  <c r="A41" i="110"/>
  <c r="A40" i="110"/>
  <c r="A39" i="110"/>
  <c r="A38" i="110"/>
  <c r="A37" i="110"/>
  <c r="A36" i="110"/>
  <c r="A35" i="110"/>
  <c r="A34" i="110"/>
  <c r="A33" i="110"/>
  <c r="A32" i="110"/>
  <c r="A31" i="110"/>
  <c r="A30" i="110"/>
  <c r="A29" i="110"/>
  <c r="A28" i="110"/>
  <c r="A27" i="110"/>
  <c r="A26" i="110"/>
  <c r="A25" i="110"/>
  <c r="A24" i="110"/>
  <c r="A23" i="110"/>
  <c r="A22" i="110"/>
  <c r="A21" i="110"/>
  <c r="A20" i="110"/>
  <c r="A19" i="110"/>
  <c r="A18" i="110"/>
  <c r="A17" i="110"/>
  <c r="A16" i="110"/>
  <c r="A15" i="110"/>
  <c r="A14" i="110"/>
  <c r="A13" i="110"/>
  <c r="A12" i="110"/>
  <c r="A11" i="110"/>
  <c r="A10" i="110"/>
  <c r="A9" i="110"/>
  <c r="A8" i="110"/>
  <c r="A7" i="110"/>
  <c r="A6" i="110"/>
  <c r="A5" i="110"/>
  <c r="A4" i="110"/>
  <c r="A3" i="110"/>
  <c r="B2" i="110"/>
  <c r="A2" i="110"/>
  <c r="G1" i="110"/>
  <c r="D1" i="110"/>
  <c r="C1" i="110"/>
  <c r="B1" i="110"/>
  <c r="A1" i="110"/>
  <c r="E1" i="109"/>
  <c r="F1" i="109"/>
  <c r="A48" i="109"/>
  <c r="A47" i="109"/>
  <c r="A46" i="109"/>
  <c r="A45" i="109"/>
  <c r="A44" i="109"/>
  <c r="A43" i="109"/>
  <c r="A42" i="109"/>
  <c r="A41" i="109"/>
  <c r="A40" i="109"/>
  <c r="A39" i="109"/>
  <c r="A38" i="109"/>
  <c r="A37" i="109"/>
  <c r="A36" i="109"/>
  <c r="A35" i="109"/>
  <c r="A34" i="109"/>
  <c r="A33" i="109"/>
  <c r="A32" i="109"/>
  <c r="A31" i="109"/>
  <c r="A30" i="109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A4" i="109"/>
  <c r="A3" i="109"/>
  <c r="B2" i="109"/>
  <c r="A2" i="109"/>
  <c r="G1" i="109"/>
  <c r="D1" i="109"/>
  <c r="C1" i="109"/>
  <c r="B1" i="109"/>
  <c r="A1" i="109"/>
  <c r="F1" i="108"/>
  <c r="E1" i="108"/>
  <c r="A48" i="108"/>
  <c r="A47" i="108"/>
  <c r="A46" i="108"/>
  <c r="A45" i="108"/>
  <c r="A44" i="108"/>
  <c r="A43" i="108"/>
  <c r="A42" i="108"/>
  <c r="A41" i="108"/>
  <c r="A40" i="108"/>
  <c r="A39" i="108"/>
  <c r="A38" i="108"/>
  <c r="A37" i="108"/>
  <c r="A36" i="108"/>
  <c r="A35" i="108"/>
  <c r="A34" i="108"/>
  <c r="A33" i="108"/>
  <c r="A32" i="108"/>
  <c r="A31" i="108"/>
  <c r="A30" i="108"/>
  <c r="A29" i="108"/>
  <c r="A28" i="108"/>
  <c r="A27" i="108"/>
  <c r="A26" i="108"/>
  <c r="A25" i="108"/>
  <c r="A24" i="108"/>
  <c r="A23" i="108"/>
  <c r="A22" i="108"/>
  <c r="A21" i="108"/>
  <c r="A20" i="108"/>
  <c r="A19" i="108"/>
  <c r="A18" i="108"/>
  <c r="A17" i="108"/>
  <c r="A16" i="108"/>
  <c r="A15" i="108"/>
  <c r="A14" i="108"/>
  <c r="A13" i="108"/>
  <c r="A12" i="108"/>
  <c r="A11" i="108"/>
  <c r="A10" i="108"/>
  <c r="A9" i="108"/>
  <c r="A8" i="108"/>
  <c r="A7" i="108"/>
  <c r="A6" i="108"/>
  <c r="A5" i="108"/>
  <c r="A4" i="108"/>
  <c r="A3" i="108"/>
  <c r="B2" i="108"/>
  <c r="A2" i="108"/>
  <c r="G1" i="108"/>
  <c r="D1" i="108"/>
  <c r="C1" i="108"/>
  <c r="B1" i="108"/>
  <c r="A1" i="108"/>
  <c r="F1" i="107"/>
  <c r="E1" i="107"/>
  <c r="A48" i="107"/>
  <c r="A47" i="107"/>
  <c r="A46" i="107"/>
  <c r="A45" i="107"/>
  <c r="A44" i="107"/>
  <c r="A43" i="107"/>
  <c r="A42" i="107"/>
  <c r="A41" i="107"/>
  <c r="A40" i="107"/>
  <c r="A39" i="107"/>
  <c r="A38" i="107"/>
  <c r="A37" i="107"/>
  <c r="A36" i="107"/>
  <c r="A35" i="107"/>
  <c r="A34" i="107"/>
  <c r="A33" i="107"/>
  <c r="A32" i="107"/>
  <c r="A31" i="107"/>
  <c r="A30" i="107"/>
  <c r="A29" i="107"/>
  <c r="A28" i="107"/>
  <c r="A27" i="107"/>
  <c r="A26" i="107"/>
  <c r="A25" i="107"/>
  <c r="A24" i="107"/>
  <c r="A23" i="107"/>
  <c r="A22" i="107"/>
  <c r="A21" i="107"/>
  <c r="A20" i="107"/>
  <c r="A19" i="107"/>
  <c r="A18" i="107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A4" i="107"/>
  <c r="A3" i="107"/>
  <c r="B2" i="107"/>
  <c r="A2" i="107"/>
  <c r="G1" i="107"/>
  <c r="D1" i="107"/>
  <c r="C1" i="107"/>
  <c r="B1" i="107"/>
  <c r="F1" i="106"/>
  <c r="E1" i="106"/>
  <c r="A48" i="106"/>
  <c r="A47" i="106"/>
  <c r="A46" i="106"/>
  <c r="A45" i="106"/>
  <c r="A44" i="106"/>
  <c r="A43" i="106"/>
  <c r="A42" i="106"/>
  <c r="A41" i="106"/>
  <c r="A40" i="106"/>
  <c r="A39" i="106"/>
  <c r="A38" i="106"/>
  <c r="A37" i="106"/>
  <c r="A36" i="106"/>
  <c r="A35" i="106"/>
  <c r="A34" i="106"/>
  <c r="A33" i="106"/>
  <c r="A32" i="106"/>
  <c r="A31" i="106"/>
  <c r="A30" i="106"/>
  <c r="A29" i="106"/>
  <c r="A28" i="106"/>
  <c r="A27" i="106"/>
  <c r="A26" i="106"/>
  <c r="A25" i="106"/>
  <c r="A24" i="106"/>
  <c r="A23" i="106"/>
  <c r="A22" i="106"/>
  <c r="A21" i="106"/>
  <c r="A20" i="106"/>
  <c r="A19" i="106"/>
  <c r="A18" i="106"/>
  <c r="A17" i="106"/>
  <c r="A16" i="106"/>
  <c r="A15" i="106"/>
  <c r="A14" i="106"/>
  <c r="A13" i="106"/>
  <c r="A12" i="106"/>
  <c r="A11" i="106"/>
  <c r="A10" i="106"/>
  <c r="A9" i="106"/>
  <c r="A8" i="106"/>
  <c r="A7" i="106"/>
  <c r="A6" i="106"/>
  <c r="A5" i="106"/>
  <c r="A4" i="106"/>
  <c r="A3" i="106"/>
  <c r="B2" i="106"/>
  <c r="A2" i="106"/>
  <c r="G1" i="106"/>
  <c r="D1" i="106"/>
  <c r="C1" i="106"/>
  <c r="B1" i="106"/>
  <c r="A1" i="106"/>
  <c r="F1" i="105"/>
  <c r="E1" i="105"/>
  <c r="A48" i="105"/>
  <c r="A47" i="105"/>
  <c r="A46" i="105"/>
  <c r="A45" i="105"/>
  <c r="A44" i="105"/>
  <c r="A43" i="105"/>
  <c r="A42" i="105"/>
  <c r="A41" i="105"/>
  <c r="A40" i="105"/>
  <c r="A39" i="105"/>
  <c r="A38" i="105"/>
  <c r="A37" i="105"/>
  <c r="A36" i="105"/>
  <c r="A35" i="105"/>
  <c r="A34" i="105"/>
  <c r="A33" i="105"/>
  <c r="A32" i="105"/>
  <c r="A31" i="105"/>
  <c r="A30" i="105"/>
  <c r="A29" i="105"/>
  <c r="A28" i="105"/>
  <c r="A27" i="105"/>
  <c r="A26" i="105"/>
  <c r="A25" i="105"/>
  <c r="A24" i="105"/>
  <c r="A23" i="105"/>
  <c r="A22" i="105"/>
  <c r="A21" i="105"/>
  <c r="A20" i="105"/>
  <c r="A19" i="105"/>
  <c r="A18" i="105"/>
  <c r="A17" i="105"/>
  <c r="A16" i="105"/>
  <c r="A15" i="105"/>
  <c r="A14" i="105"/>
  <c r="A13" i="105"/>
  <c r="A12" i="105"/>
  <c r="A11" i="105"/>
  <c r="A10" i="105"/>
  <c r="A9" i="105"/>
  <c r="A8" i="105"/>
  <c r="A7" i="105"/>
  <c r="A6" i="105"/>
  <c r="A5" i="105"/>
  <c r="A4" i="105"/>
  <c r="A3" i="105"/>
  <c r="B2" i="105"/>
  <c r="A2" i="105"/>
  <c r="G1" i="105"/>
  <c r="D1" i="105"/>
  <c r="C1" i="105"/>
  <c r="B1" i="105"/>
  <c r="A1" i="105"/>
  <c r="F1" i="104"/>
  <c r="E1" i="104"/>
  <c r="A48" i="104"/>
  <c r="A47" i="104"/>
  <c r="A46" i="104"/>
  <c r="A45" i="104"/>
  <c r="A44" i="104"/>
  <c r="A43" i="104"/>
  <c r="A42" i="104"/>
  <c r="A41" i="104"/>
  <c r="A40" i="104"/>
  <c r="A39" i="104"/>
  <c r="A38" i="104"/>
  <c r="A37" i="104"/>
  <c r="A36" i="104"/>
  <c r="A35" i="104"/>
  <c r="A34" i="104"/>
  <c r="A33" i="104"/>
  <c r="A32" i="104"/>
  <c r="A31" i="104"/>
  <c r="A30" i="104"/>
  <c r="A29" i="104"/>
  <c r="A28" i="104"/>
  <c r="A27" i="104"/>
  <c r="A26" i="104"/>
  <c r="A25" i="104"/>
  <c r="A24" i="104"/>
  <c r="A23" i="104"/>
  <c r="A22" i="104"/>
  <c r="A21" i="104"/>
  <c r="A20" i="104"/>
  <c r="A19" i="104"/>
  <c r="A18" i="104"/>
  <c r="A17" i="104"/>
  <c r="A16" i="104"/>
  <c r="A15" i="104"/>
  <c r="A14" i="104"/>
  <c r="A13" i="104"/>
  <c r="A12" i="104"/>
  <c r="A11" i="104"/>
  <c r="A10" i="104"/>
  <c r="A9" i="104"/>
  <c r="A8" i="104"/>
  <c r="A7" i="104"/>
  <c r="A6" i="104"/>
  <c r="A5" i="104"/>
  <c r="A4" i="104"/>
  <c r="A3" i="104"/>
  <c r="B2" i="104"/>
  <c r="A2" i="104"/>
  <c r="G1" i="104"/>
  <c r="D1" i="104"/>
  <c r="C1" i="104"/>
  <c r="B1" i="104"/>
  <c r="A1" i="104"/>
  <c r="F1" i="103"/>
  <c r="E1" i="103"/>
  <c r="A48" i="103"/>
  <c r="A47" i="103"/>
  <c r="A46" i="103"/>
  <c r="A45" i="103"/>
  <c r="A44" i="103"/>
  <c r="A43" i="103"/>
  <c r="A42" i="103"/>
  <c r="A41" i="103"/>
  <c r="A40" i="103"/>
  <c r="A39" i="103"/>
  <c r="A38" i="103"/>
  <c r="A37" i="103"/>
  <c r="A36" i="103"/>
  <c r="A35" i="103"/>
  <c r="A34" i="103"/>
  <c r="A33" i="103"/>
  <c r="A32" i="103"/>
  <c r="A31" i="103"/>
  <c r="A30" i="103"/>
  <c r="A29" i="103"/>
  <c r="A28" i="103"/>
  <c r="A27" i="103"/>
  <c r="A26" i="103"/>
  <c r="A25" i="103"/>
  <c r="A24" i="103"/>
  <c r="A23" i="103"/>
  <c r="A22" i="103"/>
  <c r="A21" i="103"/>
  <c r="A20" i="103"/>
  <c r="A19" i="103"/>
  <c r="A18" i="103"/>
  <c r="A17" i="103"/>
  <c r="A16" i="103"/>
  <c r="A15" i="103"/>
  <c r="A14" i="103"/>
  <c r="A13" i="103"/>
  <c r="A12" i="103"/>
  <c r="A11" i="103"/>
  <c r="A10" i="103"/>
  <c r="A9" i="103"/>
  <c r="A8" i="103"/>
  <c r="A7" i="103"/>
  <c r="A6" i="103"/>
  <c r="A5" i="103"/>
  <c r="A4" i="103"/>
  <c r="A3" i="103"/>
  <c r="B2" i="103"/>
  <c r="A2" i="103"/>
  <c r="G1" i="103"/>
  <c r="D1" i="103"/>
  <c r="C1" i="103"/>
  <c r="B1" i="103"/>
  <c r="A1" i="103"/>
  <c r="F1" i="102"/>
  <c r="E1" i="102"/>
  <c r="A48" i="102"/>
  <c r="A47" i="102"/>
  <c r="A46" i="102"/>
  <c r="A45" i="102"/>
  <c r="A44" i="102"/>
  <c r="A43" i="102"/>
  <c r="A42" i="102"/>
  <c r="A41" i="102"/>
  <c r="A40" i="102"/>
  <c r="A39" i="102"/>
  <c r="A38" i="102"/>
  <c r="A37" i="102"/>
  <c r="A36" i="102"/>
  <c r="A35" i="102"/>
  <c r="A34" i="102"/>
  <c r="A33" i="102"/>
  <c r="A32" i="102"/>
  <c r="A31" i="102"/>
  <c r="A30" i="102"/>
  <c r="A29" i="102"/>
  <c r="A28" i="102"/>
  <c r="A27" i="102"/>
  <c r="A26" i="102"/>
  <c r="A25" i="102"/>
  <c r="A24" i="102"/>
  <c r="A23" i="102"/>
  <c r="A22" i="102"/>
  <c r="A21" i="102"/>
  <c r="A20" i="102"/>
  <c r="A19" i="102"/>
  <c r="A18" i="102"/>
  <c r="A17" i="102"/>
  <c r="A16" i="102"/>
  <c r="A15" i="102"/>
  <c r="A14" i="102"/>
  <c r="A13" i="102"/>
  <c r="A12" i="102"/>
  <c r="A11" i="102"/>
  <c r="A10" i="102"/>
  <c r="A9" i="102"/>
  <c r="A8" i="102"/>
  <c r="A7" i="102"/>
  <c r="A6" i="102"/>
  <c r="A5" i="102"/>
  <c r="A4" i="102"/>
  <c r="A3" i="102"/>
  <c r="B2" i="102"/>
  <c r="A2" i="102"/>
  <c r="G1" i="102"/>
  <c r="D1" i="102"/>
  <c r="C1" i="102"/>
  <c r="B1" i="102"/>
  <c r="A1" i="102"/>
  <c r="F1" i="101"/>
  <c r="E1" i="101"/>
  <c r="A48" i="101"/>
  <c r="A47" i="101"/>
  <c r="A46" i="101"/>
  <c r="A45" i="101"/>
  <c r="A44" i="101"/>
  <c r="A43" i="101"/>
  <c r="A42" i="101"/>
  <c r="A41" i="101"/>
  <c r="A40" i="101"/>
  <c r="A39" i="101"/>
  <c r="A38" i="101"/>
  <c r="A37" i="101"/>
  <c r="A36" i="101"/>
  <c r="A35" i="101"/>
  <c r="A34" i="101"/>
  <c r="A33" i="101"/>
  <c r="A32" i="101"/>
  <c r="A31" i="101"/>
  <c r="A30" i="101"/>
  <c r="A29" i="101"/>
  <c r="A28" i="101"/>
  <c r="A27" i="101"/>
  <c r="A26" i="101"/>
  <c r="A25" i="101"/>
  <c r="A24" i="101"/>
  <c r="A23" i="101"/>
  <c r="A22" i="101"/>
  <c r="A21" i="101"/>
  <c r="A20" i="101"/>
  <c r="A19" i="101"/>
  <c r="A18" i="101"/>
  <c r="A17" i="101"/>
  <c r="A16" i="101"/>
  <c r="A15" i="101"/>
  <c r="A14" i="101"/>
  <c r="A13" i="101"/>
  <c r="A12" i="101"/>
  <c r="A11" i="101"/>
  <c r="A10" i="101"/>
  <c r="A9" i="101"/>
  <c r="A8" i="101"/>
  <c r="A7" i="101"/>
  <c r="A6" i="101"/>
  <c r="A5" i="101"/>
  <c r="A4" i="101"/>
  <c r="A3" i="101"/>
  <c r="B2" i="101"/>
  <c r="A2" i="101"/>
  <c r="G1" i="101"/>
  <c r="D1" i="101"/>
  <c r="C1" i="101"/>
  <c r="B1" i="101"/>
  <c r="A1" i="101"/>
  <c r="F1" i="100"/>
  <c r="E1" i="100"/>
  <c r="A48" i="100"/>
  <c r="A47" i="100"/>
  <c r="A46" i="100"/>
  <c r="A45" i="100"/>
  <c r="A44" i="100"/>
  <c r="A43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A6" i="100"/>
  <c r="A5" i="100"/>
  <c r="A4" i="100"/>
  <c r="A3" i="100"/>
  <c r="B2" i="100"/>
  <c r="A2" i="100"/>
  <c r="G1" i="100"/>
  <c r="D1" i="100"/>
  <c r="C1" i="100"/>
  <c r="B1" i="100"/>
  <c r="A1" i="100"/>
  <c r="F1" i="99"/>
  <c r="E1" i="99"/>
  <c r="A48" i="99"/>
  <c r="A47" i="99"/>
  <c r="A46" i="99"/>
  <c r="A45" i="99"/>
  <c r="A44" i="99"/>
  <c r="A43" i="99"/>
  <c r="A42" i="99"/>
  <c r="A41" i="99"/>
  <c r="A40" i="99"/>
  <c r="A39" i="99"/>
  <c r="A38" i="99"/>
  <c r="A37" i="99"/>
  <c r="A36" i="99"/>
  <c r="A35" i="99"/>
  <c r="A34" i="99"/>
  <c r="A33" i="99"/>
  <c r="A32" i="99"/>
  <c r="A31" i="99"/>
  <c r="A30" i="99"/>
  <c r="A29" i="99"/>
  <c r="A28" i="99"/>
  <c r="A27" i="99"/>
  <c r="A26" i="99"/>
  <c r="A25" i="99"/>
  <c r="A24" i="99"/>
  <c r="A23" i="99"/>
  <c r="A22" i="99"/>
  <c r="A21" i="99"/>
  <c r="A20" i="99"/>
  <c r="A19" i="99"/>
  <c r="A18" i="99"/>
  <c r="A17" i="99"/>
  <c r="A16" i="99"/>
  <c r="A15" i="99"/>
  <c r="A14" i="99"/>
  <c r="A13" i="99"/>
  <c r="A12" i="99"/>
  <c r="A11" i="99"/>
  <c r="A10" i="99"/>
  <c r="A9" i="99"/>
  <c r="A8" i="99"/>
  <c r="A7" i="99"/>
  <c r="A6" i="99"/>
  <c r="A5" i="99"/>
  <c r="A4" i="99"/>
  <c r="A3" i="99"/>
  <c r="B2" i="99"/>
  <c r="A2" i="99"/>
  <c r="G1" i="99"/>
  <c r="D1" i="99"/>
  <c r="C1" i="99"/>
  <c r="B1" i="99"/>
  <c r="A1" i="99"/>
  <c r="F1" i="98"/>
  <c r="E1" i="98"/>
  <c r="A48" i="98"/>
  <c r="A47" i="98"/>
  <c r="A46" i="98"/>
  <c r="A45" i="98"/>
  <c r="A44" i="98"/>
  <c r="A43" i="98"/>
  <c r="A42" i="98"/>
  <c r="A41" i="98"/>
  <c r="A40" i="98"/>
  <c r="A39" i="98"/>
  <c r="A38" i="98"/>
  <c r="A37" i="98"/>
  <c r="A36" i="98"/>
  <c r="A35" i="98"/>
  <c r="A34" i="98"/>
  <c r="A33" i="98"/>
  <c r="A32" i="98"/>
  <c r="A31" i="98"/>
  <c r="A30" i="98"/>
  <c r="A29" i="98"/>
  <c r="A28" i="98"/>
  <c r="A27" i="98"/>
  <c r="A26" i="98"/>
  <c r="A25" i="98"/>
  <c r="A24" i="98"/>
  <c r="A23" i="98"/>
  <c r="A22" i="98"/>
  <c r="A21" i="98"/>
  <c r="A20" i="98"/>
  <c r="A19" i="98"/>
  <c r="A18" i="98"/>
  <c r="A17" i="98"/>
  <c r="A16" i="98"/>
  <c r="A15" i="98"/>
  <c r="A14" i="98"/>
  <c r="A13" i="98"/>
  <c r="A12" i="98"/>
  <c r="A11" i="98"/>
  <c r="A10" i="98"/>
  <c r="A9" i="98"/>
  <c r="A8" i="98"/>
  <c r="A7" i="98"/>
  <c r="A6" i="98"/>
  <c r="A5" i="98"/>
  <c r="A4" i="98"/>
  <c r="A3" i="98"/>
  <c r="B2" i="98"/>
  <c r="A2" i="98"/>
  <c r="G1" i="98"/>
  <c r="D1" i="98"/>
  <c r="C1" i="98"/>
  <c r="B1" i="98"/>
  <c r="A1" i="98"/>
  <c r="F1" i="97"/>
  <c r="E1" i="97"/>
  <c r="A48" i="97"/>
  <c r="A47" i="97"/>
  <c r="A46" i="97"/>
  <c r="A45" i="97"/>
  <c r="A44" i="97"/>
  <c r="A43" i="97"/>
  <c r="A42" i="97"/>
  <c r="A41" i="97"/>
  <c r="A40" i="97"/>
  <c r="A39" i="97"/>
  <c r="A38" i="97"/>
  <c r="A37" i="97"/>
  <c r="A36" i="97"/>
  <c r="A35" i="97"/>
  <c r="A34" i="97"/>
  <c r="A33" i="97"/>
  <c r="A32" i="97"/>
  <c r="A31" i="97"/>
  <c r="A30" i="97"/>
  <c r="A29" i="97"/>
  <c r="A28" i="97"/>
  <c r="A27" i="97"/>
  <c r="A26" i="97"/>
  <c r="A25" i="97"/>
  <c r="A24" i="97"/>
  <c r="A23" i="97"/>
  <c r="A22" i="97"/>
  <c r="A21" i="97"/>
  <c r="A20" i="97"/>
  <c r="A19" i="97"/>
  <c r="A18" i="97"/>
  <c r="A17" i="97"/>
  <c r="A16" i="97"/>
  <c r="A15" i="97"/>
  <c r="A14" i="97"/>
  <c r="A13" i="97"/>
  <c r="A12" i="97"/>
  <c r="A11" i="97"/>
  <c r="A10" i="97"/>
  <c r="A9" i="97"/>
  <c r="A8" i="97"/>
  <c r="A7" i="97"/>
  <c r="A6" i="97"/>
  <c r="A5" i="97"/>
  <c r="A4" i="97"/>
  <c r="A3" i="97"/>
  <c r="B2" i="97"/>
  <c r="A2" i="97"/>
  <c r="G1" i="97"/>
  <c r="D1" i="97"/>
  <c r="C1" i="97"/>
  <c r="B1" i="97"/>
  <c r="F1" i="96"/>
  <c r="E1" i="96"/>
  <c r="A48" i="96"/>
  <c r="A47" i="96"/>
  <c r="A46" i="96"/>
  <c r="A45" i="96"/>
  <c r="A44" i="96"/>
  <c r="A43" i="96"/>
  <c r="A42" i="96"/>
  <c r="A41" i="96"/>
  <c r="A40" i="96"/>
  <c r="A39" i="96"/>
  <c r="A38" i="96"/>
  <c r="A37" i="96"/>
  <c r="A36" i="96"/>
  <c r="A35" i="96"/>
  <c r="A34" i="96"/>
  <c r="A33" i="96"/>
  <c r="A32" i="96"/>
  <c r="A31" i="96"/>
  <c r="A30" i="96"/>
  <c r="A29" i="96"/>
  <c r="A28" i="96"/>
  <c r="A27" i="96"/>
  <c r="A26" i="96"/>
  <c r="A25" i="96"/>
  <c r="A24" i="96"/>
  <c r="A23" i="96"/>
  <c r="A22" i="96"/>
  <c r="A21" i="96"/>
  <c r="A20" i="96"/>
  <c r="A19" i="96"/>
  <c r="A18" i="96"/>
  <c r="A17" i="96"/>
  <c r="A16" i="96"/>
  <c r="A15" i="96"/>
  <c r="A14" i="96"/>
  <c r="A13" i="96"/>
  <c r="A12" i="96"/>
  <c r="A11" i="96"/>
  <c r="A10" i="96"/>
  <c r="A9" i="96"/>
  <c r="A8" i="96"/>
  <c r="A7" i="96"/>
  <c r="A6" i="96"/>
  <c r="A5" i="96"/>
  <c r="A4" i="96"/>
  <c r="A3" i="96"/>
  <c r="B2" i="96"/>
  <c r="A2" i="96"/>
  <c r="G1" i="96"/>
  <c r="D1" i="96"/>
  <c r="C1" i="96"/>
  <c r="B1" i="96"/>
  <c r="A1" i="96"/>
  <c r="F1" i="95"/>
  <c r="E1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A6" i="95"/>
  <c r="A5" i="95"/>
  <c r="A4" i="95"/>
  <c r="A3" i="95"/>
  <c r="B2" i="95"/>
  <c r="A2" i="95"/>
  <c r="G1" i="95"/>
  <c r="D1" i="95"/>
  <c r="C1" i="95"/>
  <c r="B1" i="95"/>
  <c r="A1" i="95"/>
  <c r="F1" i="94"/>
  <c r="E1" i="94"/>
  <c r="A48" i="94"/>
  <c r="A47" i="94"/>
  <c r="A46" i="94"/>
  <c r="A45" i="94"/>
  <c r="A44" i="94"/>
  <c r="A43" i="94"/>
  <c r="A42" i="94"/>
  <c r="A41" i="94"/>
  <c r="A40" i="94"/>
  <c r="A39" i="94"/>
  <c r="A38" i="94"/>
  <c r="A37" i="94"/>
  <c r="A36" i="94"/>
  <c r="A35" i="94"/>
  <c r="A34" i="94"/>
  <c r="A33" i="94"/>
  <c r="A32" i="94"/>
  <c r="A31" i="94"/>
  <c r="A30" i="94"/>
  <c r="A29" i="94"/>
  <c r="A28" i="94"/>
  <c r="A27" i="94"/>
  <c r="A26" i="94"/>
  <c r="A25" i="94"/>
  <c r="A24" i="94"/>
  <c r="A23" i="94"/>
  <c r="A22" i="94"/>
  <c r="A21" i="94"/>
  <c r="A20" i="94"/>
  <c r="A19" i="94"/>
  <c r="A18" i="94"/>
  <c r="A17" i="94"/>
  <c r="A16" i="94"/>
  <c r="A15" i="94"/>
  <c r="A14" i="94"/>
  <c r="A13" i="94"/>
  <c r="A12" i="94"/>
  <c r="A11" i="94"/>
  <c r="A10" i="94"/>
  <c r="A9" i="94"/>
  <c r="A8" i="94"/>
  <c r="A7" i="94"/>
  <c r="A6" i="94"/>
  <c r="A5" i="94"/>
  <c r="A4" i="94"/>
  <c r="A3" i="94"/>
  <c r="B2" i="94"/>
  <c r="A2" i="94"/>
  <c r="G1" i="94"/>
  <c r="D1" i="94"/>
  <c r="C1" i="94"/>
  <c r="B1" i="94"/>
  <c r="A1" i="94"/>
  <c r="F1" i="93"/>
  <c r="E1" i="93"/>
  <c r="A48" i="93"/>
  <c r="A47" i="93"/>
  <c r="A46" i="93"/>
  <c r="A45" i="93"/>
  <c r="A44" i="93"/>
  <c r="A43" i="93"/>
  <c r="A42" i="93"/>
  <c r="A41" i="93"/>
  <c r="A40" i="93"/>
  <c r="A39" i="93"/>
  <c r="A38" i="93"/>
  <c r="A37" i="93"/>
  <c r="A36" i="93"/>
  <c r="A35" i="93"/>
  <c r="A34" i="93"/>
  <c r="A33" i="93"/>
  <c r="A32" i="93"/>
  <c r="A31" i="93"/>
  <c r="A30" i="93"/>
  <c r="A29" i="93"/>
  <c r="A28" i="93"/>
  <c r="A27" i="93"/>
  <c r="A26" i="93"/>
  <c r="A25" i="93"/>
  <c r="A24" i="93"/>
  <c r="A23" i="93"/>
  <c r="A22" i="93"/>
  <c r="A21" i="93"/>
  <c r="A20" i="93"/>
  <c r="A19" i="93"/>
  <c r="A18" i="93"/>
  <c r="A17" i="93"/>
  <c r="A16" i="93"/>
  <c r="A15" i="93"/>
  <c r="A14" i="93"/>
  <c r="A13" i="93"/>
  <c r="A12" i="93"/>
  <c r="A11" i="93"/>
  <c r="A10" i="93"/>
  <c r="A9" i="93"/>
  <c r="A8" i="93"/>
  <c r="A7" i="93"/>
  <c r="A6" i="93"/>
  <c r="A5" i="93"/>
  <c r="A4" i="93"/>
  <c r="A3" i="93"/>
  <c r="B2" i="93"/>
  <c r="A2" i="93"/>
  <c r="G1" i="93"/>
  <c r="D1" i="93"/>
  <c r="C1" i="93"/>
  <c r="B1" i="93"/>
  <c r="A1" i="93"/>
  <c r="F1" i="92"/>
  <c r="E1" i="92"/>
  <c r="A48" i="92"/>
  <c r="A47" i="92"/>
  <c r="A46" i="92"/>
  <c r="A45" i="92"/>
  <c r="A44" i="92"/>
  <c r="A43" i="92"/>
  <c r="A42" i="92"/>
  <c r="A41" i="92"/>
  <c r="A40" i="92"/>
  <c r="A39" i="92"/>
  <c r="A38" i="92"/>
  <c r="A37" i="92"/>
  <c r="A36" i="92"/>
  <c r="A35" i="92"/>
  <c r="A34" i="92"/>
  <c r="A33" i="92"/>
  <c r="A32" i="92"/>
  <c r="A31" i="92"/>
  <c r="A30" i="92"/>
  <c r="A29" i="92"/>
  <c r="A28" i="92"/>
  <c r="A27" i="92"/>
  <c r="A26" i="92"/>
  <c r="A25" i="92"/>
  <c r="A24" i="92"/>
  <c r="A23" i="92"/>
  <c r="A22" i="92"/>
  <c r="A21" i="92"/>
  <c r="A20" i="92"/>
  <c r="A19" i="92"/>
  <c r="A18" i="92"/>
  <c r="A17" i="92"/>
  <c r="A16" i="92"/>
  <c r="A15" i="92"/>
  <c r="A14" i="92"/>
  <c r="A13" i="92"/>
  <c r="A12" i="92"/>
  <c r="A11" i="92"/>
  <c r="A10" i="92"/>
  <c r="A9" i="92"/>
  <c r="A8" i="92"/>
  <c r="A7" i="92"/>
  <c r="A6" i="92"/>
  <c r="A5" i="92"/>
  <c r="A4" i="92"/>
  <c r="A3" i="92"/>
  <c r="B2" i="92"/>
  <c r="A2" i="92"/>
  <c r="G1" i="92"/>
  <c r="D1" i="92"/>
  <c r="C1" i="92"/>
  <c r="B1" i="92"/>
  <c r="A1" i="92"/>
  <c r="F1" i="91"/>
  <c r="E1" i="91"/>
  <c r="A48" i="91"/>
  <c r="A47" i="91"/>
  <c r="A46" i="91"/>
  <c r="A45" i="91"/>
  <c r="A44" i="91"/>
  <c r="A43" i="91"/>
  <c r="A42" i="91"/>
  <c r="A41" i="91"/>
  <c r="A40" i="91"/>
  <c r="A39" i="91"/>
  <c r="A38" i="91"/>
  <c r="A37" i="91"/>
  <c r="A36" i="91"/>
  <c r="A35" i="91"/>
  <c r="A34" i="91"/>
  <c r="A33" i="91"/>
  <c r="A32" i="91"/>
  <c r="A31" i="91"/>
  <c r="A30" i="91"/>
  <c r="A29" i="91"/>
  <c r="A28" i="91"/>
  <c r="A27" i="91"/>
  <c r="A26" i="91"/>
  <c r="A25" i="91"/>
  <c r="A24" i="91"/>
  <c r="A23" i="91"/>
  <c r="A22" i="91"/>
  <c r="A21" i="91"/>
  <c r="A20" i="91"/>
  <c r="A19" i="91"/>
  <c r="A18" i="91"/>
  <c r="A17" i="91"/>
  <c r="A16" i="91"/>
  <c r="A15" i="91"/>
  <c r="A14" i="91"/>
  <c r="A13" i="91"/>
  <c r="A12" i="91"/>
  <c r="A11" i="91"/>
  <c r="A10" i="91"/>
  <c r="A9" i="91"/>
  <c r="A8" i="91"/>
  <c r="A7" i="91"/>
  <c r="A6" i="91"/>
  <c r="A5" i="91"/>
  <c r="A4" i="91"/>
  <c r="A3" i="91"/>
  <c r="B2" i="91"/>
  <c r="A2" i="91"/>
  <c r="G1" i="91"/>
  <c r="D1" i="91"/>
  <c r="C1" i="91"/>
  <c r="B1" i="91"/>
  <c r="A1" i="91"/>
  <c r="F1" i="90"/>
  <c r="E1" i="90"/>
  <c r="A48" i="90"/>
  <c r="A47" i="90"/>
  <c r="A46" i="90"/>
  <c r="A45" i="90"/>
  <c r="A44" i="90"/>
  <c r="A43" i="90"/>
  <c r="A42" i="90"/>
  <c r="A41" i="90"/>
  <c r="A40" i="90"/>
  <c r="A39" i="90"/>
  <c r="A38" i="90"/>
  <c r="A37" i="90"/>
  <c r="A36" i="90"/>
  <c r="A35" i="90"/>
  <c r="A34" i="90"/>
  <c r="A33" i="90"/>
  <c r="A32" i="90"/>
  <c r="A31" i="90"/>
  <c r="A30" i="90"/>
  <c r="A29" i="90"/>
  <c r="A28" i="90"/>
  <c r="A27" i="90"/>
  <c r="A26" i="90"/>
  <c r="A25" i="90"/>
  <c r="A24" i="90"/>
  <c r="A23" i="90"/>
  <c r="A22" i="90"/>
  <c r="A21" i="90"/>
  <c r="A20" i="90"/>
  <c r="A19" i="90"/>
  <c r="A18" i="90"/>
  <c r="A17" i="90"/>
  <c r="A16" i="90"/>
  <c r="A15" i="90"/>
  <c r="A14" i="90"/>
  <c r="A13" i="90"/>
  <c r="A12" i="90"/>
  <c r="A11" i="90"/>
  <c r="A10" i="90"/>
  <c r="A9" i="90"/>
  <c r="A8" i="90"/>
  <c r="A7" i="90"/>
  <c r="A6" i="90"/>
  <c r="A5" i="90"/>
  <c r="A4" i="90"/>
  <c r="A3" i="90"/>
  <c r="B2" i="90"/>
  <c r="A2" i="90"/>
  <c r="G1" i="90"/>
  <c r="D1" i="90"/>
  <c r="C1" i="90"/>
  <c r="B1" i="90"/>
  <c r="A1" i="90"/>
  <c r="G1" i="89" l="1"/>
  <c r="F1" i="89"/>
  <c r="E1" i="89"/>
  <c r="D1" i="89"/>
  <c r="C1" i="89"/>
  <c r="B2" i="89"/>
  <c r="B1" i="89"/>
  <c r="A3" i="89"/>
  <c r="A4" i="89"/>
  <c r="A5" i="89"/>
  <c r="A6" i="89"/>
  <c r="A7" i="89"/>
  <c r="A8" i="89"/>
  <c r="A9" i="89"/>
  <c r="A10" i="89"/>
  <c r="A11" i="89"/>
  <c r="A12" i="89"/>
  <c r="A13" i="89"/>
  <c r="A14" i="89"/>
  <c r="A15" i="89"/>
  <c r="A16" i="89"/>
  <c r="A17" i="89"/>
  <c r="A18" i="89"/>
  <c r="A19" i="89"/>
  <c r="A20" i="89"/>
  <c r="A21" i="89"/>
  <c r="A22" i="89"/>
  <c r="A23" i="89"/>
  <c r="A24" i="89"/>
  <c r="A25" i="89"/>
  <c r="A26" i="89"/>
  <c r="A27" i="89"/>
  <c r="A28" i="89"/>
  <c r="A29" i="89"/>
  <c r="A30" i="89"/>
  <c r="A31" i="89"/>
  <c r="A32" i="89"/>
  <c r="A33" i="89"/>
  <c r="A34" i="89"/>
  <c r="A35" i="89"/>
  <c r="A36" i="89"/>
  <c r="A37" i="89"/>
  <c r="A38" i="89"/>
  <c r="A39" i="89"/>
  <c r="A40" i="89"/>
  <c r="A41" i="89"/>
  <c r="A42" i="89"/>
  <c r="A43" i="89"/>
  <c r="A44" i="89"/>
  <c r="A45" i="89"/>
  <c r="A46" i="89"/>
  <c r="A47" i="89"/>
  <c r="A48" i="89"/>
  <c r="A2" i="89"/>
  <c r="A1" i="89"/>
  <c r="A2" i="42"/>
  <c r="A3" i="42"/>
  <c r="A4" i="42"/>
  <c r="A5" i="42"/>
  <c r="A6" i="42"/>
  <c r="A7" i="42"/>
  <c r="A8" i="42"/>
  <c r="A9" i="42"/>
  <c r="A10" i="42"/>
  <c r="A11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25" i="42"/>
  <c r="A26" i="42"/>
  <c r="A27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B1" i="42"/>
  <c r="A1" i="42"/>
  <c r="B3" i="42"/>
  <c r="B4" i="42"/>
  <c r="B7" i="42"/>
  <c r="B8" i="42"/>
  <c r="B9" i="42"/>
  <c r="B10" i="42"/>
  <c r="B11" i="42"/>
  <c r="B12" i="42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38" i="42"/>
  <c r="B39" i="42"/>
  <c r="B40" i="42"/>
  <c r="B41" i="42"/>
  <c r="B42" i="42"/>
  <c r="B43" i="42"/>
  <c r="B44" i="42"/>
  <c r="B45" i="42"/>
  <c r="B46" i="42"/>
  <c r="B47" i="42"/>
  <c r="B48" i="42"/>
  <c r="B2" i="42"/>
  <c r="B6" i="42" l="1"/>
  <c r="B5" i="42"/>
  <c r="E22" i="42" l="1"/>
  <c r="E20" i="42"/>
  <c r="E23" i="42"/>
  <c r="E21" i="42"/>
  <c r="E24" i="42"/>
  <c r="G44" i="89" l="1"/>
  <c r="G44" i="109"/>
  <c r="G44" i="110"/>
  <c r="G44" i="108"/>
  <c r="G44" i="107"/>
  <c r="G44" i="105"/>
  <c r="G44" i="103"/>
  <c r="G44" i="101"/>
  <c r="G44" i="99"/>
  <c r="G44" i="97"/>
  <c r="G44" i="106"/>
  <c r="G44" i="102"/>
  <c r="G44" i="104"/>
  <c r="G44" i="100"/>
  <c r="G44" i="98"/>
  <c r="G44" i="96"/>
  <c r="G44" i="94"/>
  <c r="G44" i="95"/>
  <c r="G44" i="93"/>
  <c r="G44" i="91"/>
  <c r="G44" i="90"/>
  <c r="G44" i="92"/>
  <c r="G24" i="89"/>
  <c r="G24" i="109"/>
  <c r="G24" i="108"/>
  <c r="G24" i="105"/>
  <c r="G24" i="103"/>
  <c r="G24" i="101"/>
  <c r="G24" i="99"/>
  <c r="G24" i="97"/>
  <c r="G24" i="106"/>
  <c r="G24" i="102"/>
  <c r="G24" i="104"/>
  <c r="G24" i="100"/>
  <c r="G24" i="98"/>
  <c r="G24" i="96"/>
  <c r="G24" i="94"/>
  <c r="G24" i="95"/>
  <c r="G24" i="93"/>
  <c r="G24" i="91"/>
  <c r="G24" i="107"/>
  <c r="G24" i="90"/>
  <c r="G24" i="110"/>
  <c r="G24" i="92"/>
  <c r="G8" i="89"/>
  <c r="G8" i="108"/>
  <c r="G8" i="109"/>
  <c r="G8" i="110"/>
  <c r="G8" i="105"/>
  <c r="G8" i="103"/>
  <c r="G8" i="101"/>
  <c r="G8" i="99"/>
  <c r="G8" i="106"/>
  <c r="G8" i="102"/>
  <c r="G8" i="104"/>
  <c r="G8" i="100"/>
  <c r="G8" i="98"/>
  <c r="G8" i="96"/>
  <c r="G8" i="94"/>
  <c r="G8" i="95"/>
  <c r="G8" i="91"/>
  <c r="G8" i="92"/>
  <c r="G8" i="107"/>
  <c r="G8" i="97"/>
  <c r="G8" i="93"/>
  <c r="G8" i="90"/>
  <c r="G27" i="89"/>
  <c r="G27" i="110"/>
  <c r="G27" i="108"/>
  <c r="G27" i="109"/>
  <c r="G27" i="106"/>
  <c r="G27" i="107"/>
  <c r="G27" i="105"/>
  <c r="G27" i="102"/>
  <c r="G27" i="104"/>
  <c r="G27" i="95"/>
  <c r="G27" i="93"/>
  <c r="G27" i="103"/>
  <c r="G27" i="101"/>
  <c r="G27" i="100"/>
  <c r="G27" i="99"/>
  <c r="G27" i="98"/>
  <c r="G27" i="97"/>
  <c r="G27" i="96"/>
  <c r="G27" i="94"/>
  <c r="G27" i="92"/>
  <c r="G27" i="91"/>
  <c r="G27" i="90"/>
  <c r="G29" i="89"/>
  <c r="G29" i="110"/>
  <c r="G29" i="109"/>
  <c r="G29" i="108"/>
  <c r="G29" i="105"/>
  <c r="G29" i="107"/>
  <c r="G29" i="106"/>
  <c r="G29" i="96"/>
  <c r="G29" i="94"/>
  <c r="G29" i="92"/>
  <c r="G29" i="102"/>
  <c r="G29" i="101"/>
  <c r="G29" i="100"/>
  <c r="G29" i="99"/>
  <c r="G29" i="98"/>
  <c r="G29" i="97"/>
  <c r="G29" i="104"/>
  <c r="G29" i="103"/>
  <c r="G29" i="91"/>
  <c r="G29" i="95"/>
  <c r="G29" i="93"/>
  <c r="G29" i="90"/>
  <c r="G5" i="89"/>
  <c r="G5" i="110"/>
  <c r="G5" i="109"/>
  <c r="G5" i="108"/>
  <c r="G5" i="105"/>
  <c r="G5" i="107"/>
  <c r="G5" i="106"/>
  <c r="G5" i="97"/>
  <c r="G5" i="96"/>
  <c r="G5" i="94"/>
  <c r="G5" i="92"/>
  <c r="G5" i="102"/>
  <c r="G5" i="101"/>
  <c r="G5" i="100"/>
  <c r="G5" i="99"/>
  <c r="G5" i="98"/>
  <c r="G5" i="104"/>
  <c r="G5" i="93"/>
  <c r="G5" i="103"/>
  <c r="G5" i="95"/>
  <c r="G5" i="90"/>
  <c r="G5" i="91"/>
  <c r="G32" i="89"/>
  <c r="G32" i="109"/>
  <c r="G32" i="108"/>
  <c r="G32" i="110"/>
  <c r="G32" i="105"/>
  <c r="G32" i="103"/>
  <c r="G32" i="101"/>
  <c r="G32" i="99"/>
  <c r="G32" i="97"/>
  <c r="G32" i="106"/>
  <c r="G32" i="102"/>
  <c r="G32" i="104"/>
  <c r="G32" i="100"/>
  <c r="G32" i="98"/>
  <c r="G32" i="96"/>
  <c r="G32" i="94"/>
  <c r="G32" i="107"/>
  <c r="G32" i="95"/>
  <c r="G32" i="93"/>
  <c r="G32" i="91"/>
  <c r="G32" i="92"/>
  <c r="G32" i="90"/>
  <c r="G15" i="89"/>
  <c r="G15" i="110"/>
  <c r="G15" i="108"/>
  <c r="G15" i="109"/>
  <c r="G15" i="106"/>
  <c r="G15" i="107"/>
  <c r="G15" i="105"/>
  <c r="G15" i="102"/>
  <c r="G15" i="104"/>
  <c r="G15" i="95"/>
  <c r="G15" i="93"/>
  <c r="G15" i="103"/>
  <c r="G15" i="101"/>
  <c r="G15" i="100"/>
  <c r="G15" i="99"/>
  <c r="G15" i="98"/>
  <c r="G15" i="96"/>
  <c r="G15" i="94"/>
  <c r="G15" i="97"/>
  <c r="G15" i="92"/>
  <c r="G15" i="91"/>
  <c r="G15" i="90"/>
  <c r="G4" i="89"/>
  <c r="G4" i="108"/>
  <c r="G4" i="109"/>
  <c r="G4" i="110"/>
  <c r="G4" i="105"/>
  <c r="G4" i="103"/>
  <c r="G4" i="101"/>
  <c r="G4" i="99"/>
  <c r="G4" i="107"/>
  <c r="G4" i="106"/>
  <c r="G4" i="102"/>
  <c r="G4" i="104"/>
  <c r="G4" i="100"/>
  <c r="G4" i="98"/>
  <c r="G4" i="96"/>
  <c r="G4" i="94"/>
  <c r="G4" i="95"/>
  <c r="G4" i="91"/>
  <c r="G4" i="90"/>
  <c r="G4" i="92"/>
  <c r="G4" i="97"/>
  <c r="G4" i="93"/>
  <c r="G22" i="89"/>
  <c r="G22" i="110"/>
  <c r="G22" i="108"/>
  <c r="G22" i="107"/>
  <c r="G22" i="105"/>
  <c r="G22" i="104"/>
  <c r="G22" i="106"/>
  <c r="G22" i="102"/>
  <c r="G22" i="100"/>
  <c r="G22" i="98"/>
  <c r="G22" i="103"/>
  <c r="G22" i="109"/>
  <c r="G22" i="101"/>
  <c r="G22" i="99"/>
  <c r="G22" i="97"/>
  <c r="G22" i="95"/>
  <c r="G22" i="93"/>
  <c r="G22" i="90"/>
  <c r="G22" i="91"/>
  <c r="G22" i="92"/>
  <c r="G22" i="96"/>
  <c r="G22" i="94"/>
  <c r="G26" i="89"/>
  <c r="G26" i="110"/>
  <c r="G26" i="108"/>
  <c r="G26" i="107"/>
  <c r="G26" i="109"/>
  <c r="G26" i="105"/>
  <c r="G26" i="104"/>
  <c r="G26" i="106"/>
  <c r="G26" i="102"/>
  <c r="G26" i="100"/>
  <c r="G26" i="98"/>
  <c r="G26" i="103"/>
  <c r="G26" i="101"/>
  <c r="G26" i="99"/>
  <c r="G26" i="97"/>
  <c r="G26" i="95"/>
  <c r="G26" i="93"/>
  <c r="G26" i="90"/>
  <c r="G26" i="96"/>
  <c r="G26" i="92"/>
  <c r="G26" i="91"/>
  <c r="G26" i="94"/>
  <c r="G48" i="89"/>
  <c r="G48" i="108"/>
  <c r="G48" i="107"/>
  <c r="G48" i="110"/>
  <c r="G48" i="109"/>
  <c r="G48" i="105"/>
  <c r="G48" i="103"/>
  <c r="G48" i="101"/>
  <c r="G48" i="99"/>
  <c r="G48" i="97"/>
  <c r="G48" i="106"/>
  <c r="G48" i="102"/>
  <c r="G48" i="104"/>
  <c r="G48" i="100"/>
  <c r="G48" i="98"/>
  <c r="G48" i="96"/>
  <c r="G48" i="94"/>
  <c r="G48" i="95"/>
  <c r="G48" i="93"/>
  <c r="G48" i="91"/>
  <c r="G48" i="90"/>
  <c r="G48" i="92"/>
  <c r="G39" i="89"/>
  <c r="G39" i="110"/>
  <c r="G39" i="108"/>
  <c r="G39" i="109"/>
  <c r="G39" i="106"/>
  <c r="G39" i="104"/>
  <c r="G39" i="107"/>
  <c r="G39" i="105"/>
  <c r="G39" i="95"/>
  <c r="G39" i="93"/>
  <c r="G39" i="103"/>
  <c r="G39" i="101"/>
  <c r="G39" i="100"/>
  <c r="G39" i="99"/>
  <c r="G39" i="98"/>
  <c r="G39" i="97"/>
  <c r="G39" i="96"/>
  <c r="G39" i="94"/>
  <c r="G39" i="92"/>
  <c r="G39" i="91"/>
  <c r="G39" i="102"/>
  <c r="G39" i="90"/>
  <c r="G31" i="89"/>
  <c r="G31" i="110"/>
  <c r="G31" i="108"/>
  <c r="G31" i="109"/>
  <c r="G31" i="106"/>
  <c r="G31" i="104"/>
  <c r="G31" i="107"/>
  <c r="G31" i="105"/>
  <c r="G31" i="102"/>
  <c r="G31" i="95"/>
  <c r="G31" i="93"/>
  <c r="G31" i="103"/>
  <c r="G31" i="101"/>
  <c r="G31" i="100"/>
  <c r="G31" i="99"/>
  <c r="G31" i="98"/>
  <c r="G31" i="97"/>
  <c r="G31" i="96"/>
  <c r="G31" i="94"/>
  <c r="G31" i="92"/>
  <c r="G31" i="91"/>
  <c r="G31" i="90"/>
  <c r="G20" i="89"/>
  <c r="G20" i="109"/>
  <c r="G20" i="110"/>
  <c r="G20" i="108"/>
  <c r="G20" i="105"/>
  <c r="G20" i="103"/>
  <c r="G20" i="101"/>
  <c r="G20" i="99"/>
  <c r="G20" i="97"/>
  <c r="G20" i="107"/>
  <c r="G20" i="106"/>
  <c r="G20" i="102"/>
  <c r="G20" i="104"/>
  <c r="G20" i="100"/>
  <c r="G20" i="98"/>
  <c r="G20" i="96"/>
  <c r="G20" i="94"/>
  <c r="G20" i="95"/>
  <c r="G20" i="93"/>
  <c r="G20" i="91"/>
  <c r="G20" i="92"/>
  <c r="G20" i="90"/>
  <c r="G12" i="89"/>
  <c r="G12" i="108"/>
  <c r="G12" i="109"/>
  <c r="G12" i="110"/>
  <c r="G12" i="105"/>
  <c r="G12" i="103"/>
  <c r="G12" i="101"/>
  <c r="G12" i="99"/>
  <c r="G12" i="107"/>
  <c r="G12" i="106"/>
  <c r="G12" i="102"/>
  <c r="G12" i="104"/>
  <c r="G12" i="100"/>
  <c r="G12" i="98"/>
  <c r="G12" i="96"/>
  <c r="G12" i="94"/>
  <c r="G12" i="95"/>
  <c r="G12" i="91"/>
  <c r="G12" i="92"/>
  <c r="G12" i="97"/>
  <c r="G12" i="93"/>
  <c r="G12" i="90"/>
  <c r="G3" i="89"/>
  <c r="G3" i="110"/>
  <c r="G3" i="108"/>
  <c r="G3" i="109"/>
  <c r="G3" i="106"/>
  <c r="G3" i="107"/>
  <c r="G3" i="105"/>
  <c r="G3" i="102"/>
  <c r="G3" i="104"/>
  <c r="G3" i="95"/>
  <c r="G3" i="93"/>
  <c r="G3" i="103"/>
  <c r="G3" i="101"/>
  <c r="G3" i="100"/>
  <c r="G3" i="99"/>
  <c r="G3" i="98"/>
  <c r="G3" i="96"/>
  <c r="G3" i="94"/>
  <c r="G3" i="97"/>
  <c r="G3" i="92"/>
  <c r="G3" i="91"/>
  <c r="G3" i="90"/>
  <c r="G38" i="89"/>
  <c r="G38" i="110"/>
  <c r="G38" i="108"/>
  <c r="G38" i="107"/>
  <c r="G38" i="105"/>
  <c r="G38" i="102"/>
  <c r="G38" i="106"/>
  <c r="G38" i="100"/>
  <c r="G38" i="98"/>
  <c r="G38" i="96"/>
  <c r="G38" i="103"/>
  <c r="G38" i="101"/>
  <c r="G38" i="99"/>
  <c r="G38" i="97"/>
  <c r="G38" i="95"/>
  <c r="G38" i="93"/>
  <c r="G38" i="109"/>
  <c r="G38" i="90"/>
  <c r="G38" i="104"/>
  <c r="G38" i="91"/>
  <c r="G38" i="92"/>
  <c r="G38" i="94"/>
  <c r="G14" i="89"/>
  <c r="G14" i="110"/>
  <c r="G14" i="108"/>
  <c r="G14" i="107"/>
  <c r="G14" i="105"/>
  <c r="G14" i="104"/>
  <c r="G14" i="109"/>
  <c r="G14" i="106"/>
  <c r="G14" i="102"/>
  <c r="G14" i="100"/>
  <c r="G14" i="98"/>
  <c r="G14" i="103"/>
  <c r="G14" i="101"/>
  <c r="G14" i="99"/>
  <c r="G14" i="95"/>
  <c r="G14" i="97"/>
  <c r="G14" i="90"/>
  <c r="G14" i="94"/>
  <c r="G14" i="92"/>
  <c r="G14" i="93"/>
  <c r="G14" i="91"/>
  <c r="G14" i="96"/>
  <c r="G45" i="89"/>
  <c r="G45" i="110"/>
  <c r="G45" i="109"/>
  <c r="G45" i="108"/>
  <c r="G45" i="105"/>
  <c r="G45" i="107"/>
  <c r="G45" i="106"/>
  <c r="G45" i="94"/>
  <c r="G45" i="92"/>
  <c r="G45" i="102"/>
  <c r="G45" i="101"/>
  <c r="G45" i="100"/>
  <c r="G45" i="99"/>
  <c r="G45" i="98"/>
  <c r="G45" i="97"/>
  <c r="G45" i="96"/>
  <c r="G45" i="104"/>
  <c r="G45" i="103"/>
  <c r="G45" i="91"/>
  <c r="G45" i="95"/>
  <c r="G45" i="93"/>
  <c r="G45" i="90"/>
  <c r="G34" i="89"/>
  <c r="G34" i="110"/>
  <c r="G34" i="108"/>
  <c r="G34" i="107"/>
  <c r="G34" i="109"/>
  <c r="G34" i="105"/>
  <c r="G34" i="106"/>
  <c r="G34" i="102"/>
  <c r="G34" i="100"/>
  <c r="G34" i="98"/>
  <c r="G34" i="96"/>
  <c r="G34" i="103"/>
  <c r="G34" i="101"/>
  <c r="G34" i="99"/>
  <c r="G34" i="97"/>
  <c r="G34" i="95"/>
  <c r="G34" i="93"/>
  <c r="G34" i="90"/>
  <c r="G34" i="91"/>
  <c r="G34" i="92"/>
  <c r="G34" i="104"/>
  <c r="G34" i="94"/>
  <c r="G25" i="89"/>
  <c r="G25" i="110"/>
  <c r="G25" i="109"/>
  <c r="G25" i="108"/>
  <c r="G25" i="105"/>
  <c r="G25" i="107"/>
  <c r="G25" i="106"/>
  <c r="G25" i="96"/>
  <c r="G25" i="94"/>
  <c r="G25" i="92"/>
  <c r="G25" i="102"/>
  <c r="G25" i="101"/>
  <c r="G25" i="100"/>
  <c r="G25" i="99"/>
  <c r="G25" i="98"/>
  <c r="G25" i="97"/>
  <c r="G25" i="104"/>
  <c r="G25" i="91"/>
  <c r="G25" i="95"/>
  <c r="G25" i="93"/>
  <c r="G25" i="90"/>
  <c r="G25" i="103"/>
  <c r="G13" i="89"/>
  <c r="G13" i="110"/>
  <c r="G13" i="109"/>
  <c r="G13" i="108"/>
  <c r="G13" i="105"/>
  <c r="G13" i="107"/>
  <c r="G13" i="106"/>
  <c r="G13" i="97"/>
  <c r="G13" i="96"/>
  <c r="G13" i="94"/>
  <c r="G13" i="92"/>
  <c r="G13" i="102"/>
  <c r="G13" i="101"/>
  <c r="G13" i="100"/>
  <c r="G13" i="99"/>
  <c r="G13" i="98"/>
  <c r="G13" i="104"/>
  <c r="G13" i="93"/>
  <c r="G13" i="103"/>
  <c r="G13" i="95"/>
  <c r="G13" i="90"/>
  <c r="G13" i="91"/>
  <c r="G35" i="89"/>
  <c r="G35" i="110"/>
  <c r="G35" i="108"/>
  <c r="G35" i="109"/>
  <c r="G35" i="106"/>
  <c r="G35" i="104"/>
  <c r="G35" i="107"/>
  <c r="G35" i="105"/>
  <c r="G35" i="102"/>
  <c r="G35" i="95"/>
  <c r="G35" i="93"/>
  <c r="G35" i="103"/>
  <c r="G35" i="101"/>
  <c r="G35" i="100"/>
  <c r="G35" i="99"/>
  <c r="G35" i="98"/>
  <c r="G35" i="97"/>
  <c r="G35" i="96"/>
  <c r="G35" i="94"/>
  <c r="G35" i="92"/>
  <c r="G35" i="91"/>
  <c r="G35" i="90"/>
  <c r="G16" i="89"/>
  <c r="G16" i="108"/>
  <c r="G16" i="109"/>
  <c r="G16" i="110"/>
  <c r="G16" i="105"/>
  <c r="G16" i="103"/>
  <c r="G16" i="101"/>
  <c r="G16" i="99"/>
  <c r="G16" i="106"/>
  <c r="G16" i="102"/>
  <c r="G16" i="104"/>
  <c r="G16" i="100"/>
  <c r="G16" i="98"/>
  <c r="G16" i="96"/>
  <c r="G16" i="94"/>
  <c r="G16" i="107"/>
  <c r="G16" i="95"/>
  <c r="G16" i="93"/>
  <c r="G16" i="91"/>
  <c r="G16" i="92"/>
  <c r="G16" i="97"/>
  <c r="G16" i="90"/>
  <c r="G46" i="89"/>
  <c r="G46" i="110"/>
  <c r="G46" i="109"/>
  <c r="G46" i="108"/>
  <c r="G46" i="107"/>
  <c r="G46" i="105"/>
  <c r="G46" i="102"/>
  <c r="G46" i="106"/>
  <c r="G46" i="100"/>
  <c r="G46" i="98"/>
  <c r="G46" i="96"/>
  <c r="G46" i="103"/>
  <c r="G46" i="101"/>
  <c r="G46" i="99"/>
  <c r="G46" i="97"/>
  <c r="G46" i="95"/>
  <c r="G46" i="93"/>
  <c r="G46" i="90"/>
  <c r="G46" i="104"/>
  <c r="G46" i="91"/>
  <c r="G46" i="92"/>
  <c r="G46" i="94"/>
  <c r="G7" i="89"/>
  <c r="G7" i="110"/>
  <c r="G7" i="108"/>
  <c r="G7" i="109"/>
  <c r="G7" i="106"/>
  <c r="G7" i="107"/>
  <c r="G7" i="105"/>
  <c r="G7" i="102"/>
  <c r="G7" i="104"/>
  <c r="G7" i="95"/>
  <c r="G7" i="93"/>
  <c r="G7" i="103"/>
  <c r="G7" i="101"/>
  <c r="G7" i="100"/>
  <c r="G7" i="99"/>
  <c r="G7" i="98"/>
  <c r="G7" i="96"/>
  <c r="G7" i="94"/>
  <c r="G7" i="97"/>
  <c r="G7" i="92"/>
  <c r="G7" i="91"/>
  <c r="G7" i="90"/>
  <c r="G41" i="89"/>
  <c r="G41" i="110"/>
  <c r="G41" i="109"/>
  <c r="G41" i="108"/>
  <c r="G41" i="105"/>
  <c r="G41" i="107"/>
  <c r="G41" i="106"/>
  <c r="G41" i="94"/>
  <c r="G41" i="92"/>
  <c r="G41" i="102"/>
  <c r="G41" i="101"/>
  <c r="G41" i="100"/>
  <c r="G41" i="99"/>
  <c r="G41" i="98"/>
  <c r="G41" i="97"/>
  <c r="G41" i="96"/>
  <c r="G41" i="104"/>
  <c r="G41" i="91"/>
  <c r="G41" i="95"/>
  <c r="G41" i="93"/>
  <c r="G41" i="90"/>
  <c r="G41" i="103"/>
  <c r="G18" i="89"/>
  <c r="G18" i="110"/>
  <c r="G18" i="108"/>
  <c r="G18" i="107"/>
  <c r="G18" i="109"/>
  <c r="G18" i="105"/>
  <c r="G18" i="104"/>
  <c r="G18" i="106"/>
  <c r="G18" i="102"/>
  <c r="G18" i="100"/>
  <c r="G18" i="98"/>
  <c r="G18" i="103"/>
  <c r="G18" i="101"/>
  <c r="G18" i="99"/>
  <c r="G18" i="97"/>
  <c r="G18" i="95"/>
  <c r="G18" i="93"/>
  <c r="G18" i="90"/>
  <c r="G18" i="91"/>
  <c r="G18" i="96"/>
  <c r="G18" i="94"/>
  <c r="G18" i="92"/>
  <c r="G40" i="89"/>
  <c r="G40" i="109"/>
  <c r="G40" i="108"/>
  <c r="G40" i="107"/>
  <c r="G40" i="110"/>
  <c r="G40" i="105"/>
  <c r="G40" i="103"/>
  <c r="G40" i="101"/>
  <c r="G40" i="99"/>
  <c r="G40" i="97"/>
  <c r="G40" i="106"/>
  <c r="G40" i="102"/>
  <c r="G40" i="104"/>
  <c r="G40" i="100"/>
  <c r="G40" i="98"/>
  <c r="G40" i="96"/>
  <c r="G40" i="94"/>
  <c r="G40" i="95"/>
  <c r="G40" i="93"/>
  <c r="G40" i="91"/>
  <c r="G40" i="90"/>
  <c r="G40" i="92"/>
  <c r="G23" i="89"/>
  <c r="G23" i="110"/>
  <c r="G23" i="108"/>
  <c r="G23" i="109"/>
  <c r="G23" i="106"/>
  <c r="G23" i="107"/>
  <c r="G23" i="105"/>
  <c r="G23" i="102"/>
  <c r="G23" i="104"/>
  <c r="G23" i="95"/>
  <c r="G23" i="93"/>
  <c r="G23" i="103"/>
  <c r="G23" i="101"/>
  <c r="G23" i="100"/>
  <c r="G23" i="99"/>
  <c r="G23" i="98"/>
  <c r="G23" i="97"/>
  <c r="G23" i="96"/>
  <c r="G23" i="94"/>
  <c r="G23" i="92"/>
  <c r="G23" i="91"/>
  <c r="G23" i="90"/>
  <c r="G43" i="89"/>
  <c r="G43" i="110"/>
  <c r="G43" i="108"/>
  <c r="G43" i="109"/>
  <c r="G43" i="106"/>
  <c r="G43" i="104"/>
  <c r="G43" i="107"/>
  <c r="G43" i="105"/>
  <c r="G43" i="95"/>
  <c r="G43" i="93"/>
  <c r="G43" i="103"/>
  <c r="G43" i="101"/>
  <c r="G43" i="100"/>
  <c r="G43" i="99"/>
  <c r="G43" i="98"/>
  <c r="G43" i="97"/>
  <c r="G43" i="96"/>
  <c r="G43" i="94"/>
  <c r="G43" i="102"/>
  <c r="G43" i="92"/>
  <c r="G43" i="91"/>
  <c r="G43" i="90"/>
  <c r="G37" i="89"/>
  <c r="G37" i="110"/>
  <c r="G37" i="109"/>
  <c r="G37" i="108"/>
  <c r="G37" i="105"/>
  <c r="G37" i="107"/>
  <c r="G37" i="106"/>
  <c r="G37" i="94"/>
  <c r="G37" i="92"/>
  <c r="G37" i="102"/>
  <c r="G37" i="101"/>
  <c r="G37" i="100"/>
  <c r="G37" i="99"/>
  <c r="G37" i="98"/>
  <c r="G37" i="97"/>
  <c r="G37" i="96"/>
  <c r="G37" i="104"/>
  <c r="G37" i="103"/>
  <c r="G37" i="91"/>
  <c r="G37" i="95"/>
  <c r="G37" i="93"/>
  <c r="G37" i="90"/>
  <c r="G17" i="89"/>
  <c r="G17" i="110"/>
  <c r="G17" i="109"/>
  <c r="G17" i="108"/>
  <c r="G17" i="105"/>
  <c r="G17" i="107"/>
  <c r="G17" i="106"/>
  <c r="G17" i="97"/>
  <c r="G17" i="96"/>
  <c r="G17" i="94"/>
  <c r="G17" i="92"/>
  <c r="G17" i="102"/>
  <c r="G17" i="101"/>
  <c r="G17" i="100"/>
  <c r="G17" i="99"/>
  <c r="G17" i="98"/>
  <c r="G17" i="104"/>
  <c r="G17" i="91"/>
  <c r="G17" i="95"/>
  <c r="G17" i="93"/>
  <c r="G17" i="90"/>
  <c r="G17" i="103"/>
  <c r="G47" i="89"/>
  <c r="G47" i="109"/>
  <c r="G47" i="110"/>
  <c r="G47" i="108"/>
  <c r="G47" i="106"/>
  <c r="G47" i="104"/>
  <c r="G47" i="107"/>
  <c r="G47" i="105"/>
  <c r="G47" i="95"/>
  <c r="G47" i="93"/>
  <c r="G47" i="103"/>
  <c r="G47" i="101"/>
  <c r="G47" i="100"/>
  <c r="G47" i="99"/>
  <c r="G47" i="98"/>
  <c r="G47" i="97"/>
  <c r="G47" i="96"/>
  <c r="G47" i="94"/>
  <c r="G47" i="92"/>
  <c r="G47" i="91"/>
  <c r="G47" i="102"/>
  <c r="G47" i="90"/>
  <c r="G36" i="89"/>
  <c r="G36" i="109"/>
  <c r="G36" i="110"/>
  <c r="G36" i="108"/>
  <c r="G36" i="107"/>
  <c r="G36" i="105"/>
  <c r="G36" i="103"/>
  <c r="G36" i="101"/>
  <c r="G36" i="99"/>
  <c r="G36" i="97"/>
  <c r="G36" i="106"/>
  <c r="G36" i="102"/>
  <c r="G36" i="104"/>
  <c r="G36" i="100"/>
  <c r="G36" i="98"/>
  <c r="G36" i="96"/>
  <c r="G36" i="94"/>
  <c r="G36" i="95"/>
  <c r="G36" i="93"/>
  <c r="G36" i="91"/>
  <c r="G36" i="92"/>
  <c r="G36" i="90"/>
  <c r="G28" i="89"/>
  <c r="G28" i="109"/>
  <c r="G28" i="110"/>
  <c r="G28" i="108"/>
  <c r="G28" i="105"/>
  <c r="G28" i="103"/>
  <c r="G28" i="101"/>
  <c r="G28" i="99"/>
  <c r="G28" i="97"/>
  <c r="G28" i="107"/>
  <c r="G28" i="106"/>
  <c r="G28" i="102"/>
  <c r="G28" i="104"/>
  <c r="G28" i="100"/>
  <c r="G28" i="98"/>
  <c r="G28" i="96"/>
  <c r="G28" i="94"/>
  <c r="G28" i="95"/>
  <c r="G28" i="93"/>
  <c r="G28" i="91"/>
  <c r="G28" i="90"/>
  <c r="G28" i="92"/>
  <c r="G19" i="89"/>
  <c r="G19" i="110"/>
  <c r="G19" i="108"/>
  <c r="G19" i="109"/>
  <c r="G19" i="106"/>
  <c r="G19" i="107"/>
  <c r="G19" i="105"/>
  <c r="G19" i="102"/>
  <c r="G19" i="104"/>
  <c r="G19" i="95"/>
  <c r="G19" i="93"/>
  <c r="G19" i="103"/>
  <c r="G19" i="101"/>
  <c r="G19" i="100"/>
  <c r="G19" i="99"/>
  <c r="G19" i="98"/>
  <c r="G19" i="97"/>
  <c r="G19" i="96"/>
  <c r="G19" i="94"/>
  <c r="G19" i="92"/>
  <c r="G19" i="91"/>
  <c r="G19" i="90"/>
  <c r="G9" i="89"/>
  <c r="G9" i="110"/>
  <c r="G9" i="109"/>
  <c r="G9" i="108"/>
  <c r="G9" i="105"/>
  <c r="G9" i="107"/>
  <c r="G9" i="106"/>
  <c r="G9" i="97"/>
  <c r="G9" i="96"/>
  <c r="G9" i="94"/>
  <c r="G9" i="92"/>
  <c r="G9" i="102"/>
  <c r="G9" i="101"/>
  <c r="G9" i="100"/>
  <c r="G9" i="99"/>
  <c r="G9" i="98"/>
  <c r="G9" i="104"/>
  <c r="G9" i="93"/>
  <c r="G9" i="95"/>
  <c r="G9" i="90"/>
  <c r="G9" i="103"/>
  <c r="G9" i="91"/>
  <c r="G30" i="89"/>
  <c r="G30" i="110"/>
  <c r="G30" i="108"/>
  <c r="G30" i="107"/>
  <c r="G30" i="105"/>
  <c r="G30" i="109"/>
  <c r="G30" i="106"/>
  <c r="G30" i="102"/>
  <c r="G30" i="100"/>
  <c r="G30" i="98"/>
  <c r="G30" i="103"/>
  <c r="G30" i="101"/>
  <c r="G30" i="99"/>
  <c r="G30" i="97"/>
  <c r="G30" i="95"/>
  <c r="G30" i="93"/>
  <c r="G30" i="90"/>
  <c r="G30" i="104"/>
  <c r="G30" i="91"/>
  <c r="G30" i="92"/>
  <c r="G30" i="96"/>
  <c r="G30" i="94"/>
  <c r="G11" i="89"/>
  <c r="G11" i="110"/>
  <c r="G11" i="108"/>
  <c r="G11" i="109"/>
  <c r="G11" i="106"/>
  <c r="G11" i="107"/>
  <c r="G11" i="105"/>
  <c r="G11" i="102"/>
  <c r="G11" i="104"/>
  <c r="G11" i="95"/>
  <c r="G11" i="93"/>
  <c r="G11" i="103"/>
  <c r="G11" i="101"/>
  <c r="G11" i="100"/>
  <c r="G11" i="99"/>
  <c r="G11" i="98"/>
  <c r="G11" i="96"/>
  <c r="G11" i="94"/>
  <c r="G11" i="97"/>
  <c r="G11" i="92"/>
  <c r="G11" i="91"/>
  <c r="G11" i="90"/>
  <c r="G42" i="89"/>
  <c r="G42" i="110"/>
  <c r="G42" i="108"/>
  <c r="G42" i="107"/>
  <c r="G42" i="109"/>
  <c r="G42" i="105"/>
  <c r="G42" i="102"/>
  <c r="G42" i="106"/>
  <c r="G42" i="100"/>
  <c r="G42" i="98"/>
  <c r="G42" i="96"/>
  <c r="G42" i="103"/>
  <c r="G42" i="101"/>
  <c r="G42" i="99"/>
  <c r="G42" i="97"/>
  <c r="G42" i="95"/>
  <c r="G42" i="93"/>
  <c r="G42" i="90"/>
  <c r="G42" i="91"/>
  <c r="G42" i="92"/>
  <c r="G42" i="104"/>
  <c r="G42" i="94"/>
  <c r="G33" i="89"/>
  <c r="G33" i="110"/>
  <c r="G33" i="109"/>
  <c r="G33" i="108"/>
  <c r="G33" i="105"/>
  <c r="G33" i="107"/>
  <c r="G33" i="106"/>
  <c r="G33" i="94"/>
  <c r="G33" i="92"/>
  <c r="G33" i="102"/>
  <c r="G33" i="101"/>
  <c r="G33" i="100"/>
  <c r="G33" i="99"/>
  <c r="G33" i="98"/>
  <c r="G33" i="97"/>
  <c r="G33" i="96"/>
  <c r="G33" i="104"/>
  <c r="G33" i="91"/>
  <c r="G33" i="95"/>
  <c r="G33" i="93"/>
  <c r="G33" i="90"/>
  <c r="G33" i="103"/>
  <c r="G21" i="89"/>
  <c r="G21" i="110"/>
  <c r="G21" i="109"/>
  <c r="G21" i="108"/>
  <c r="G21" i="105"/>
  <c r="G21" i="107"/>
  <c r="G21" i="106"/>
  <c r="G21" i="96"/>
  <c r="G21" i="94"/>
  <c r="G21" i="92"/>
  <c r="G21" i="102"/>
  <c r="G21" i="101"/>
  <c r="G21" i="100"/>
  <c r="G21" i="99"/>
  <c r="G21" i="98"/>
  <c r="G21" i="97"/>
  <c r="G21" i="104"/>
  <c r="G21" i="103"/>
  <c r="G21" i="91"/>
  <c r="G21" i="95"/>
  <c r="G21" i="93"/>
  <c r="G21" i="90"/>
  <c r="G10" i="89"/>
  <c r="G10" i="110"/>
  <c r="G10" i="108"/>
  <c r="G10" i="107"/>
  <c r="G10" i="109"/>
  <c r="G10" i="105"/>
  <c r="G10" i="104"/>
  <c r="G10" i="106"/>
  <c r="G10" i="102"/>
  <c r="G10" i="100"/>
  <c r="G10" i="98"/>
  <c r="G10" i="103"/>
  <c r="G10" i="101"/>
  <c r="G10" i="99"/>
  <c r="G10" i="95"/>
  <c r="G10" i="97"/>
  <c r="G10" i="90"/>
  <c r="G10" i="91"/>
  <c r="G10" i="96"/>
  <c r="G10" i="94"/>
  <c r="G10" i="92"/>
  <c r="G10" i="93"/>
  <c r="G2" i="89" l="1"/>
  <c r="G2" i="110"/>
  <c r="G2" i="108"/>
  <c r="G2" i="107"/>
  <c r="G2" i="109"/>
  <c r="G2" i="105"/>
  <c r="G2" i="104"/>
  <c r="G2" i="106"/>
  <c r="G2" i="102"/>
  <c r="G2" i="100"/>
  <c r="G2" i="98"/>
  <c r="G2" i="103"/>
  <c r="G2" i="101"/>
  <c r="G2" i="99"/>
  <c r="G2" i="95"/>
  <c r="G2" i="97"/>
  <c r="G2" i="90"/>
  <c r="G2" i="91"/>
  <c r="G2" i="92"/>
  <c r="G2" i="93"/>
  <c r="G2" i="96"/>
  <c r="G2" i="94"/>
  <c r="G6" i="89"/>
  <c r="G6" i="110"/>
  <c r="G6" i="108"/>
  <c r="G6" i="107"/>
  <c r="G6" i="105"/>
  <c r="G6" i="104"/>
  <c r="G6" i="106"/>
  <c r="G6" i="102"/>
  <c r="G6" i="100"/>
  <c r="G6" i="98"/>
  <c r="G6" i="103"/>
  <c r="G6" i="101"/>
  <c r="G6" i="99"/>
  <c r="G6" i="95"/>
  <c r="G6" i="97"/>
  <c r="G6" i="90"/>
  <c r="G6" i="109"/>
  <c r="G6" i="91"/>
  <c r="G6" i="96"/>
  <c r="G6" i="94"/>
  <c r="G6" i="92"/>
  <c r="G6" i="93"/>
  <c r="D10" i="110" l="1"/>
  <c r="D10" i="109"/>
  <c r="D10" i="105"/>
  <c r="D10" i="107"/>
  <c r="D10" i="97"/>
  <c r="D10" i="108"/>
  <c r="D10" i="96"/>
  <c r="D10" i="94"/>
  <c r="D10" i="92"/>
  <c r="D10" i="106"/>
  <c r="D10" i="103"/>
  <c r="D10" i="100"/>
  <c r="D10" i="98"/>
  <c r="D10" i="102"/>
  <c r="D10" i="93"/>
  <c r="D10" i="91"/>
  <c r="D10" i="90"/>
  <c r="D10" i="104"/>
  <c r="D10" i="101"/>
  <c r="D10" i="95"/>
  <c r="D10" i="99"/>
  <c r="C23" i="110"/>
  <c r="C23" i="109"/>
  <c r="C23" i="108"/>
  <c r="C23" i="105"/>
  <c r="C23" i="107"/>
  <c r="C23" i="103"/>
  <c r="C23" i="96"/>
  <c r="C23" i="94"/>
  <c r="C23" i="92"/>
  <c r="C23" i="104"/>
  <c r="C23" i="101"/>
  <c r="C23" i="100"/>
  <c r="C23" i="97"/>
  <c r="C23" i="95"/>
  <c r="C23" i="106"/>
  <c r="C23" i="99"/>
  <c r="C23" i="90"/>
  <c r="C23" i="102"/>
  <c r="C23" i="98"/>
  <c r="C23" i="93"/>
  <c r="C23" i="91"/>
  <c r="B32" i="110"/>
  <c r="B32" i="109"/>
  <c r="B32" i="105"/>
  <c r="B32" i="107"/>
  <c r="B32" i="106"/>
  <c r="B32" i="104"/>
  <c r="B32" i="103"/>
  <c r="B32" i="96"/>
  <c r="B32" i="94"/>
  <c r="B32" i="92"/>
  <c r="B32" i="102"/>
  <c r="B32" i="100"/>
  <c r="B32" i="99"/>
  <c r="B32" i="108"/>
  <c r="B32" i="91"/>
  <c r="B32" i="101"/>
  <c r="B32" i="98"/>
  <c r="B32" i="95"/>
  <c r="B32" i="93"/>
  <c r="B32" i="90"/>
  <c r="B32" i="97"/>
  <c r="B44" i="110"/>
  <c r="B44" i="109"/>
  <c r="B44" i="107"/>
  <c r="B44" i="105"/>
  <c r="B44" i="106"/>
  <c r="B44" i="108"/>
  <c r="B44" i="104"/>
  <c r="B44" i="103"/>
  <c r="B44" i="102"/>
  <c r="B44" i="94"/>
  <c r="B44" i="92"/>
  <c r="B44" i="100"/>
  <c r="B44" i="99"/>
  <c r="B44" i="96"/>
  <c r="B44" i="97"/>
  <c r="B44" i="91"/>
  <c r="B44" i="101"/>
  <c r="B44" i="98"/>
  <c r="B44" i="95"/>
  <c r="B44" i="93"/>
  <c r="B44" i="90"/>
  <c r="B10" i="110"/>
  <c r="B10" i="106"/>
  <c r="B10" i="108"/>
  <c r="B10" i="107"/>
  <c r="B10" i="105"/>
  <c r="B10" i="104"/>
  <c r="B10" i="103"/>
  <c r="B10" i="102"/>
  <c r="B10" i="97"/>
  <c r="B10" i="95"/>
  <c r="B10" i="93"/>
  <c r="B10" i="99"/>
  <c r="B10" i="96"/>
  <c r="B10" i="94"/>
  <c r="B10" i="101"/>
  <c r="B10" i="98"/>
  <c r="B10" i="109"/>
  <c r="B10" i="91"/>
  <c r="B10" i="100"/>
  <c r="B10" i="92"/>
  <c r="B10" i="90"/>
  <c r="D12" i="109"/>
  <c r="D12" i="110"/>
  <c r="D12" i="108"/>
  <c r="D12" i="106"/>
  <c r="D12" i="102"/>
  <c r="D12" i="105"/>
  <c r="D12" i="95"/>
  <c r="D12" i="93"/>
  <c r="D12" i="107"/>
  <c r="D12" i="101"/>
  <c r="D12" i="99"/>
  <c r="D12" i="98"/>
  <c r="D12" i="92"/>
  <c r="D12" i="104"/>
  <c r="D12" i="103"/>
  <c r="D12" i="96"/>
  <c r="D12" i="94"/>
  <c r="D12" i="91"/>
  <c r="D12" i="100"/>
  <c r="D12" i="97"/>
  <c r="D12" i="90"/>
  <c r="B22" i="110"/>
  <c r="B22" i="108"/>
  <c r="B22" i="106"/>
  <c r="B22" i="109"/>
  <c r="B22" i="107"/>
  <c r="B22" i="105"/>
  <c r="B22" i="104"/>
  <c r="B22" i="103"/>
  <c r="B22" i="102"/>
  <c r="B22" i="95"/>
  <c r="B22" i="93"/>
  <c r="B22" i="99"/>
  <c r="B22" i="96"/>
  <c r="B22" i="94"/>
  <c r="B22" i="101"/>
  <c r="B22" i="98"/>
  <c r="B22" i="92"/>
  <c r="B22" i="97"/>
  <c r="B22" i="91"/>
  <c r="B22" i="100"/>
  <c r="B22" i="90"/>
  <c r="C33" i="110"/>
  <c r="C33" i="108"/>
  <c r="C33" i="109"/>
  <c r="C33" i="106"/>
  <c r="C33" i="104"/>
  <c r="C33" i="107"/>
  <c r="C33" i="102"/>
  <c r="C33" i="103"/>
  <c r="C33" i="95"/>
  <c r="C33" i="93"/>
  <c r="C33" i="98"/>
  <c r="C33" i="92"/>
  <c r="C33" i="97"/>
  <c r="C33" i="96"/>
  <c r="C33" i="101"/>
  <c r="C33" i="100"/>
  <c r="C33" i="91"/>
  <c r="C33" i="99"/>
  <c r="C33" i="94"/>
  <c r="C33" i="105"/>
  <c r="C33" i="90"/>
  <c r="D44" i="108"/>
  <c r="D44" i="109"/>
  <c r="D44" i="110"/>
  <c r="D44" i="106"/>
  <c r="D44" i="104"/>
  <c r="D44" i="105"/>
  <c r="D44" i="107"/>
  <c r="D44" i="95"/>
  <c r="D44" i="93"/>
  <c r="D44" i="102"/>
  <c r="D44" i="101"/>
  <c r="D44" i="99"/>
  <c r="D44" i="97"/>
  <c r="D44" i="98"/>
  <c r="D44" i="92"/>
  <c r="D44" i="103"/>
  <c r="D44" i="96"/>
  <c r="D44" i="94"/>
  <c r="D44" i="91"/>
  <c r="D44" i="100"/>
  <c r="D44" i="90"/>
  <c r="B8" i="110"/>
  <c r="B8" i="109"/>
  <c r="B8" i="105"/>
  <c r="B8" i="108"/>
  <c r="B8" i="107"/>
  <c r="B8" i="106"/>
  <c r="B8" i="104"/>
  <c r="B8" i="103"/>
  <c r="B8" i="97"/>
  <c r="B8" i="96"/>
  <c r="B8" i="94"/>
  <c r="B8" i="92"/>
  <c r="B8" i="102"/>
  <c r="B8" i="100"/>
  <c r="B8" i="93"/>
  <c r="B8" i="91"/>
  <c r="B8" i="101"/>
  <c r="B8" i="98"/>
  <c r="B8" i="95"/>
  <c r="B8" i="90"/>
  <c r="B8" i="99"/>
  <c r="B19" i="110"/>
  <c r="B19" i="109"/>
  <c r="B19" i="108"/>
  <c r="B19" i="106"/>
  <c r="B19" i="103"/>
  <c r="B19" i="104"/>
  <c r="B19" i="107"/>
  <c r="B19" i="105"/>
  <c r="B19" i="101"/>
  <c r="B19" i="99"/>
  <c r="B19" i="97"/>
  <c r="B19" i="102"/>
  <c r="B19" i="96"/>
  <c r="B19" i="94"/>
  <c r="B19" i="98"/>
  <c r="B19" i="95"/>
  <c r="B19" i="93"/>
  <c r="B19" i="91"/>
  <c r="B19" i="90"/>
  <c r="B19" i="100"/>
  <c r="B19" i="92"/>
  <c r="C26" i="110"/>
  <c r="C26" i="109"/>
  <c r="C26" i="108"/>
  <c r="C26" i="107"/>
  <c r="C26" i="106"/>
  <c r="C26" i="103"/>
  <c r="C26" i="101"/>
  <c r="C26" i="99"/>
  <c r="C26" i="97"/>
  <c r="C26" i="104"/>
  <c r="C26" i="105"/>
  <c r="C26" i="96"/>
  <c r="C26" i="94"/>
  <c r="C26" i="91"/>
  <c r="C26" i="90"/>
  <c r="C26" i="93"/>
  <c r="C26" i="102"/>
  <c r="C26" i="100"/>
  <c r="C26" i="98"/>
  <c r="C26" i="92"/>
  <c r="C26" i="95"/>
  <c r="B35" i="110"/>
  <c r="B35" i="109"/>
  <c r="B35" i="107"/>
  <c r="B35" i="108"/>
  <c r="B35" i="106"/>
  <c r="B35" i="103"/>
  <c r="B35" i="104"/>
  <c r="B35" i="105"/>
  <c r="B35" i="101"/>
  <c r="B35" i="99"/>
  <c r="B35" i="97"/>
  <c r="B35" i="102"/>
  <c r="B35" i="94"/>
  <c r="B35" i="98"/>
  <c r="B35" i="95"/>
  <c r="B35" i="93"/>
  <c r="B35" i="91"/>
  <c r="B35" i="90"/>
  <c r="B35" i="100"/>
  <c r="B35" i="96"/>
  <c r="B35" i="92"/>
  <c r="D37" i="110"/>
  <c r="D37" i="109"/>
  <c r="D37" i="108"/>
  <c r="D37" i="107"/>
  <c r="D37" i="105"/>
  <c r="D37" i="103"/>
  <c r="D37" i="106"/>
  <c r="D37" i="101"/>
  <c r="D37" i="99"/>
  <c r="D37" i="97"/>
  <c r="D37" i="94"/>
  <c r="D37" i="100"/>
  <c r="D37" i="91"/>
  <c r="D37" i="95"/>
  <c r="D37" i="90"/>
  <c r="D37" i="102"/>
  <c r="D37" i="104"/>
  <c r="D37" i="98"/>
  <c r="D37" i="92"/>
  <c r="D37" i="96"/>
  <c r="D37" i="93"/>
  <c r="C42" i="110"/>
  <c r="C42" i="109"/>
  <c r="C42" i="107"/>
  <c r="C42" i="108"/>
  <c r="C42" i="106"/>
  <c r="C42" i="103"/>
  <c r="C42" i="104"/>
  <c r="C42" i="101"/>
  <c r="C42" i="99"/>
  <c r="C42" i="97"/>
  <c r="C42" i="105"/>
  <c r="C42" i="94"/>
  <c r="C42" i="91"/>
  <c r="C42" i="90"/>
  <c r="C42" i="93"/>
  <c r="C42" i="102"/>
  <c r="C42" i="100"/>
  <c r="C42" i="98"/>
  <c r="C42" i="92"/>
  <c r="C42" i="96"/>
  <c r="C42" i="95"/>
  <c r="C8" i="110"/>
  <c r="C8" i="109"/>
  <c r="C8" i="108"/>
  <c r="C8" i="107"/>
  <c r="C8" i="104"/>
  <c r="C8" i="106"/>
  <c r="C8" i="102"/>
  <c r="C8" i="100"/>
  <c r="C8" i="98"/>
  <c r="C8" i="97"/>
  <c r="C8" i="95"/>
  <c r="C8" i="101"/>
  <c r="C8" i="90"/>
  <c r="C8" i="103"/>
  <c r="C8" i="94"/>
  <c r="C8" i="91"/>
  <c r="C8" i="93"/>
  <c r="C8" i="105"/>
  <c r="C8" i="99"/>
  <c r="C8" i="96"/>
  <c r="C8" i="92"/>
  <c r="B20" i="110"/>
  <c r="B20" i="109"/>
  <c r="B20" i="105"/>
  <c r="B20" i="107"/>
  <c r="B20" i="106"/>
  <c r="B20" i="108"/>
  <c r="B20" i="104"/>
  <c r="B20" i="103"/>
  <c r="B20" i="96"/>
  <c r="B20" i="94"/>
  <c r="B20" i="92"/>
  <c r="B20" i="102"/>
  <c r="B20" i="100"/>
  <c r="B20" i="97"/>
  <c r="B20" i="101"/>
  <c r="B20" i="98"/>
  <c r="B20" i="95"/>
  <c r="B20" i="93"/>
  <c r="B20" i="90"/>
  <c r="B20" i="99"/>
  <c r="B20" i="91"/>
  <c r="C27" i="110"/>
  <c r="C27" i="109"/>
  <c r="C27" i="108"/>
  <c r="C27" i="105"/>
  <c r="C27" i="107"/>
  <c r="C27" i="103"/>
  <c r="C27" i="96"/>
  <c r="C27" i="94"/>
  <c r="C27" i="92"/>
  <c r="C27" i="104"/>
  <c r="C27" i="101"/>
  <c r="C27" i="102"/>
  <c r="C27" i="100"/>
  <c r="C27" i="106"/>
  <c r="C27" i="95"/>
  <c r="C27" i="91"/>
  <c r="C27" i="99"/>
  <c r="C27" i="90"/>
  <c r="C27" i="97"/>
  <c r="C27" i="98"/>
  <c r="C27" i="93"/>
  <c r="C39" i="110"/>
  <c r="C39" i="109"/>
  <c r="C39" i="108"/>
  <c r="C39" i="107"/>
  <c r="C39" i="105"/>
  <c r="C39" i="103"/>
  <c r="C39" i="102"/>
  <c r="C39" i="94"/>
  <c r="C39" i="92"/>
  <c r="C39" i="104"/>
  <c r="C39" i="101"/>
  <c r="C39" i="96"/>
  <c r="C39" i="100"/>
  <c r="C39" i="97"/>
  <c r="C39" i="95"/>
  <c r="C39" i="91"/>
  <c r="C39" i="106"/>
  <c r="C39" i="99"/>
  <c r="C39" i="90"/>
  <c r="C39" i="98"/>
  <c r="C39" i="93"/>
  <c r="D3" i="110"/>
  <c r="D3" i="109"/>
  <c r="D3" i="107"/>
  <c r="D3" i="108"/>
  <c r="D3" i="104"/>
  <c r="D3" i="105"/>
  <c r="D3" i="102"/>
  <c r="D3" i="100"/>
  <c r="D3" i="98"/>
  <c r="D3" i="95"/>
  <c r="D3" i="103"/>
  <c r="D3" i="99"/>
  <c r="D3" i="90"/>
  <c r="D3" i="97"/>
  <c r="D3" i="93"/>
  <c r="D3" i="96"/>
  <c r="D3" i="94"/>
  <c r="D3" i="106"/>
  <c r="D3" i="92"/>
  <c r="D3" i="91"/>
  <c r="D3" i="101"/>
  <c r="B17" i="110"/>
  <c r="B17" i="107"/>
  <c r="B17" i="109"/>
  <c r="B17" i="106"/>
  <c r="B17" i="104"/>
  <c r="B17" i="103"/>
  <c r="B17" i="108"/>
  <c r="B17" i="102"/>
  <c r="B17" i="100"/>
  <c r="B17" i="98"/>
  <c r="B17" i="105"/>
  <c r="B17" i="97"/>
  <c r="B17" i="95"/>
  <c r="B17" i="93"/>
  <c r="B17" i="90"/>
  <c r="B17" i="101"/>
  <c r="B17" i="91"/>
  <c r="B17" i="99"/>
  <c r="B17" i="96"/>
  <c r="B17" i="94"/>
  <c r="B17" i="92"/>
  <c r="B29" i="110"/>
  <c r="B29" i="107"/>
  <c r="B29" i="109"/>
  <c r="B29" i="108"/>
  <c r="B29" i="106"/>
  <c r="B29" i="104"/>
  <c r="B29" i="103"/>
  <c r="B29" i="102"/>
  <c r="B29" i="100"/>
  <c r="B29" i="98"/>
  <c r="B29" i="105"/>
  <c r="B29" i="95"/>
  <c r="B29" i="93"/>
  <c r="B29" i="97"/>
  <c r="B29" i="90"/>
  <c r="B29" i="91"/>
  <c r="B29" i="99"/>
  <c r="B29" i="96"/>
  <c r="B29" i="94"/>
  <c r="B29" i="101"/>
  <c r="B29" i="92"/>
  <c r="C32" i="110"/>
  <c r="C32" i="109"/>
  <c r="C32" i="108"/>
  <c r="C32" i="107"/>
  <c r="C32" i="106"/>
  <c r="C32" i="102"/>
  <c r="C32" i="100"/>
  <c r="C32" i="98"/>
  <c r="C32" i="95"/>
  <c r="C32" i="93"/>
  <c r="C32" i="101"/>
  <c r="C32" i="90"/>
  <c r="C32" i="103"/>
  <c r="C32" i="96"/>
  <c r="C32" i="94"/>
  <c r="C32" i="91"/>
  <c r="C32" i="104"/>
  <c r="C32" i="92"/>
  <c r="C32" i="105"/>
  <c r="C32" i="99"/>
  <c r="C32" i="97"/>
  <c r="C44" i="110"/>
  <c r="C44" i="109"/>
  <c r="C44" i="108"/>
  <c r="C44" i="102"/>
  <c r="C44" i="106"/>
  <c r="C44" i="100"/>
  <c r="C44" i="98"/>
  <c r="C44" i="96"/>
  <c r="C44" i="107"/>
  <c r="C44" i="95"/>
  <c r="C44" i="93"/>
  <c r="C44" i="101"/>
  <c r="C44" i="90"/>
  <c r="C44" i="91"/>
  <c r="C44" i="105"/>
  <c r="C44" i="104"/>
  <c r="C44" i="99"/>
  <c r="C44" i="103"/>
  <c r="C44" i="97"/>
  <c r="C44" i="94"/>
  <c r="C44" i="92"/>
  <c r="B11" i="108"/>
  <c r="B11" i="110"/>
  <c r="B11" i="109"/>
  <c r="B11" i="106"/>
  <c r="B11" i="103"/>
  <c r="B11" i="104"/>
  <c r="B11" i="107"/>
  <c r="B11" i="105"/>
  <c r="B11" i="101"/>
  <c r="B11" i="99"/>
  <c r="B11" i="102"/>
  <c r="B11" i="97"/>
  <c r="B11" i="96"/>
  <c r="B11" i="94"/>
  <c r="B11" i="98"/>
  <c r="B11" i="95"/>
  <c r="B11" i="93"/>
  <c r="B11" i="91"/>
  <c r="B11" i="90"/>
  <c r="B11" i="100"/>
  <c r="B11" i="92"/>
  <c r="B18" i="110"/>
  <c r="B18" i="108"/>
  <c r="B18" i="106"/>
  <c r="B18" i="107"/>
  <c r="B18" i="109"/>
  <c r="B18" i="105"/>
  <c r="B18" i="104"/>
  <c r="B18" i="103"/>
  <c r="B18" i="102"/>
  <c r="B18" i="95"/>
  <c r="B18" i="93"/>
  <c r="B18" i="99"/>
  <c r="B18" i="96"/>
  <c r="B18" i="94"/>
  <c r="B18" i="98"/>
  <c r="B18" i="92"/>
  <c r="B18" i="97"/>
  <c r="B18" i="91"/>
  <c r="B18" i="100"/>
  <c r="B18" i="101"/>
  <c r="B18" i="90"/>
  <c r="D24" i="108"/>
  <c r="D24" i="109"/>
  <c r="D24" i="106"/>
  <c r="D24" i="110"/>
  <c r="D24" i="102"/>
  <c r="D24" i="105"/>
  <c r="D24" i="95"/>
  <c r="D24" i="93"/>
  <c r="D24" i="101"/>
  <c r="D24" i="99"/>
  <c r="D24" i="97"/>
  <c r="D24" i="98"/>
  <c r="D24" i="92"/>
  <c r="D24" i="107"/>
  <c r="D24" i="103"/>
  <c r="D24" i="96"/>
  <c r="D24" i="94"/>
  <c r="D24" i="91"/>
  <c r="D24" i="104"/>
  <c r="D24" i="100"/>
  <c r="D24" i="90"/>
  <c r="B34" i="110"/>
  <c r="B34" i="108"/>
  <c r="B34" i="107"/>
  <c r="B34" i="106"/>
  <c r="B34" i="104"/>
  <c r="B34" i="109"/>
  <c r="B34" i="105"/>
  <c r="B34" i="103"/>
  <c r="B34" i="102"/>
  <c r="B34" i="95"/>
  <c r="B34" i="93"/>
  <c r="B34" i="99"/>
  <c r="B34" i="96"/>
  <c r="B34" i="94"/>
  <c r="B34" i="101"/>
  <c r="B34" i="92"/>
  <c r="B34" i="97"/>
  <c r="B34" i="91"/>
  <c r="B34" i="100"/>
  <c r="B34" i="98"/>
  <c r="B34" i="90"/>
  <c r="C45" i="110"/>
  <c r="C45" i="108"/>
  <c r="C45" i="109"/>
  <c r="C45" i="106"/>
  <c r="C45" i="104"/>
  <c r="C45" i="107"/>
  <c r="C45" i="102"/>
  <c r="C45" i="103"/>
  <c r="C45" i="95"/>
  <c r="C45" i="93"/>
  <c r="C45" i="98"/>
  <c r="C45" i="94"/>
  <c r="C45" i="96"/>
  <c r="C45" i="105"/>
  <c r="C45" i="101"/>
  <c r="C45" i="100"/>
  <c r="C45" i="91"/>
  <c r="C45" i="99"/>
  <c r="C45" i="92"/>
  <c r="C45" i="97"/>
  <c r="C45" i="90"/>
  <c r="D13" i="110"/>
  <c r="D13" i="108"/>
  <c r="D13" i="109"/>
  <c r="D13" i="105"/>
  <c r="D13" i="103"/>
  <c r="D13" i="107"/>
  <c r="D13" i="106"/>
  <c r="D13" i="101"/>
  <c r="D13" i="99"/>
  <c r="D13" i="96"/>
  <c r="D13" i="94"/>
  <c r="D13" i="100"/>
  <c r="D13" i="91"/>
  <c r="D13" i="95"/>
  <c r="D13" i="90"/>
  <c r="D13" i="102"/>
  <c r="D13" i="93"/>
  <c r="D13" i="104"/>
  <c r="D13" i="98"/>
  <c r="D13" i="92"/>
  <c r="D13" i="97"/>
  <c r="C22" i="110"/>
  <c r="C22" i="109"/>
  <c r="C22" i="107"/>
  <c r="C22" i="106"/>
  <c r="C22" i="103"/>
  <c r="C22" i="101"/>
  <c r="C22" i="99"/>
  <c r="C22" i="97"/>
  <c r="C22" i="104"/>
  <c r="C22" i="105"/>
  <c r="C22" i="96"/>
  <c r="C22" i="94"/>
  <c r="C22" i="91"/>
  <c r="C22" i="108"/>
  <c r="C22" i="92"/>
  <c r="C22" i="102"/>
  <c r="C22" i="100"/>
  <c r="C22" i="98"/>
  <c r="C22" i="90"/>
  <c r="C22" i="95"/>
  <c r="C22" i="93"/>
  <c r="D29" i="110"/>
  <c r="D29" i="109"/>
  <c r="D29" i="108"/>
  <c r="D29" i="105"/>
  <c r="D29" i="103"/>
  <c r="D29" i="107"/>
  <c r="D29" i="106"/>
  <c r="D29" i="101"/>
  <c r="D29" i="99"/>
  <c r="D29" i="97"/>
  <c r="D29" i="96"/>
  <c r="D29" i="94"/>
  <c r="D29" i="100"/>
  <c r="D29" i="91"/>
  <c r="D29" i="95"/>
  <c r="D29" i="102"/>
  <c r="D29" i="104"/>
  <c r="D29" i="98"/>
  <c r="D29" i="92"/>
  <c r="D29" i="93"/>
  <c r="D29" i="90"/>
  <c r="C38" i="110"/>
  <c r="C38" i="109"/>
  <c r="C38" i="107"/>
  <c r="C38" i="106"/>
  <c r="C38" i="103"/>
  <c r="C38" i="104"/>
  <c r="C38" i="101"/>
  <c r="C38" i="99"/>
  <c r="C38" i="97"/>
  <c r="C38" i="108"/>
  <c r="C38" i="105"/>
  <c r="C38" i="94"/>
  <c r="C38" i="91"/>
  <c r="C38" i="93"/>
  <c r="C38" i="102"/>
  <c r="C38" i="100"/>
  <c r="C38" i="98"/>
  <c r="C38" i="92"/>
  <c r="C38" i="90"/>
  <c r="C38" i="96"/>
  <c r="C38" i="95"/>
  <c r="D45" i="110"/>
  <c r="D45" i="109"/>
  <c r="D45" i="108"/>
  <c r="D45" i="107"/>
  <c r="D45" i="105"/>
  <c r="D45" i="103"/>
  <c r="D45" i="106"/>
  <c r="D45" i="101"/>
  <c r="D45" i="99"/>
  <c r="D45" i="97"/>
  <c r="D45" i="94"/>
  <c r="D45" i="100"/>
  <c r="D45" i="91"/>
  <c r="D45" i="93"/>
  <c r="D45" i="104"/>
  <c r="D45" i="98"/>
  <c r="D45" i="92"/>
  <c r="D45" i="96"/>
  <c r="D45" i="95"/>
  <c r="D45" i="90"/>
  <c r="D45" i="102"/>
  <c r="B4" i="110"/>
  <c r="B4" i="109"/>
  <c r="B4" i="105"/>
  <c r="B4" i="108"/>
  <c r="B4" i="107"/>
  <c r="B4" i="106"/>
  <c r="B4" i="104"/>
  <c r="B4" i="103"/>
  <c r="B4" i="97"/>
  <c r="B4" i="96"/>
  <c r="B4" i="94"/>
  <c r="B4" i="92"/>
  <c r="B4" i="102"/>
  <c r="B4" i="100"/>
  <c r="B4" i="93"/>
  <c r="B4" i="91"/>
  <c r="B4" i="101"/>
  <c r="B4" i="98"/>
  <c r="B4" i="95"/>
  <c r="B4" i="90"/>
  <c r="B4" i="99"/>
  <c r="D7" i="110"/>
  <c r="D7" i="109"/>
  <c r="D7" i="107"/>
  <c r="D7" i="108"/>
  <c r="D7" i="104"/>
  <c r="D7" i="105"/>
  <c r="D7" i="102"/>
  <c r="D7" i="100"/>
  <c r="D7" i="98"/>
  <c r="D7" i="95"/>
  <c r="D7" i="106"/>
  <c r="D7" i="103"/>
  <c r="D7" i="99"/>
  <c r="D7" i="90"/>
  <c r="D7" i="97"/>
  <c r="D7" i="93"/>
  <c r="D7" i="96"/>
  <c r="D7" i="94"/>
  <c r="D7" i="92"/>
  <c r="D7" i="91"/>
  <c r="D7" i="101"/>
  <c r="C15" i="110"/>
  <c r="C15" i="109"/>
  <c r="C15" i="108"/>
  <c r="C15" i="105"/>
  <c r="C15" i="107"/>
  <c r="C15" i="103"/>
  <c r="C15" i="97"/>
  <c r="C15" i="96"/>
  <c r="C15" i="94"/>
  <c r="C15" i="92"/>
  <c r="C15" i="104"/>
  <c r="C15" i="101"/>
  <c r="C15" i="100"/>
  <c r="C15" i="95"/>
  <c r="C15" i="93"/>
  <c r="C15" i="91"/>
  <c r="C15" i="106"/>
  <c r="C15" i="99"/>
  <c r="C15" i="90"/>
  <c r="C15" i="102"/>
  <c r="C15" i="98"/>
  <c r="D18" i="110"/>
  <c r="D18" i="109"/>
  <c r="D18" i="108"/>
  <c r="D18" i="105"/>
  <c r="D18" i="107"/>
  <c r="D18" i="96"/>
  <c r="D18" i="94"/>
  <c r="D18" i="92"/>
  <c r="D18" i="106"/>
  <c r="D18" i="103"/>
  <c r="D18" i="100"/>
  <c r="D18" i="98"/>
  <c r="D18" i="102"/>
  <c r="D18" i="97"/>
  <c r="D18" i="104"/>
  <c r="D18" i="90"/>
  <c r="D18" i="101"/>
  <c r="D18" i="95"/>
  <c r="D18" i="93"/>
  <c r="D18" i="99"/>
  <c r="D18" i="91"/>
  <c r="B24" i="110"/>
  <c r="B24" i="109"/>
  <c r="B24" i="105"/>
  <c r="B24" i="107"/>
  <c r="B24" i="106"/>
  <c r="B24" i="108"/>
  <c r="B24" i="104"/>
  <c r="B24" i="103"/>
  <c r="B24" i="96"/>
  <c r="B24" i="94"/>
  <c r="B24" i="92"/>
  <c r="B24" i="102"/>
  <c r="B24" i="100"/>
  <c r="B24" i="99"/>
  <c r="B24" i="97"/>
  <c r="B24" i="91"/>
  <c r="B24" i="101"/>
  <c r="B24" i="98"/>
  <c r="B24" i="95"/>
  <c r="B24" i="93"/>
  <c r="B24" i="90"/>
  <c r="C31" i="110"/>
  <c r="C31" i="109"/>
  <c r="C31" i="108"/>
  <c r="C31" i="105"/>
  <c r="C31" i="107"/>
  <c r="C31" i="103"/>
  <c r="C31" i="96"/>
  <c r="C31" i="94"/>
  <c r="C31" i="92"/>
  <c r="C31" i="104"/>
  <c r="C31" i="101"/>
  <c r="C31" i="100"/>
  <c r="C31" i="97"/>
  <c r="C31" i="95"/>
  <c r="C31" i="106"/>
  <c r="C31" i="99"/>
  <c r="C31" i="90"/>
  <c r="C31" i="102"/>
  <c r="C31" i="98"/>
  <c r="C31" i="93"/>
  <c r="C31" i="91"/>
  <c r="D34" i="110"/>
  <c r="D34" i="109"/>
  <c r="D34" i="108"/>
  <c r="D34" i="105"/>
  <c r="D34" i="107"/>
  <c r="D34" i="104"/>
  <c r="D34" i="94"/>
  <c r="D34" i="92"/>
  <c r="D34" i="106"/>
  <c r="D34" i="103"/>
  <c r="D34" i="100"/>
  <c r="D34" i="98"/>
  <c r="D34" i="96"/>
  <c r="D34" i="102"/>
  <c r="D34" i="97"/>
  <c r="D34" i="101"/>
  <c r="D34" i="91"/>
  <c r="D34" i="90"/>
  <c r="D34" i="95"/>
  <c r="D34" i="93"/>
  <c r="D34" i="99"/>
  <c r="B40" i="110"/>
  <c r="B40" i="109"/>
  <c r="B40" i="107"/>
  <c r="B40" i="105"/>
  <c r="B40" i="106"/>
  <c r="B40" i="108"/>
  <c r="B40" i="104"/>
  <c r="B40" i="103"/>
  <c r="B40" i="102"/>
  <c r="B40" i="94"/>
  <c r="B40" i="92"/>
  <c r="B40" i="100"/>
  <c r="B40" i="99"/>
  <c r="B40" i="96"/>
  <c r="B40" i="91"/>
  <c r="B40" i="101"/>
  <c r="B40" i="98"/>
  <c r="B40" i="95"/>
  <c r="B40" i="93"/>
  <c r="B40" i="90"/>
  <c r="B40" i="97"/>
  <c r="C47" i="110"/>
  <c r="C47" i="109"/>
  <c r="C47" i="108"/>
  <c r="C47" i="107"/>
  <c r="C47" i="105"/>
  <c r="C47" i="103"/>
  <c r="C47" i="102"/>
  <c r="C47" i="94"/>
  <c r="C47" i="92"/>
  <c r="C47" i="104"/>
  <c r="C47" i="101"/>
  <c r="C47" i="96"/>
  <c r="C47" i="100"/>
  <c r="C47" i="97"/>
  <c r="C47" i="98"/>
  <c r="C47" i="95"/>
  <c r="C47" i="91"/>
  <c r="C47" i="106"/>
  <c r="C47" i="99"/>
  <c r="C47" i="90"/>
  <c r="C47" i="93"/>
  <c r="D8" i="109"/>
  <c r="D8" i="108"/>
  <c r="D8" i="106"/>
  <c r="D8" i="110"/>
  <c r="D8" i="102"/>
  <c r="D8" i="105"/>
  <c r="D8" i="95"/>
  <c r="D8" i="93"/>
  <c r="D8" i="101"/>
  <c r="D8" i="99"/>
  <c r="D8" i="98"/>
  <c r="D8" i="92"/>
  <c r="D8" i="103"/>
  <c r="D8" i="96"/>
  <c r="D8" i="94"/>
  <c r="D8" i="91"/>
  <c r="D8" i="107"/>
  <c r="D8" i="104"/>
  <c r="D8" i="100"/>
  <c r="D8" i="97"/>
  <c r="D8" i="90"/>
  <c r="B13" i="110"/>
  <c r="B13" i="107"/>
  <c r="B13" i="109"/>
  <c r="B13" i="106"/>
  <c r="B13" i="104"/>
  <c r="B13" i="103"/>
  <c r="B13" i="102"/>
  <c r="B13" i="100"/>
  <c r="B13" i="98"/>
  <c r="B13" i="108"/>
  <c r="B13" i="105"/>
  <c r="B13" i="97"/>
  <c r="B13" i="95"/>
  <c r="B13" i="93"/>
  <c r="B13" i="90"/>
  <c r="B13" i="101"/>
  <c r="B13" i="91"/>
  <c r="B13" i="99"/>
  <c r="B13" i="96"/>
  <c r="B13" i="94"/>
  <c r="B13" i="92"/>
  <c r="D15" i="110"/>
  <c r="D15" i="109"/>
  <c r="D15" i="107"/>
  <c r="D15" i="108"/>
  <c r="D15" i="104"/>
  <c r="D15" i="105"/>
  <c r="D15" i="102"/>
  <c r="D15" i="100"/>
  <c r="D15" i="98"/>
  <c r="D15" i="95"/>
  <c r="D15" i="93"/>
  <c r="D15" i="106"/>
  <c r="D15" i="103"/>
  <c r="D15" i="99"/>
  <c r="D15" i="90"/>
  <c r="D15" i="97"/>
  <c r="D15" i="91"/>
  <c r="D15" i="101"/>
  <c r="D15" i="96"/>
  <c r="D15" i="94"/>
  <c r="D15" i="92"/>
  <c r="C24" i="110"/>
  <c r="C24" i="109"/>
  <c r="C24" i="108"/>
  <c r="C24" i="107"/>
  <c r="C24" i="104"/>
  <c r="C24" i="106"/>
  <c r="C24" i="102"/>
  <c r="C24" i="100"/>
  <c r="C24" i="98"/>
  <c r="C24" i="95"/>
  <c r="C24" i="93"/>
  <c r="C24" i="101"/>
  <c r="C24" i="90"/>
  <c r="C24" i="103"/>
  <c r="C24" i="96"/>
  <c r="C24" i="91"/>
  <c r="C24" i="92"/>
  <c r="C24" i="105"/>
  <c r="C24" i="99"/>
  <c r="C24" i="97"/>
  <c r="C24" i="94"/>
  <c r="C28" i="110"/>
  <c r="C28" i="109"/>
  <c r="C28" i="108"/>
  <c r="C28" i="107"/>
  <c r="C28" i="104"/>
  <c r="C28" i="106"/>
  <c r="C28" i="102"/>
  <c r="C28" i="100"/>
  <c r="C28" i="98"/>
  <c r="C28" i="95"/>
  <c r="C28" i="93"/>
  <c r="C28" i="101"/>
  <c r="C28" i="90"/>
  <c r="C28" i="97"/>
  <c r="C28" i="96"/>
  <c r="C28" i="91"/>
  <c r="C28" i="92"/>
  <c r="C28" i="99"/>
  <c r="C28" i="103"/>
  <c r="C28" i="94"/>
  <c r="C28" i="105"/>
  <c r="D31" i="110"/>
  <c r="D31" i="109"/>
  <c r="D31" i="108"/>
  <c r="D31" i="107"/>
  <c r="D31" i="105"/>
  <c r="D31" i="102"/>
  <c r="D31" i="100"/>
  <c r="D31" i="98"/>
  <c r="D31" i="104"/>
  <c r="D31" i="95"/>
  <c r="D31" i="93"/>
  <c r="D31" i="106"/>
  <c r="D31" i="103"/>
  <c r="D31" i="99"/>
  <c r="D31" i="90"/>
  <c r="D31" i="92"/>
  <c r="D31" i="91"/>
  <c r="D31" i="97"/>
  <c r="D31" i="96"/>
  <c r="D31" i="94"/>
  <c r="D31" i="101"/>
  <c r="B41" i="110"/>
  <c r="B41" i="107"/>
  <c r="B41" i="109"/>
  <c r="B41" i="108"/>
  <c r="B41" i="106"/>
  <c r="B41" i="102"/>
  <c r="B41" i="104"/>
  <c r="B41" i="103"/>
  <c r="B41" i="100"/>
  <c r="B41" i="98"/>
  <c r="B41" i="96"/>
  <c r="B41" i="105"/>
  <c r="B41" i="95"/>
  <c r="B41" i="93"/>
  <c r="B41" i="97"/>
  <c r="B41" i="90"/>
  <c r="B41" i="91"/>
  <c r="B41" i="94"/>
  <c r="B41" i="101"/>
  <c r="B41" i="99"/>
  <c r="B41" i="92"/>
  <c r="B45" i="110"/>
  <c r="B45" i="107"/>
  <c r="B45" i="109"/>
  <c r="B45" i="108"/>
  <c r="B45" i="106"/>
  <c r="B45" i="102"/>
  <c r="B45" i="104"/>
  <c r="B45" i="103"/>
  <c r="B45" i="100"/>
  <c r="B45" i="98"/>
  <c r="B45" i="96"/>
  <c r="B45" i="105"/>
  <c r="B45" i="95"/>
  <c r="B45" i="93"/>
  <c r="B45" i="97"/>
  <c r="B45" i="90"/>
  <c r="B45" i="91"/>
  <c r="B45" i="99"/>
  <c r="B45" i="94"/>
  <c r="B45" i="92"/>
  <c r="B45" i="101"/>
  <c r="D47" i="110"/>
  <c r="D47" i="109"/>
  <c r="D47" i="108"/>
  <c r="D47" i="102"/>
  <c r="D47" i="105"/>
  <c r="D47" i="107"/>
  <c r="D47" i="100"/>
  <c r="D47" i="98"/>
  <c r="D47" i="96"/>
  <c r="D47" i="104"/>
  <c r="D47" i="95"/>
  <c r="D47" i="93"/>
  <c r="D47" i="106"/>
  <c r="D47" i="103"/>
  <c r="D47" i="99"/>
  <c r="D47" i="90"/>
  <c r="D47" i="91"/>
  <c r="D47" i="101"/>
  <c r="D47" i="97"/>
  <c r="D47" i="94"/>
  <c r="D47" i="92"/>
  <c r="C5" i="110"/>
  <c r="C5" i="109"/>
  <c r="C5" i="106"/>
  <c r="C5" i="108"/>
  <c r="C5" i="107"/>
  <c r="C5" i="104"/>
  <c r="C5" i="102"/>
  <c r="C5" i="103"/>
  <c r="C5" i="95"/>
  <c r="C5" i="93"/>
  <c r="C5" i="97"/>
  <c r="C5" i="99"/>
  <c r="C5" i="96"/>
  <c r="C5" i="94"/>
  <c r="C5" i="105"/>
  <c r="C5" i="101"/>
  <c r="C5" i="100"/>
  <c r="C5" i="91"/>
  <c r="C5" i="98"/>
  <c r="C5" i="92"/>
  <c r="C5" i="90"/>
  <c r="D9" i="110"/>
  <c r="D9" i="108"/>
  <c r="D9" i="109"/>
  <c r="D9" i="105"/>
  <c r="D9" i="103"/>
  <c r="D9" i="107"/>
  <c r="D9" i="106"/>
  <c r="D9" i="101"/>
  <c r="D9" i="99"/>
  <c r="D9" i="96"/>
  <c r="D9" i="94"/>
  <c r="D9" i="100"/>
  <c r="D9" i="91"/>
  <c r="D9" i="95"/>
  <c r="D9" i="90"/>
  <c r="D9" i="97"/>
  <c r="D9" i="104"/>
  <c r="D9" i="98"/>
  <c r="D9" i="92"/>
  <c r="D9" i="102"/>
  <c r="D9" i="93"/>
  <c r="B14" i="110"/>
  <c r="B14" i="106"/>
  <c r="B14" i="109"/>
  <c r="B14" i="108"/>
  <c r="B14" i="107"/>
  <c r="B14" i="105"/>
  <c r="B14" i="104"/>
  <c r="B14" i="103"/>
  <c r="B14" i="102"/>
  <c r="B14" i="97"/>
  <c r="B14" i="95"/>
  <c r="B14" i="93"/>
  <c r="B14" i="99"/>
  <c r="B14" i="96"/>
  <c r="B14" i="94"/>
  <c r="B14" i="98"/>
  <c r="B14" i="92"/>
  <c r="B14" i="91"/>
  <c r="B14" i="100"/>
  <c r="B14" i="101"/>
  <c r="B14" i="90"/>
  <c r="C21" i="110"/>
  <c r="C21" i="108"/>
  <c r="C21" i="109"/>
  <c r="C21" i="106"/>
  <c r="C21" i="107"/>
  <c r="C21" i="104"/>
  <c r="C21" i="102"/>
  <c r="C21" i="103"/>
  <c r="C21" i="95"/>
  <c r="C21" i="93"/>
  <c r="C21" i="98"/>
  <c r="C21" i="94"/>
  <c r="C21" i="105"/>
  <c r="C21" i="101"/>
  <c r="C21" i="100"/>
  <c r="C21" i="91"/>
  <c r="C21" i="99"/>
  <c r="C21" i="96"/>
  <c r="C21" i="92"/>
  <c r="C21" i="97"/>
  <c r="C21" i="90"/>
  <c r="C25" i="110"/>
  <c r="C25" i="108"/>
  <c r="C25" i="109"/>
  <c r="C25" i="106"/>
  <c r="C25" i="107"/>
  <c r="C25" i="104"/>
  <c r="C25" i="102"/>
  <c r="C25" i="103"/>
  <c r="C25" i="95"/>
  <c r="C25" i="93"/>
  <c r="C25" i="98"/>
  <c r="C25" i="94"/>
  <c r="C25" i="92"/>
  <c r="C25" i="105"/>
  <c r="C25" i="101"/>
  <c r="C25" i="100"/>
  <c r="C25" i="91"/>
  <c r="C25" i="99"/>
  <c r="C25" i="96"/>
  <c r="C25" i="97"/>
  <c r="C25" i="90"/>
  <c r="B30" i="110"/>
  <c r="B30" i="108"/>
  <c r="B30" i="106"/>
  <c r="B30" i="104"/>
  <c r="B30" i="109"/>
  <c r="B30" i="107"/>
  <c r="B30" i="105"/>
  <c r="B30" i="103"/>
  <c r="B30" i="102"/>
  <c r="B30" i="95"/>
  <c r="B30" i="93"/>
  <c r="B30" i="99"/>
  <c r="B30" i="96"/>
  <c r="B30" i="94"/>
  <c r="B30" i="101"/>
  <c r="B30" i="98"/>
  <c r="B30" i="92"/>
  <c r="B30" i="97"/>
  <c r="B30" i="91"/>
  <c r="B30" i="100"/>
  <c r="B30" i="90"/>
  <c r="D36" i="108"/>
  <c r="D36" i="109"/>
  <c r="D36" i="110"/>
  <c r="D36" i="106"/>
  <c r="D36" i="104"/>
  <c r="D36" i="102"/>
  <c r="D36" i="105"/>
  <c r="D36" i="107"/>
  <c r="D36" i="95"/>
  <c r="D36" i="93"/>
  <c r="D36" i="101"/>
  <c r="D36" i="99"/>
  <c r="D36" i="97"/>
  <c r="D36" i="98"/>
  <c r="D36" i="103"/>
  <c r="D36" i="96"/>
  <c r="D36" i="94"/>
  <c r="D36" i="91"/>
  <c r="D36" i="92"/>
  <c r="D36" i="100"/>
  <c r="D36" i="90"/>
  <c r="C41" i="110"/>
  <c r="C41" i="108"/>
  <c r="C41" i="109"/>
  <c r="C41" i="106"/>
  <c r="C41" i="104"/>
  <c r="C41" i="107"/>
  <c r="C41" i="102"/>
  <c r="C41" i="103"/>
  <c r="C41" i="95"/>
  <c r="C41" i="93"/>
  <c r="C41" i="98"/>
  <c r="C41" i="94"/>
  <c r="C41" i="92"/>
  <c r="C41" i="96"/>
  <c r="C41" i="101"/>
  <c r="C41" i="100"/>
  <c r="C41" i="91"/>
  <c r="C41" i="99"/>
  <c r="C41" i="105"/>
  <c r="C41" i="97"/>
  <c r="C41" i="90"/>
  <c r="B46" i="109"/>
  <c r="B46" i="110"/>
  <c r="B46" i="108"/>
  <c r="B46" i="107"/>
  <c r="B46" i="106"/>
  <c r="B46" i="104"/>
  <c r="B46" i="105"/>
  <c r="B46" i="103"/>
  <c r="B46" i="102"/>
  <c r="B46" i="95"/>
  <c r="B46" i="93"/>
  <c r="B46" i="99"/>
  <c r="B46" i="96"/>
  <c r="B46" i="94"/>
  <c r="B46" i="97"/>
  <c r="B46" i="91"/>
  <c r="B46" i="100"/>
  <c r="B46" i="101"/>
  <c r="B46" i="98"/>
  <c r="B46" i="92"/>
  <c r="B46" i="90"/>
  <c r="D6" i="110"/>
  <c r="D6" i="109"/>
  <c r="D6" i="105"/>
  <c r="D6" i="107"/>
  <c r="D6" i="108"/>
  <c r="D6" i="97"/>
  <c r="D6" i="96"/>
  <c r="D6" i="94"/>
  <c r="D6" i="92"/>
  <c r="D6" i="106"/>
  <c r="D6" i="103"/>
  <c r="D6" i="100"/>
  <c r="D6" i="98"/>
  <c r="D6" i="102"/>
  <c r="D6" i="91"/>
  <c r="D6" i="90"/>
  <c r="D6" i="104"/>
  <c r="D6" i="101"/>
  <c r="D6" i="95"/>
  <c r="D6" i="99"/>
  <c r="D6" i="93"/>
  <c r="B15" i="108"/>
  <c r="B15" i="110"/>
  <c r="B15" i="109"/>
  <c r="B15" i="106"/>
  <c r="B15" i="103"/>
  <c r="B15" i="104"/>
  <c r="B15" i="107"/>
  <c r="B15" i="105"/>
  <c r="B15" i="101"/>
  <c r="B15" i="99"/>
  <c r="B15" i="102"/>
  <c r="B15" i="97"/>
  <c r="B15" i="96"/>
  <c r="B15" i="94"/>
  <c r="B15" i="98"/>
  <c r="B15" i="95"/>
  <c r="B15" i="93"/>
  <c r="B15" i="91"/>
  <c r="B15" i="90"/>
  <c r="B15" i="100"/>
  <c r="B15" i="92"/>
  <c r="C18" i="110"/>
  <c r="C18" i="109"/>
  <c r="C18" i="108"/>
  <c r="C18" i="107"/>
  <c r="C18" i="106"/>
  <c r="C18" i="103"/>
  <c r="C18" i="101"/>
  <c r="C18" i="99"/>
  <c r="C18" i="97"/>
  <c r="C18" i="104"/>
  <c r="C18" i="105"/>
  <c r="C18" i="96"/>
  <c r="C18" i="94"/>
  <c r="C18" i="91"/>
  <c r="C18" i="92"/>
  <c r="C18" i="102"/>
  <c r="C18" i="100"/>
  <c r="C18" i="98"/>
  <c r="C18" i="90"/>
  <c r="C18" i="95"/>
  <c r="C18" i="93"/>
  <c r="D25" i="110"/>
  <c r="D25" i="109"/>
  <c r="D25" i="108"/>
  <c r="D25" i="105"/>
  <c r="D25" i="103"/>
  <c r="D25" i="107"/>
  <c r="D25" i="106"/>
  <c r="D25" i="101"/>
  <c r="D25" i="99"/>
  <c r="D25" i="97"/>
  <c r="D25" i="96"/>
  <c r="D25" i="94"/>
  <c r="D25" i="100"/>
  <c r="D25" i="91"/>
  <c r="D25" i="104"/>
  <c r="D25" i="98"/>
  <c r="D25" i="92"/>
  <c r="D25" i="95"/>
  <c r="D25" i="93"/>
  <c r="D25" i="90"/>
  <c r="D25" i="102"/>
  <c r="B31" i="110"/>
  <c r="B31" i="109"/>
  <c r="B31" i="108"/>
  <c r="B31" i="106"/>
  <c r="B31" i="103"/>
  <c r="B31" i="104"/>
  <c r="B31" i="107"/>
  <c r="B31" i="105"/>
  <c r="B31" i="101"/>
  <c r="B31" i="99"/>
  <c r="B31" i="97"/>
  <c r="B31" i="102"/>
  <c r="B31" i="96"/>
  <c r="B31" i="94"/>
  <c r="B31" i="98"/>
  <c r="B31" i="95"/>
  <c r="B31" i="93"/>
  <c r="B31" i="91"/>
  <c r="B31" i="90"/>
  <c r="B31" i="100"/>
  <c r="B31" i="92"/>
  <c r="C34" i="110"/>
  <c r="C34" i="109"/>
  <c r="C34" i="107"/>
  <c r="C34" i="108"/>
  <c r="C34" i="106"/>
  <c r="C34" i="103"/>
  <c r="C34" i="104"/>
  <c r="C34" i="101"/>
  <c r="C34" i="99"/>
  <c r="C34" i="97"/>
  <c r="C34" i="105"/>
  <c r="C34" i="94"/>
  <c r="C34" i="91"/>
  <c r="C34" i="93"/>
  <c r="C34" i="102"/>
  <c r="C34" i="100"/>
  <c r="C34" i="98"/>
  <c r="C34" i="92"/>
  <c r="C34" i="90"/>
  <c r="C34" i="96"/>
  <c r="C34" i="95"/>
  <c r="B43" i="110"/>
  <c r="B43" i="109"/>
  <c r="B43" i="107"/>
  <c r="B43" i="108"/>
  <c r="B43" i="106"/>
  <c r="B43" i="103"/>
  <c r="B43" i="104"/>
  <c r="B43" i="102"/>
  <c r="B43" i="105"/>
  <c r="B43" i="101"/>
  <c r="B43" i="99"/>
  <c r="B43" i="97"/>
  <c r="B43" i="94"/>
  <c r="B43" i="98"/>
  <c r="B43" i="95"/>
  <c r="B43" i="93"/>
  <c r="B43" i="91"/>
  <c r="B43" i="100"/>
  <c r="B43" i="96"/>
  <c r="B43" i="90"/>
  <c r="B43" i="92"/>
  <c r="B47" i="110"/>
  <c r="B47" i="109"/>
  <c r="B47" i="107"/>
  <c r="B47" i="108"/>
  <c r="B47" i="106"/>
  <c r="B47" i="103"/>
  <c r="B47" i="104"/>
  <c r="B47" i="102"/>
  <c r="B47" i="105"/>
  <c r="B47" i="101"/>
  <c r="B47" i="99"/>
  <c r="B47" i="97"/>
  <c r="B47" i="94"/>
  <c r="B47" i="98"/>
  <c r="B47" i="95"/>
  <c r="B47" i="93"/>
  <c r="B47" i="91"/>
  <c r="B47" i="100"/>
  <c r="B47" i="92"/>
  <c r="B47" i="96"/>
  <c r="B47" i="90"/>
  <c r="B9" i="110"/>
  <c r="B9" i="107"/>
  <c r="B9" i="109"/>
  <c r="B9" i="106"/>
  <c r="B9" i="104"/>
  <c r="B9" i="103"/>
  <c r="B9" i="108"/>
  <c r="B9" i="102"/>
  <c r="B9" i="100"/>
  <c r="B9" i="98"/>
  <c r="B9" i="105"/>
  <c r="B9" i="97"/>
  <c r="B9" i="95"/>
  <c r="B9" i="93"/>
  <c r="B9" i="90"/>
  <c r="B9" i="101"/>
  <c r="B9" i="99"/>
  <c r="B9" i="92"/>
  <c r="B9" i="91"/>
  <c r="B9" i="96"/>
  <c r="B9" i="94"/>
  <c r="B16" i="110"/>
  <c r="B16" i="109"/>
  <c r="B16" i="105"/>
  <c r="B16" i="108"/>
  <c r="B16" i="107"/>
  <c r="B16" i="106"/>
  <c r="B16" i="104"/>
  <c r="B16" i="103"/>
  <c r="B16" i="97"/>
  <c r="B16" i="96"/>
  <c r="B16" i="94"/>
  <c r="B16" i="92"/>
  <c r="B16" i="102"/>
  <c r="B16" i="100"/>
  <c r="B16" i="101"/>
  <c r="B16" i="98"/>
  <c r="B16" i="95"/>
  <c r="B16" i="93"/>
  <c r="B16" i="90"/>
  <c r="B16" i="99"/>
  <c r="B16" i="91"/>
  <c r="B28" i="110"/>
  <c r="B28" i="109"/>
  <c r="B28" i="105"/>
  <c r="B28" i="107"/>
  <c r="B28" i="106"/>
  <c r="B28" i="108"/>
  <c r="B28" i="104"/>
  <c r="B28" i="103"/>
  <c r="B28" i="96"/>
  <c r="B28" i="94"/>
  <c r="B28" i="92"/>
  <c r="B28" i="102"/>
  <c r="B28" i="100"/>
  <c r="B28" i="99"/>
  <c r="B28" i="97"/>
  <c r="B28" i="91"/>
  <c r="B28" i="101"/>
  <c r="B28" i="98"/>
  <c r="B28" i="95"/>
  <c r="B28" i="93"/>
  <c r="B28" i="90"/>
  <c r="D38" i="110"/>
  <c r="D38" i="109"/>
  <c r="D38" i="108"/>
  <c r="D38" i="105"/>
  <c r="D38" i="107"/>
  <c r="D38" i="104"/>
  <c r="D38" i="94"/>
  <c r="D38" i="92"/>
  <c r="D38" i="106"/>
  <c r="D38" i="103"/>
  <c r="D38" i="100"/>
  <c r="D38" i="98"/>
  <c r="D38" i="96"/>
  <c r="D38" i="102"/>
  <c r="D38" i="97"/>
  <c r="D38" i="101"/>
  <c r="D38" i="93"/>
  <c r="D38" i="91"/>
  <c r="D38" i="90"/>
  <c r="D38" i="95"/>
  <c r="D38" i="99"/>
  <c r="B48" i="110"/>
  <c r="B48" i="109"/>
  <c r="B48" i="107"/>
  <c r="B48" i="105"/>
  <c r="B48" i="106"/>
  <c r="B48" i="104"/>
  <c r="B48" i="103"/>
  <c r="B48" i="102"/>
  <c r="B48" i="94"/>
  <c r="B48" i="92"/>
  <c r="B48" i="108"/>
  <c r="B48" i="100"/>
  <c r="B48" i="99"/>
  <c r="B48" i="96"/>
  <c r="B48" i="97"/>
  <c r="B48" i="91"/>
  <c r="B48" i="101"/>
  <c r="B48" i="98"/>
  <c r="B48" i="95"/>
  <c r="B48" i="93"/>
  <c r="B48" i="90"/>
  <c r="B5" i="110"/>
  <c r="B5" i="107"/>
  <c r="B5" i="109"/>
  <c r="B5" i="106"/>
  <c r="B5" i="104"/>
  <c r="B5" i="103"/>
  <c r="B5" i="102"/>
  <c r="B5" i="100"/>
  <c r="B5" i="98"/>
  <c r="B5" i="105"/>
  <c r="B5" i="97"/>
  <c r="B5" i="95"/>
  <c r="B5" i="108"/>
  <c r="B5" i="93"/>
  <c r="B5" i="90"/>
  <c r="B5" i="94"/>
  <c r="B5" i="92"/>
  <c r="B5" i="101"/>
  <c r="B5" i="91"/>
  <c r="B5" i="99"/>
  <c r="B5" i="96"/>
  <c r="C16" i="110"/>
  <c r="C16" i="109"/>
  <c r="C16" i="108"/>
  <c r="C16" i="107"/>
  <c r="C16" i="104"/>
  <c r="C16" i="106"/>
  <c r="C16" i="102"/>
  <c r="C16" i="100"/>
  <c r="C16" i="98"/>
  <c r="C16" i="97"/>
  <c r="C16" i="95"/>
  <c r="C16" i="93"/>
  <c r="C16" i="101"/>
  <c r="C16" i="90"/>
  <c r="C16" i="103"/>
  <c r="C16" i="96"/>
  <c r="C16" i="91"/>
  <c r="C16" i="92"/>
  <c r="C16" i="105"/>
  <c r="C16" i="99"/>
  <c r="C16" i="94"/>
  <c r="B21" i="110"/>
  <c r="B21" i="107"/>
  <c r="B21" i="109"/>
  <c r="B21" i="108"/>
  <c r="B21" i="106"/>
  <c r="B21" i="104"/>
  <c r="B21" i="103"/>
  <c r="B21" i="102"/>
  <c r="B21" i="100"/>
  <c r="B21" i="98"/>
  <c r="B21" i="105"/>
  <c r="B21" i="95"/>
  <c r="B21" i="93"/>
  <c r="B21" i="97"/>
  <c r="B21" i="90"/>
  <c r="B21" i="101"/>
  <c r="B21" i="91"/>
  <c r="B21" i="99"/>
  <c r="B21" i="96"/>
  <c r="B21" i="94"/>
  <c r="B21" i="92"/>
  <c r="D23" i="110"/>
  <c r="D23" i="109"/>
  <c r="D23" i="108"/>
  <c r="D23" i="107"/>
  <c r="D23" i="104"/>
  <c r="D23" i="105"/>
  <c r="D23" i="102"/>
  <c r="D23" i="100"/>
  <c r="D23" i="98"/>
  <c r="D23" i="95"/>
  <c r="D23" i="93"/>
  <c r="D23" i="106"/>
  <c r="D23" i="103"/>
  <c r="D23" i="99"/>
  <c r="D23" i="90"/>
  <c r="D23" i="91"/>
  <c r="D23" i="97"/>
  <c r="D23" i="96"/>
  <c r="D23" i="94"/>
  <c r="D23" i="92"/>
  <c r="D23" i="101"/>
  <c r="B33" i="110"/>
  <c r="B33" i="107"/>
  <c r="B33" i="109"/>
  <c r="B33" i="108"/>
  <c r="B33" i="106"/>
  <c r="B33" i="104"/>
  <c r="B33" i="103"/>
  <c r="B33" i="102"/>
  <c r="B33" i="100"/>
  <c r="B33" i="98"/>
  <c r="B33" i="96"/>
  <c r="B33" i="105"/>
  <c r="B33" i="95"/>
  <c r="B33" i="93"/>
  <c r="B33" i="97"/>
  <c r="B33" i="90"/>
  <c r="B33" i="91"/>
  <c r="B33" i="99"/>
  <c r="B33" i="94"/>
  <c r="B33" i="101"/>
  <c r="B33" i="92"/>
  <c r="C36" i="110"/>
  <c r="C36" i="109"/>
  <c r="C36" i="108"/>
  <c r="C36" i="106"/>
  <c r="C36" i="102"/>
  <c r="C36" i="100"/>
  <c r="C36" i="98"/>
  <c r="C36" i="96"/>
  <c r="C36" i="107"/>
  <c r="C36" i="95"/>
  <c r="C36" i="93"/>
  <c r="C36" i="101"/>
  <c r="C36" i="90"/>
  <c r="C36" i="94"/>
  <c r="C36" i="91"/>
  <c r="C36" i="105"/>
  <c r="C36" i="92"/>
  <c r="C36" i="99"/>
  <c r="C36" i="103"/>
  <c r="C36" i="97"/>
  <c r="C36" i="104"/>
  <c r="D39" i="110"/>
  <c r="D39" i="109"/>
  <c r="D39" i="108"/>
  <c r="D39" i="102"/>
  <c r="D39" i="105"/>
  <c r="D39" i="107"/>
  <c r="D39" i="100"/>
  <c r="D39" i="98"/>
  <c r="D39" i="96"/>
  <c r="D39" i="104"/>
  <c r="D39" i="95"/>
  <c r="D39" i="93"/>
  <c r="D39" i="106"/>
  <c r="D39" i="103"/>
  <c r="D39" i="99"/>
  <c r="D39" i="90"/>
  <c r="D39" i="92"/>
  <c r="D39" i="91"/>
  <c r="D39" i="97"/>
  <c r="D39" i="94"/>
  <c r="D39" i="101"/>
  <c r="C48" i="110"/>
  <c r="C48" i="109"/>
  <c r="C48" i="108"/>
  <c r="C48" i="102"/>
  <c r="C48" i="106"/>
  <c r="C48" i="100"/>
  <c r="C48" i="98"/>
  <c r="C48" i="96"/>
  <c r="C48" i="95"/>
  <c r="C48" i="93"/>
  <c r="C48" i="101"/>
  <c r="C48" i="90"/>
  <c r="C48" i="103"/>
  <c r="C48" i="91"/>
  <c r="C48" i="107"/>
  <c r="C48" i="105"/>
  <c r="C48" i="99"/>
  <c r="C48" i="97"/>
  <c r="C48" i="94"/>
  <c r="C48" i="104"/>
  <c r="C48" i="92"/>
  <c r="D16" i="109"/>
  <c r="D16" i="108"/>
  <c r="D16" i="106"/>
  <c r="D16" i="110"/>
  <c r="D16" i="102"/>
  <c r="D16" i="105"/>
  <c r="D16" i="95"/>
  <c r="D16" i="93"/>
  <c r="D16" i="101"/>
  <c r="D16" i="99"/>
  <c r="D16" i="98"/>
  <c r="D16" i="92"/>
  <c r="D16" i="97"/>
  <c r="D16" i="107"/>
  <c r="D16" i="103"/>
  <c r="D16" i="96"/>
  <c r="D16" i="94"/>
  <c r="D16" i="91"/>
  <c r="D16" i="104"/>
  <c r="D16" i="100"/>
  <c r="D16" i="90"/>
  <c r="C29" i="110"/>
  <c r="C29" i="108"/>
  <c r="C29" i="109"/>
  <c r="C29" i="106"/>
  <c r="C29" i="107"/>
  <c r="C29" i="104"/>
  <c r="C29" i="102"/>
  <c r="C29" i="103"/>
  <c r="C29" i="95"/>
  <c r="C29" i="93"/>
  <c r="C29" i="98"/>
  <c r="C29" i="92"/>
  <c r="C29" i="105"/>
  <c r="C29" i="101"/>
  <c r="C29" i="100"/>
  <c r="C29" i="91"/>
  <c r="C29" i="99"/>
  <c r="C29" i="96"/>
  <c r="C29" i="94"/>
  <c r="C29" i="97"/>
  <c r="C29" i="90"/>
  <c r="B38" i="110"/>
  <c r="B38" i="108"/>
  <c r="B38" i="107"/>
  <c r="B38" i="106"/>
  <c r="B38" i="104"/>
  <c r="B38" i="109"/>
  <c r="B38" i="105"/>
  <c r="B38" i="103"/>
  <c r="B38" i="102"/>
  <c r="B38" i="95"/>
  <c r="B38" i="93"/>
  <c r="B38" i="99"/>
  <c r="B38" i="96"/>
  <c r="B38" i="94"/>
  <c r="B38" i="101"/>
  <c r="B38" i="98"/>
  <c r="B38" i="92"/>
  <c r="B38" i="97"/>
  <c r="B38" i="91"/>
  <c r="B38" i="100"/>
  <c r="B38" i="90"/>
  <c r="B3" i="108"/>
  <c r="B3" i="110"/>
  <c r="B3" i="109"/>
  <c r="B3" i="106"/>
  <c r="B3" i="103"/>
  <c r="B3" i="104"/>
  <c r="B3" i="107"/>
  <c r="B3" i="105"/>
  <c r="B3" i="101"/>
  <c r="B3" i="99"/>
  <c r="B3" i="102"/>
  <c r="B3" i="97"/>
  <c r="B3" i="96"/>
  <c r="B3" i="94"/>
  <c r="B3" i="98"/>
  <c r="B3" i="95"/>
  <c r="B3" i="93"/>
  <c r="B3" i="91"/>
  <c r="B3" i="100"/>
  <c r="B3" i="90"/>
  <c r="B3" i="92"/>
  <c r="B23" i="110"/>
  <c r="B23" i="109"/>
  <c r="B23" i="108"/>
  <c r="B23" i="106"/>
  <c r="B23" i="103"/>
  <c r="B23" i="104"/>
  <c r="B23" i="107"/>
  <c r="B23" i="105"/>
  <c r="B23" i="101"/>
  <c r="B23" i="99"/>
  <c r="B23" i="97"/>
  <c r="B23" i="102"/>
  <c r="B23" i="96"/>
  <c r="B23" i="94"/>
  <c r="B23" i="98"/>
  <c r="B23" i="95"/>
  <c r="B23" i="93"/>
  <c r="B23" i="91"/>
  <c r="B23" i="90"/>
  <c r="B23" i="100"/>
  <c r="B23" i="92"/>
  <c r="C3" i="110"/>
  <c r="C3" i="109"/>
  <c r="C3" i="108"/>
  <c r="C3" i="105"/>
  <c r="C3" i="107"/>
  <c r="C3" i="103"/>
  <c r="C3" i="97"/>
  <c r="C3" i="96"/>
  <c r="C3" i="94"/>
  <c r="C3" i="92"/>
  <c r="C3" i="104"/>
  <c r="C3" i="101"/>
  <c r="C3" i="100"/>
  <c r="C3" i="95"/>
  <c r="C3" i="93"/>
  <c r="C3" i="99"/>
  <c r="C3" i="90"/>
  <c r="C3" i="102"/>
  <c r="C3" i="106"/>
  <c r="C3" i="98"/>
  <c r="C3" i="91"/>
  <c r="C11" i="110"/>
  <c r="C11" i="109"/>
  <c r="C11" i="108"/>
  <c r="C11" i="105"/>
  <c r="C11" i="107"/>
  <c r="C11" i="103"/>
  <c r="C11" i="97"/>
  <c r="C11" i="96"/>
  <c r="C11" i="94"/>
  <c r="C11" i="92"/>
  <c r="C11" i="104"/>
  <c r="C11" i="101"/>
  <c r="C11" i="102"/>
  <c r="C11" i="100"/>
  <c r="C11" i="106"/>
  <c r="C11" i="95"/>
  <c r="C11" i="99"/>
  <c r="C11" i="90"/>
  <c r="C11" i="98"/>
  <c r="C11" i="93"/>
  <c r="C11" i="91"/>
  <c r="D22" i="110"/>
  <c r="D22" i="109"/>
  <c r="D22" i="108"/>
  <c r="D22" i="105"/>
  <c r="D22" i="107"/>
  <c r="D22" i="96"/>
  <c r="D22" i="94"/>
  <c r="D22" i="92"/>
  <c r="D22" i="106"/>
  <c r="D22" i="103"/>
  <c r="D22" i="100"/>
  <c r="D22" i="98"/>
  <c r="D22" i="102"/>
  <c r="D22" i="97"/>
  <c r="D22" i="93"/>
  <c r="D22" i="91"/>
  <c r="D22" i="90"/>
  <c r="D22" i="104"/>
  <c r="D22" i="101"/>
  <c r="D22" i="95"/>
  <c r="D22" i="99"/>
  <c r="B36" i="110"/>
  <c r="B36" i="109"/>
  <c r="B36" i="107"/>
  <c r="B36" i="105"/>
  <c r="B36" i="106"/>
  <c r="B36" i="108"/>
  <c r="B36" i="104"/>
  <c r="B36" i="103"/>
  <c r="B36" i="94"/>
  <c r="B36" i="92"/>
  <c r="B36" i="102"/>
  <c r="B36" i="100"/>
  <c r="B36" i="99"/>
  <c r="B36" i="96"/>
  <c r="B36" i="91"/>
  <c r="B36" i="101"/>
  <c r="B36" i="98"/>
  <c r="B36" i="95"/>
  <c r="B36" i="93"/>
  <c r="B36" i="90"/>
  <c r="B36" i="97"/>
  <c r="C43" i="110"/>
  <c r="C43" i="109"/>
  <c r="C43" i="108"/>
  <c r="C43" i="107"/>
  <c r="C43" i="105"/>
  <c r="C43" i="103"/>
  <c r="C43" i="102"/>
  <c r="C43" i="94"/>
  <c r="C43" i="92"/>
  <c r="C43" i="104"/>
  <c r="C43" i="101"/>
  <c r="C43" i="96"/>
  <c r="C43" i="100"/>
  <c r="C43" i="97"/>
  <c r="C43" i="98"/>
  <c r="C43" i="95"/>
  <c r="C43" i="91"/>
  <c r="C43" i="99"/>
  <c r="C43" i="90"/>
  <c r="C43" i="106"/>
  <c r="C43" i="93"/>
  <c r="C12" i="110"/>
  <c r="C12" i="109"/>
  <c r="C12" i="108"/>
  <c r="C12" i="107"/>
  <c r="C12" i="104"/>
  <c r="C12" i="106"/>
  <c r="C12" i="102"/>
  <c r="C12" i="100"/>
  <c r="C12" i="98"/>
  <c r="C12" i="97"/>
  <c r="C12" i="95"/>
  <c r="C12" i="101"/>
  <c r="C12" i="90"/>
  <c r="C12" i="96"/>
  <c r="C12" i="91"/>
  <c r="C12" i="105"/>
  <c r="C12" i="92"/>
  <c r="C12" i="99"/>
  <c r="C12" i="103"/>
  <c r="C12" i="94"/>
  <c r="C12" i="93"/>
  <c r="D19" i="110"/>
  <c r="D19" i="109"/>
  <c r="D19" i="108"/>
  <c r="D19" i="107"/>
  <c r="D19" i="104"/>
  <c r="D19" i="105"/>
  <c r="D19" i="102"/>
  <c r="D19" i="100"/>
  <c r="D19" i="98"/>
  <c r="D19" i="95"/>
  <c r="D19" i="93"/>
  <c r="D19" i="103"/>
  <c r="D19" i="99"/>
  <c r="D19" i="90"/>
  <c r="D19" i="91"/>
  <c r="D19" i="101"/>
  <c r="D19" i="97"/>
  <c r="D19" i="96"/>
  <c r="D19" i="94"/>
  <c r="D19" i="106"/>
  <c r="D19" i="92"/>
  <c r="D35" i="110"/>
  <c r="D35" i="109"/>
  <c r="D35" i="108"/>
  <c r="D35" i="105"/>
  <c r="D35" i="107"/>
  <c r="D35" i="102"/>
  <c r="D35" i="100"/>
  <c r="D35" i="98"/>
  <c r="D35" i="96"/>
  <c r="D35" i="104"/>
  <c r="D35" i="95"/>
  <c r="D35" i="93"/>
  <c r="D35" i="103"/>
  <c r="D35" i="99"/>
  <c r="D35" i="90"/>
  <c r="D35" i="106"/>
  <c r="D35" i="92"/>
  <c r="D35" i="91"/>
  <c r="D35" i="97"/>
  <c r="D35" i="94"/>
  <c r="D35" i="101"/>
  <c r="D4" i="109"/>
  <c r="D4" i="110"/>
  <c r="D4" i="108"/>
  <c r="D4" i="106"/>
  <c r="D4" i="102"/>
  <c r="D4" i="105"/>
  <c r="D4" i="95"/>
  <c r="D4" i="93"/>
  <c r="D4" i="107"/>
  <c r="D4" i="101"/>
  <c r="D4" i="99"/>
  <c r="D4" i="98"/>
  <c r="D4" i="92"/>
  <c r="D4" i="104"/>
  <c r="D4" i="103"/>
  <c r="D4" i="96"/>
  <c r="D4" i="94"/>
  <c r="D4" i="91"/>
  <c r="D4" i="100"/>
  <c r="D4" i="97"/>
  <c r="D4" i="90"/>
  <c r="C13" i="110"/>
  <c r="C13" i="109"/>
  <c r="C13" i="106"/>
  <c r="C13" i="108"/>
  <c r="C13" i="107"/>
  <c r="C13" i="104"/>
  <c r="C13" i="102"/>
  <c r="C13" i="103"/>
  <c r="C13" i="95"/>
  <c r="C13" i="93"/>
  <c r="C13" i="97"/>
  <c r="C13" i="99"/>
  <c r="C13" i="94"/>
  <c r="C13" i="105"/>
  <c r="C13" i="101"/>
  <c r="C13" i="100"/>
  <c r="C13" i="91"/>
  <c r="C13" i="98"/>
  <c r="C13" i="96"/>
  <c r="C13" i="92"/>
  <c r="C13" i="90"/>
  <c r="D28" i="108"/>
  <c r="D28" i="109"/>
  <c r="D28" i="110"/>
  <c r="D28" i="106"/>
  <c r="D28" i="102"/>
  <c r="D28" i="105"/>
  <c r="D28" i="95"/>
  <c r="D28" i="93"/>
  <c r="D28" i="107"/>
  <c r="D28" i="101"/>
  <c r="D28" i="99"/>
  <c r="D28" i="97"/>
  <c r="D28" i="98"/>
  <c r="D28" i="103"/>
  <c r="D28" i="96"/>
  <c r="D28" i="94"/>
  <c r="D28" i="91"/>
  <c r="D28" i="92"/>
  <c r="D28" i="104"/>
  <c r="D28" i="100"/>
  <c r="D28" i="90"/>
  <c r="D40" i="108"/>
  <c r="D40" i="109"/>
  <c r="D40" i="106"/>
  <c r="D40" i="104"/>
  <c r="D40" i="110"/>
  <c r="D40" i="105"/>
  <c r="D40" i="95"/>
  <c r="D40" i="93"/>
  <c r="D40" i="102"/>
  <c r="D40" i="101"/>
  <c r="D40" i="99"/>
  <c r="D40" i="97"/>
  <c r="D40" i="98"/>
  <c r="D40" i="103"/>
  <c r="D40" i="96"/>
  <c r="D40" i="94"/>
  <c r="D40" i="91"/>
  <c r="D40" i="107"/>
  <c r="D40" i="92"/>
  <c r="D40" i="100"/>
  <c r="D40" i="90"/>
  <c r="C2" i="110"/>
  <c r="C2" i="109"/>
  <c r="C2" i="108"/>
  <c r="C2" i="107"/>
  <c r="C2" i="106"/>
  <c r="C2" i="103"/>
  <c r="C2" i="101"/>
  <c r="C2" i="99"/>
  <c r="C2" i="104"/>
  <c r="C2" i="105"/>
  <c r="C2" i="96"/>
  <c r="C2" i="94"/>
  <c r="C2" i="93"/>
  <c r="C2" i="91"/>
  <c r="C2" i="98"/>
  <c r="C2" i="92"/>
  <c r="C2" i="90"/>
  <c r="C2" i="102"/>
  <c r="C2" i="100"/>
  <c r="C2" i="97"/>
  <c r="C2" i="95"/>
  <c r="D17" i="110"/>
  <c r="D17" i="108"/>
  <c r="D17" i="109"/>
  <c r="D17" i="105"/>
  <c r="D17" i="103"/>
  <c r="D17" i="107"/>
  <c r="D17" i="106"/>
  <c r="D17" i="101"/>
  <c r="D17" i="99"/>
  <c r="D17" i="96"/>
  <c r="D17" i="94"/>
  <c r="D17" i="100"/>
  <c r="D17" i="91"/>
  <c r="D17" i="95"/>
  <c r="D17" i="93"/>
  <c r="D17" i="90"/>
  <c r="D17" i="104"/>
  <c r="D17" i="98"/>
  <c r="D17" i="92"/>
  <c r="D17" i="102"/>
  <c r="D17" i="97"/>
  <c r="D33" i="110"/>
  <c r="D33" i="109"/>
  <c r="D33" i="108"/>
  <c r="D33" i="107"/>
  <c r="D33" i="105"/>
  <c r="D33" i="103"/>
  <c r="D33" i="106"/>
  <c r="D33" i="101"/>
  <c r="D33" i="99"/>
  <c r="D33" i="97"/>
  <c r="D33" i="94"/>
  <c r="D33" i="100"/>
  <c r="D33" i="91"/>
  <c r="D33" i="95"/>
  <c r="D33" i="93"/>
  <c r="D33" i="90"/>
  <c r="D33" i="104"/>
  <c r="D33" i="98"/>
  <c r="D33" i="92"/>
  <c r="D33" i="96"/>
  <c r="D33" i="102"/>
  <c r="D2" i="110"/>
  <c r="D2" i="109"/>
  <c r="D2" i="105"/>
  <c r="D2" i="107"/>
  <c r="D2" i="97"/>
  <c r="D2" i="96"/>
  <c r="D2" i="94"/>
  <c r="D2" i="92"/>
  <c r="D2" i="106"/>
  <c r="D2" i="103"/>
  <c r="D2" i="100"/>
  <c r="D2" i="98"/>
  <c r="D2" i="108"/>
  <c r="D2" i="102"/>
  <c r="D2" i="104"/>
  <c r="D2" i="101"/>
  <c r="D2" i="99"/>
  <c r="D2" i="91"/>
  <c r="D2" i="90"/>
  <c r="D2" i="95"/>
  <c r="D2" i="93"/>
  <c r="B12" i="110"/>
  <c r="B12" i="109"/>
  <c r="B12" i="105"/>
  <c r="B12" i="108"/>
  <c r="B12" i="107"/>
  <c r="B12" i="106"/>
  <c r="B12" i="104"/>
  <c r="B12" i="103"/>
  <c r="B12" i="97"/>
  <c r="B12" i="96"/>
  <c r="B12" i="94"/>
  <c r="B12" i="92"/>
  <c r="B12" i="102"/>
  <c r="B12" i="100"/>
  <c r="B12" i="93"/>
  <c r="B12" i="91"/>
  <c r="B12" i="101"/>
  <c r="B12" i="98"/>
  <c r="B12" i="95"/>
  <c r="B12" i="90"/>
  <c r="B12" i="99"/>
  <c r="D14" i="110"/>
  <c r="D14" i="109"/>
  <c r="D14" i="105"/>
  <c r="D14" i="107"/>
  <c r="D14" i="108"/>
  <c r="D14" i="97"/>
  <c r="D14" i="96"/>
  <c r="D14" i="94"/>
  <c r="D14" i="92"/>
  <c r="D14" i="106"/>
  <c r="D14" i="103"/>
  <c r="D14" i="100"/>
  <c r="D14" i="98"/>
  <c r="D14" i="102"/>
  <c r="D14" i="104"/>
  <c r="D14" i="90"/>
  <c r="D14" i="101"/>
  <c r="D14" i="95"/>
  <c r="D14" i="99"/>
  <c r="D14" i="93"/>
  <c r="D14" i="91"/>
  <c r="C19" i="110"/>
  <c r="C19" i="109"/>
  <c r="C19" i="108"/>
  <c r="C19" i="105"/>
  <c r="C19" i="107"/>
  <c r="C19" i="103"/>
  <c r="C19" i="96"/>
  <c r="C19" i="94"/>
  <c r="C19" i="92"/>
  <c r="C19" i="104"/>
  <c r="C19" i="101"/>
  <c r="C19" i="102"/>
  <c r="C19" i="100"/>
  <c r="C19" i="97"/>
  <c r="C19" i="95"/>
  <c r="C19" i="93"/>
  <c r="C19" i="91"/>
  <c r="C19" i="99"/>
  <c r="C19" i="90"/>
  <c r="C19" i="106"/>
  <c r="C19" i="98"/>
  <c r="D26" i="110"/>
  <c r="D26" i="109"/>
  <c r="D26" i="108"/>
  <c r="D26" i="105"/>
  <c r="D26" i="107"/>
  <c r="D26" i="96"/>
  <c r="D26" i="94"/>
  <c r="D26" i="92"/>
  <c r="D26" i="106"/>
  <c r="D26" i="103"/>
  <c r="D26" i="100"/>
  <c r="D26" i="98"/>
  <c r="D26" i="102"/>
  <c r="D26" i="97"/>
  <c r="D26" i="95"/>
  <c r="D26" i="93"/>
  <c r="D26" i="91"/>
  <c r="D26" i="90"/>
  <c r="D26" i="104"/>
  <c r="D26" i="101"/>
  <c r="D26" i="99"/>
  <c r="D30" i="110"/>
  <c r="D30" i="109"/>
  <c r="D30" i="108"/>
  <c r="D30" i="105"/>
  <c r="D30" i="107"/>
  <c r="D30" i="104"/>
  <c r="D30" i="96"/>
  <c r="D30" i="94"/>
  <c r="D30" i="92"/>
  <c r="D30" i="106"/>
  <c r="D30" i="103"/>
  <c r="D30" i="100"/>
  <c r="D30" i="98"/>
  <c r="D30" i="102"/>
  <c r="D30" i="97"/>
  <c r="D30" i="101"/>
  <c r="D30" i="93"/>
  <c r="D30" i="91"/>
  <c r="D30" i="90"/>
  <c r="D30" i="95"/>
  <c r="D30" i="99"/>
  <c r="C35" i="110"/>
  <c r="C35" i="109"/>
  <c r="C35" i="108"/>
  <c r="C35" i="107"/>
  <c r="C35" i="105"/>
  <c r="C35" i="103"/>
  <c r="C35" i="94"/>
  <c r="C35" i="92"/>
  <c r="C35" i="104"/>
  <c r="C35" i="101"/>
  <c r="C35" i="96"/>
  <c r="C35" i="102"/>
  <c r="C35" i="100"/>
  <c r="C35" i="97"/>
  <c r="C35" i="106"/>
  <c r="C35" i="98"/>
  <c r="C35" i="95"/>
  <c r="C35" i="91"/>
  <c r="C35" i="99"/>
  <c r="C35" i="90"/>
  <c r="C35" i="93"/>
  <c r="D42" i="110"/>
  <c r="D42" i="109"/>
  <c r="D42" i="108"/>
  <c r="D42" i="105"/>
  <c r="D42" i="107"/>
  <c r="D42" i="104"/>
  <c r="D42" i="94"/>
  <c r="D42" i="92"/>
  <c r="D42" i="106"/>
  <c r="D42" i="103"/>
  <c r="D42" i="100"/>
  <c r="D42" i="98"/>
  <c r="D42" i="96"/>
  <c r="D42" i="102"/>
  <c r="D42" i="97"/>
  <c r="D42" i="101"/>
  <c r="D42" i="95"/>
  <c r="D42" i="99"/>
  <c r="D42" i="91"/>
  <c r="D42" i="90"/>
  <c r="D42" i="93"/>
  <c r="D46" i="110"/>
  <c r="D46" i="109"/>
  <c r="D46" i="108"/>
  <c r="D46" i="105"/>
  <c r="D46" i="107"/>
  <c r="D46" i="104"/>
  <c r="D46" i="94"/>
  <c r="D46" i="92"/>
  <c r="D46" i="106"/>
  <c r="D46" i="103"/>
  <c r="D46" i="100"/>
  <c r="D46" i="98"/>
  <c r="D46" i="96"/>
  <c r="D46" i="102"/>
  <c r="D46" i="97"/>
  <c r="D46" i="101"/>
  <c r="D46" i="95"/>
  <c r="D46" i="91"/>
  <c r="D46" i="90"/>
  <c r="D46" i="93"/>
  <c r="D46" i="99"/>
  <c r="C4" i="110"/>
  <c r="C4" i="109"/>
  <c r="C4" i="108"/>
  <c r="C4" i="107"/>
  <c r="C4" i="104"/>
  <c r="C4" i="106"/>
  <c r="C4" i="102"/>
  <c r="C4" i="100"/>
  <c r="C4" i="98"/>
  <c r="C4" i="97"/>
  <c r="C4" i="95"/>
  <c r="C4" i="101"/>
  <c r="C4" i="90"/>
  <c r="C4" i="91"/>
  <c r="C4" i="105"/>
  <c r="C4" i="92"/>
  <c r="C4" i="99"/>
  <c r="C4" i="103"/>
  <c r="C4" i="96"/>
  <c r="C4" i="94"/>
  <c r="C4" i="93"/>
  <c r="C9" i="110"/>
  <c r="C9" i="109"/>
  <c r="C9" i="106"/>
  <c r="C9" i="108"/>
  <c r="C9" i="107"/>
  <c r="C9" i="104"/>
  <c r="C9" i="102"/>
  <c r="C9" i="103"/>
  <c r="C9" i="95"/>
  <c r="C9" i="93"/>
  <c r="C9" i="97"/>
  <c r="C9" i="99"/>
  <c r="C9" i="101"/>
  <c r="C9" i="100"/>
  <c r="C9" i="91"/>
  <c r="C9" i="98"/>
  <c r="C9" i="96"/>
  <c r="C9" i="94"/>
  <c r="C9" i="92"/>
  <c r="C9" i="105"/>
  <c r="C9" i="90"/>
  <c r="D11" i="110"/>
  <c r="D11" i="109"/>
  <c r="D11" i="107"/>
  <c r="D11" i="108"/>
  <c r="D11" i="104"/>
  <c r="D11" i="105"/>
  <c r="D11" i="102"/>
  <c r="D11" i="100"/>
  <c r="D11" i="98"/>
  <c r="D11" i="95"/>
  <c r="D11" i="103"/>
  <c r="D11" i="99"/>
  <c r="D11" i="90"/>
  <c r="D11" i="106"/>
  <c r="D11" i="97"/>
  <c r="D11" i="93"/>
  <c r="D11" i="96"/>
  <c r="D11" i="94"/>
  <c r="D11" i="92"/>
  <c r="D11" i="91"/>
  <c r="D11" i="101"/>
  <c r="C20" i="110"/>
  <c r="C20" i="109"/>
  <c r="C20" i="108"/>
  <c r="C20" i="107"/>
  <c r="C20" i="104"/>
  <c r="C20" i="106"/>
  <c r="C20" i="102"/>
  <c r="C20" i="100"/>
  <c r="C20" i="98"/>
  <c r="C20" i="95"/>
  <c r="C20" i="93"/>
  <c r="C20" i="101"/>
  <c r="C20" i="90"/>
  <c r="C20" i="96"/>
  <c r="C20" i="91"/>
  <c r="C20" i="105"/>
  <c r="C20" i="92"/>
  <c r="C20" i="99"/>
  <c r="C20" i="103"/>
  <c r="C20" i="97"/>
  <c r="C20" i="94"/>
  <c r="B25" i="110"/>
  <c r="B25" i="107"/>
  <c r="B25" i="109"/>
  <c r="B25" i="108"/>
  <c r="B25" i="106"/>
  <c r="B25" i="104"/>
  <c r="B25" i="103"/>
  <c r="B25" i="102"/>
  <c r="B25" i="100"/>
  <c r="B25" i="98"/>
  <c r="B25" i="105"/>
  <c r="B25" i="95"/>
  <c r="B25" i="93"/>
  <c r="B25" i="97"/>
  <c r="B25" i="90"/>
  <c r="B25" i="101"/>
  <c r="B25" i="91"/>
  <c r="B25" i="99"/>
  <c r="B25" i="94"/>
  <c r="B25" i="96"/>
  <c r="B25" i="92"/>
  <c r="D27" i="110"/>
  <c r="D27" i="109"/>
  <c r="D27" i="108"/>
  <c r="D27" i="107"/>
  <c r="D27" i="104"/>
  <c r="D27" i="105"/>
  <c r="D27" i="102"/>
  <c r="D27" i="100"/>
  <c r="D27" i="98"/>
  <c r="D27" i="95"/>
  <c r="D27" i="93"/>
  <c r="D27" i="103"/>
  <c r="D27" i="99"/>
  <c r="D27" i="90"/>
  <c r="D27" i="106"/>
  <c r="D27" i="92"/>
  <c r="D27" i="91"/>
  <c r="D27" i="97"/>
  <c r="D27" i="96"/>
  <c r="D27" i="94"/>
  <c r="D27" i="101"/>
  <c r="B37" i="110"/>
  <c r="B37" i="107"/>
  <c r="B37" i="109"/>
  <c r="B37" i="108"/>
  <c r="B37" i="106"/>
  <c r="B37" i="104"/>
  <c r="B37" i="103"/>
  <c r="B37" i="102"/>
  <c r="B37" i="100"/>
  <c r="B37" i="98"/>
  <c r="B37" i="96"/>
  <c r="B37" i="105"/>
  <c r="B37" i="95"/>
  <c r="B37" i="93"/>
  <c r="B37" i="97"/>
  <c r="B37" i="90"/>
  <c r="B37" i="91"/>
  <c r="B37" i="99"/>
  <c r="B37" i="94"/>
  <c r="B37" i="101"/>
  <c r="B37" i="92"/>
  <c r="C40" i="110"/>
  <c r="C40" i="109"/>
  <c r="C40" i="108"/>
  <c r="C40" i="102"/>
  <c r="C40" i="106"/>
  <c r="C40" i="100"/>
  <c r="C40" i="98"/>
  <c r="C40" i="96"/>
  <c r="C40" i="95"/>
  <c r="C40" i="93"/>
  <c r="C40" i="101"/>
  <c r="C40" i="90"/>
  <c r="C40" i="103"/>
  <c r="C40" i="91"/>
  <c r="C40" i="104"/>
  <c r="C40" i="92"/>
  <c r="C40" i="105"/>
  <c r="C40" i="99"/>
  <c r="C40" i="97"/>
  <c r="C40" i="94"/>
  <c r="C40" i="107"/>
  <c r="D43" i="110"/>
  <c r="D43" i="109"/>
  <c r="D43" i="108"/>
  <c r="D43" i="102"/>
  <c r="D43" i="105"/>
  <c r="D43" i="107"/>
  <c r="D43" i="100"/>
  <c r="D43" i="98"/>
  <c r="D43" i="96"/>
  <c r="D43" i="104"/>
  <c r="D43" i="95"/>
  <c r="D43" i="93"/>
  <c r="D43" i="103"/>
  <c r="D43" i="99"/>
  <c r="D43" i="90"/>
  <c r="D43" i="91"/>
  <c r="D43" i="97"/>
  <c r="D43" i="94"/>
  <c r="D43" i="106"/>
  <c r="D43" i="92"/>
  <c r="D43" i="101"/>
  <c r="B6" i="110"/>
  <c r="B6" i="106"/>
  <c r="B6" i="109"/>
  <c r="B6" i="108"/>
  <c r="B6" i="107"/>
  <c r="B6" i="105"/>
  <c r="B6" i="104"/>
  <c r="B6" i="103"/>
  <c r="B6" i="102"/>
  <c r="B6" i="97"/>
  <c r="B6" i="95"/>
  <c r="B6" i="93"/>
  <c r="B6" i="99"/>
  <c r="B6" i="96"/>
  <c r="B6" i="94"/>
  <c r="B6" i="101"/>
  <c r="B6" i="98"/>
  <c r="B6" i="91"/>
  <c r="B6" i="100"/>
  <c r="B6" i="92"/>
  <c r="B6" i="90"/>
  <c r="C10" i="110"/>
  <c r="C10" i="108"/>
  <c r="C10" i="109"/>
  <c r="C10" i="107"/>
  <c r="C10" i="106"/>
  <c r="C10" i="103"/>
  <c r="C10" i="101"/>
  <c r="C10" i="99"/>
  <c r="C10" i="104"/>
  <c r="C10" i="105"/>
  <c r="C10" i="96"/>
  <c r="C10" i="94"/>
  <c r="C10" i="93"/>
  <c r="C10" i="91"/>
  <c r="C10" i="98"/>
  <c r="C10" i="92"/>
  <c r="C10" i="102"/>
  <c r="C10" i="100"/>
  <c r="C10" i="97"/>
  <c r="C10" i="90"/>
  <c r="C10" i="95"/>
  <c r="C17" i="110"/>
  <c r="C17" i="109"/>
  <c r="C17" i="106"/>
  <c r="C17" i="108"/>
  <c r="C17" i="107"/>
  <c r="C17" i="104"/>
  <c r="C17" i="102"/>
  <c r="C17" i="103"/>
  <c r="C17" i="95"/>
  <c r="C17" i="93"/>
  <c r="C17" i="97"/>
  <c r="C17" i="99"/>
  <c r="C17" i="94"/>
  <c r="C17" i="101"/>
  <c r="C17" i="100"/>
  <c r="C17" i="91"/>
  <c r="C17" i="98"/>
  <c r="C17" i="96"/>
  <c r="C17" i="92"/>
  <c r="C17" i="105"/>
  <c r="C17" i="90"/>
  <c r="D20" i="108"/>
  <c r="D20" i="109"/>
  <c r="D20" i="110"/>
  <c r="D20" i="106"/>
  <c r="D20" i="102"/>
  <c r="D20" i="105"/>
  <c r="D20" i="95"/>
  <c r="D20" i="93"/>
  <c r="D20" i="107"/>
  <c r="D20" i="101"/>
  <c r="D20" i="99"/>
  <c r="D20" i="97"/>
  <c r="D20" i="98"/>
  <c r="D20" i="92"/>
  <c r="D20" i="104"/>
  <c r="D20" i="103"/>
  <c r="D20" i="96"/>
  <c r="D20" i="94"/>
  <c r="D20" i="91"/>
  <c r="D20" i="100"/>
  <c r="D20" i="90"/>
  <c r="B26" i="110"/>
  <c r="B26" i="108"/>
  <c r="B26" i="106"/>
  <c r="B26" i="107"/>
  <c r="B26" i="105"/>
  <c r="B26" i="104"/>
  <c r="B26" i="103"/>
  <c r="B26" i="102"/>
  <c r="B26" i="109"/>
  <c r="B26" i="95"/>
  <c r="B26" i="93"/>
  <c r="B26" i="99"/>
  <c r="B26" i="96"/>
  <c r="B26" i="94"/>
  <c r="B26" i="101"/>
  <c r="B26" i="98"/>
  <c r="B26" i="92"/>
  <c r="B26" i="97"/>
  <c r="B26" i="91"/>
  <c r="B26" i="100"/>
  <c r="B26" i="90"/>
  <c r="D32" i="108"/>
  <c r="D32" i="109"/>
  <c r="D32" i="106"/>
  <c r="D32" i="104"/>
  <c r="D32" i="110"/>
  <c r="D32" i="102"/>
  <c r="D32" i="105"/>
  <c r="D32" i="95"/>
  <c r="D32" i="93"/>
  <c r="D32" i="101"/>
  <c r="D32" i="99"/>
  <c r="D32" i="97"/>
  <c r="D32" i="98"/>
  <c r="D32" i="107"/>
  <c r="D32" i="103"/>
  <c r="D32" i="96"/>
  <c r="D32" i="94"/>
  <c r="D32" i="91"/>
  <c r="D32" i="92"/>
  <c r="D32" i="100"/>
  <c r="D32" i="90"/>
  <c r="C37" i="110"/>
  <c r="C37" i="108"/>
  <c r="C37" i="109"/>
  <c r="C37" i="106"/>
  <c r="C37" i="104"/>
  <c r="C37" i="107"/>
  <c r="C37" i="102"/>
  <c r="C37" i="103"/>
  <c r="C37" i="95"/>
  <c r="C37" i="93"/>
  <c r="C37" i="98"/>
  <c r="C37" i="92"/>
  <c r="C37" i="97"/>
  <c r="C37" i="96"/>
  <c r="C37" i="105"/>
  <c r="C37" i="101"/>
  <c r="C37" i="100"/>
  <c r="C37" i="91"/>
  <c r="C37" i="99"/>
  <c r="C37" i="94"/>
  <c r="C37" i="90"/>
  <c r="B42" i="110"/>
  <c r="B42" i="108"/>
  <c r="B42" i="107"/>
  <c r="B42" i="106"/>
  <c r="B42" i="104"/>
  <c r="B42" i="105"/>
  <c r="B42" i="103"/>
  <c r="B42" i="102"/>
  <c r="B42" i="95"/>
  <c r="B42" i="93"/>
  <c r="B42" i="99"/>
  <c r="B42" i="96"/>
  <c r="B42" i="94"/>
  <c r="B42" i="101"/>
  <c r="B42" i="92"/>
  <c r="B42" i="97"/>
  <c r="B42" i="91"/>
  <c r="B42" i="100"/>
  <c r="B42" i="109"/>
  <c r="B42" i="98"/>
  <c r="B42" i="90"/>
  <c r="D48" i="109"/>
  <c r="D48" i="108"/>
  <c r="D48" i="106"/>
  <c r="D48" i="104"/>
  <c r="D48" i="110"/>
  <c r="D48" i="105"/>
  <c r="D48" i="95"/>
  <c r="D48" i="93"/>
  <c r="D48" i="102"/>
  <c r="D48" i="101"/>
  <c r="D48" i="99"/>
  <c r="D48" i="97"/>
  <c r="D48" i="107"/>
  <c r="D48" i="98"/>
  <c r="D48" i="92"/>
  <c r="D48" i="103"/>
  <c r="D48" i="96"/>
  <c r="D48" i="94"/>
  <c r="D48" i="91"/>
  <c r="D48" i="100"/>
  <c r="D48" i="90"/>
  <c r="C7" i="110"/>
  <c r="C7" i="109"/>
  <c r="C7" i="108"/>
  <c r="C7" i="105"/>
  <c r="C7" i="107"/>
  <c r="C7" i="103"/>
  <c r="C7" i="97"/>
  <c r="C7" i="96"/>
  <c r="C7" i="94"/>
  <c r="C7" i="92"/>
  <c r="C7" i="104"/>
  <c r="C7" i="101"/>
  <c r="C7" i="100"/>
  <c r="C7" i="95"/>
  <c r="C7" i="106"/>
  <c r="C7" i="99"/>
  <c r="C7" i="90"/>
  <c r="C7" i="102"/>
  <c r="C7" i="98"/>
  <c r="C7" i="93"/>
  <c r="C7" i="91"/>
  <c r="C14" i="110"/>
  <c r="C14" i="108"/>
  <c r="C14" i="109"/>
  <c r="C14" i="107"/>
  <c r="C14" i="106"/>
  <c r="C14" i="103"/>
  <c r="C14" i="101"/>
  <c r="C14" i="99"/>
  <c r="C14" i="104"/>
  <c r="C14" i="105"/>
  <c r="C14" i="96"/>
  <c r="C14" i="94"/>
  <c r="C14" i="93"/>
  <c r="C14" i="91"/>
  <c r="C14" i="98"/>
  <c r="C14" i="92"/>
  <c r="C14" i="102"/>
  <c r="C14" i="100"/>
  <c r="C14" i="97"/>
  <c r="C14" i="90"/>
  <c r="C14" i="95"/>
  <c r="D21" i="110"/>
  <c r="D21" i="109"/>
  <c r="D21" i="108"/>
  <c r="D21" i="105"/>
  <c r="D21" i="103"/>
  <c r="D21" i="107"/>
  <c r="D21" i="106"/>
  <c r="D21" i="101"/>
  <c r="D21" i="99"/>
  <c r="D21" i="97"/>
  <c r="D21" i="96"/>
  <c r="D21" i="94"/>
  <c r="D21" i="100"/>
  <c r="D21" i="91"/>
  <c r="D21" i="95"/>
  <c r="D21" i="90"/>
  <c r="D21" i="102"/>
  <c r="D21" i="104"/>
  <c r="D21" i="98"/>
  <c r="D21" i="92"/>
  <c r="D21" i="93"/>
  <c r="B27" i="110"/>
  <c r="B27" i="109"/>
  <c r="B27" i="108"/>
  <c r="B27" i="106"/>
  <c r="B27" i="103"/>
  <c r="B27" i="104"/>
  <c r="B27" i="107"/>
  <c r="B27" i="105"/>
  <c r="B27" i="101"/>
  <c r="B27" i="99"/>
  <c r="B27" i="97"/>
  <c r="B27" i="102"/>
  <c r="B27" i="96"/>
  <c r="B27" i="94"/>
  <c r="B27" i="98"/>
  <c r="B27" i="95"/>
  <c r="B27" i="93"/>
  <c r="B27" i="91"/>
  <c r="B27" i="100"/>
  <c r="B27" i="90"/>
  <c r="B27" i="92"/>
  <c r="C30" i="110"/>
  <c r="C30" i="109"/>
  <c r="C30" i="107"/>
  <c r="C30" i="106"/>
  <c r="C30" i="103"/>
  <c r="C30" i="104"/>
  <c r="C30" i="108"/>
  <c r="C30" i="101"/>
  <c r="C30" i="99"/>
  <c r="C30" i="97"/>
  <c r="C30" i="105"/>
  <c r="C30" i="96"/>
  <c r="C30" i="94"/>
  <c r="C30" i="91"/>
  <c r="C30" i="93"/>
  <c r="C30" i="102"/>
  <c r="C30" i="100"/>
  <c r="C30" i="98"/>
  <c r="C30" i="92"/>
  <c r="C30" i="90"/>
  <c r="C30" i="95"/>
  <c r="B39" i="110"/>
  <c r="B39" i="109"/>
  <c r="B39" i="107"/>
  <c r="B39" i="108"/>
  <c r="B39" i="106"/>
  <c r="B39" i="103"/>
  <c r="B39" i="104"/>
  <c r="B39" i="102"/>
  <c r="B39" i="105"/>
  <c r="B39" i="101"/>
  <c r="B39" i="99"/>
  <c r="B39" i="97"/>
  <c r="B39" i="94"/>
  <c r="B39" i="98"/>
  <c r="B39" i="95"/>
  <c r="B39" i="93"/>
  <c r="B39" i="91"/>
  <c r="B39" i="90"/>
  <c r="B39" i="100"/>
  <c r="B39" i="96"/>
  <c r="B39" i="92"/>
  <c r="D41" i="110"/>
  <c r="D41" i="109"/>
  <c r="D41" i="108"/>
  <c r="D41" i="107"/>
  <c r="D41" i="105"/>
  <c r="D41" i="103"/>
  <c r="D41" i="106"/>
  <c r="D41" i="101"/>
  <c r="D41" i="99"/>
  <c r="D41" i="97"/>
  <c r="D41" i="94"/>
  <c r="D41" i="100"/>
  <c r="D41" i="91"/>
  <c r="D41" i="93"/>
  <c r="D41" i="104"/>
  <c r="D41" i="98"/>
  <c r="D41" i="92"/>
  <c r="D41" i="96"/>
  <c r="D41" i="95"/>
  <c r="D41" i="90"/>
  <c r="D41" i="102"/>
  <c r="C46" i="110"/>
  <c r="C46" i="107"/>
  <c r="C46" i="109"/>
  <c r="C46" i="106"/>
  <c r="C46" i="103"/>
  <c r="C46" i="104"/>
  <c r="C46" i="108"/>
  <c r="C46" i="101"/>
  <c r="C46" i="99"/>
  <c r="C46" i="97"/>
  <c r="C46" i="105"/>
  <c r="C46" i="94"/>
  <c r="C46" i="91"/>
  <c r="C46" i="92"/>
  <c r="C46" i="90"/>
  <c r="C46" i="93"/>
  <c r="C46" i="102"/>
  <c r="C46" i="100"/>
  <c r="C46" i="98"/>
  <c r="C46" i="96"/>
  <c r="C46" i="95"/>
  <c r="C3" i="89"/>
  <c r="D22" i="89"/>
  <c r="C43" i="89"/>
  <c r="D3" i="89"/>
  <c r="D19" i="89"/>
  <c r="D35" i="89"/>
  <c r="D4" i="89"/>
  <c r="D7" i="89"/>
  <c r="D18" i="89"/>
  <c r="B24" i="89"/>
  <c r="B40" i="89"/>
  <c r="D8" i="89"/>
  <c r="D15" i="89"/>
  <c r="D31" i="89"/>
  <c r="B45" i="89"/>
  <c r="D9" i="89"/>
  <c r="C21" i="89"/>
  <c r="D36" i="89"/>
  <c r="B46" i="89"/>
  <c r="B15" i="89"/>
  <c r="D25" i="89"/>
  <c r="B31" i="89"/>
  <c r="C34" i="89"/>
  <c r="B47" i="89"/>
  <c r="D2" i="89"/>
  <c r="D14" i="89"/>
  <c r="D26" i="89"/>
  <c r="C35" i="89"/>
  <c r="D46" i="89"/>
  <c r="C4" i="89"/>
  <c r="D11" i="89"/>
  <c r="B25" i="89"/>
  <c r="B37" i="89"/>
  <c r="D43" i="89"/>
  <c r="C10" i="89"/>
  <c r="D20" i="89"/>
  <c r="D32" i="89"/>
  <c r="C37" i="89"/>
  <c r="D48" i="89"/>
  <c r="C14" i="89"/>
  <c r="B27" i="89"/>
  <c r="C46" i="89"/>
  <c r="B9" i="89"/>
  <c r="D10" i="89"/>
  <c r="B16" i="89"/>
  <c r="C23" i="89"/>
  <c r="B28" i="89"/>
  <c r="B32" i="89"/>
  <c r="D38" i="89"/>
  <c r="B44" i="89"/>
  <c r="B48" i="89"/>
  <c r="B5" i="89"/>
  <c r="B10" i="89"/>
  <c r="C16" i="89"/>
  <c r="B21" i="89"/>
  <c r="D23" i="89"/>
  <c r="B33" i="89"/>
  <c r="C36" i="89"/>
  <c r="D39" i="89"/>
  <c r="C48" i="89"/>
  <c r="D12" i="89"/>
  <c r="D16" i="89"/>
  <c r="B22" i="89"/>
  <c r="C29" i="89"/>
  <c r="C33" i="89"/>
  <c r="B38" i="89"/>
  <c r="D44" i="89"/>
  <c r="B3" i="89"/>
  <c r="B8" i="89"/>
  <c r="B19" i="89"/>
  <c r="B23" i="89"/>
  <c r="C26" i="89"/>
  <c r="B35" i="89"/>
  <c r="D37" i="89"/>
  <c r="C42" i="89"/>
  <c r="C11" i="89"/>
  <c r="C39" i="89"/>
  <c r="C12" i="89"/>
  <c r="C32" i="89"/>
  <c r="B11" i="89"/>
  <c r="B18" i="89"/>
  <c r="D24" i="89"/>
  <c r="D28" i="89"/>
  <c r="B34" i="89"/>
  <c r="D40" i="89"/>
  <c r="C45" i="89"/>
  <c r="C2" i="89"/>
  <c r="D13" i="89"/>
  <c r="D17" i="89"/>
  <c r="C22" i="89"/>
  <c r="D29" i="89"/>
  <c r="D33" i="89"/>
  <c r="C38" i="89"/>
  <c r="D45" i="89"/>
  <c r="C8" i="89"/>
  <c r="C27" i="89"/>
  <c r="B29" i="89"/>
  <c r="C31" i="89"/>
  <c r="C28" i="89"/>
  <c r="B30" i="89"/>
  <c r="B20" i="89"/>
  <c r="B36" i="89"/>
  <c r="B17" i="89"/>
  <c r="C44" i="89"/>
  <c r="C13" i="89"/>
  <c r="B4" i="89"/>
  <c r="C15" i="89"/>
  <c r="D34" i="89"/>
  <c r="C47" i="89"/>
  <c r="B13" i="89"/>
  <c r="C24" i="89"/>
  <c r="B41" i="89"/>
  <c r="D47" i="89"/>
  <c r="C5" i="89"/>
  <c r="B14" i="89"/>
  <c r="C25" i="89"/>
  <c r="C41" i="89"/>
  <c r="D6" i="89"/>
  <c r="C18" i="89"/>
  <c r="B43" i="89"/>
  <c r="B12" i="89"/>
  <c r="C19" i="89"/>
  <c r="D30" i="89"/>
  <c r="D42" i="89"/>
  <c r="C9" i="89"/>
  <c r="C20" i="89"/>
  <c r="D27" i="89"/>
  <c r="C40" i="89"/>
  <c r="B6" i="89"/>
  <c r="C17" i="89"/>
  <c r="B26" i="89"/>
  <c r="B42" i="89"/>
  <c r="C7" i="89"/>
  <c r="D21" i="89"/>
  <c r="C30" i="89"/>
  <c r="B39" i="89"/>
  <c r="D41" i="89"/>
  <c r="C6" i="110" l="1"/>
  <c r="C6" i="108"/>
  <c r="C6" i="109"/>
  <c r="C6" i="107"/>
  <c r="C6" i="106"/>
  <c r="C6" i="103"/>
  <c r="C6" i="101"/>
  <c r="C6" i="99"/>
  <c r="C6" i="104"/>
  <c r="C6" i="105"/>
  <c r="C6" i="96"/>
  <c r="C6" i="94"/>
  <c r="C6" i="93"/>
  <c r="C6" i="91"/>
  <c r="C6" i="98"/>
  <c r="C6" i="92"/>
  <c r="C6" i="90"/>
  <c r="C6" i="102"/>
  <c r="C6" i="100"/>
  <c r="C6" i="97"/>
  <c r="C6" i="95"/>
  <c r="D5" i="110"/>
  <c r="D5" i="108"/>
  <c r="D5" i="109"/>
  <c r="D5" i="105"/>
  <c r="D5" i="103"/>
  <c r="D5" i="107"/>
  <c r="D5" i="106"/>
  <c r="D5" i="101"/>
  <c r="D5" i="99"/>
  <c r="D5" i="96"/>
  <c r="D5" i="94"/>
  <c r="D5" i="100"/>
  <c r="D5" i="91"/>
  <c r="D5" i="95"/>
  <c r="D5" i="97"/>
  <c r="D5" i="93"/>
  <c r="D5" i="104"/>
  <c r="D5" i="98"/>
  <c r="D5" i="92"/>
  <c r="D5" i="90"/>
  <c r="D5" i="102"/>
  <c r="B7" i="108"/>
  <c r="B7" i="110"/>
  <c r="B7" i="109"/>
  <c r="B7" i="106"/>
  <c r="B7" i="103"/>
  <c r="B7" i="104"/>
  <c r="B7" i="107"/>
  <c r="B7" i="105"/>
  <c r="B7" i="101"/>
  <c r="B7" i="99"/>
  <c r="B7" i="102"/>
  <c r="B7" i="97"/>
  <c r="B7" i="96"/>
  <c r="B7" i="94"/>
  <c r="B7" i="98"/>
  <c r="B7" i="95"/>
  <c r="B7" i="93"/>
  <c r="B7" i="91"/>
  <c r="B7" i="100"/>
  <c r="B7" i="92"/>
  <c r="B7" i="90"/>
  <c r="D5" i="89"/>
  <c r="C6" i="89"/>
  <c r="B7" i="89"/>
  <c r="E46" i="99" l="1"/>
  <c r="F46" i="99"/>
  <c r="E39" i="99"/>
  <c r="F39" i="99"/>
  <c r="E36" i="99"/>
  <c r="F36" i="99"/>
  <c r="E35" i="99"/>
  <c r="F35" i="99"/>
  <c r="E16" i="99"/>
  <c r="F16" i="99"/>
  <c r="E8" i="99"/>
  <c r="F8" i="99"/>
  <c r="E6" i="99"/>
  <c r="F6" i="99"/>
  <c r="E48" i="99"/>
  <c r="F48" i="99"/>
  <c r="E43" i="99"/>
  <c r="F43" i="99"/>
  <c r="E32" i="99"/>
  <c r="F32" i="99"/>
  <c r="E44" i="99"/>
  <c r="F44" i="99"/>
  <c r="E40" i="99"/>
  <c r="F40" i="99"/>
  <c r="E23" i="99"/>
  <c r="F23" i="99"/>
  <c r="E9" i="99"/>
  <c r="F9" i="99"/>
  <c r="E7" i="99"/>
  <c r="F7" i="99"/>
  <c r="E42" i="99"/>
  <c r="F42" i="99"/>
  <c r="E37" i="99"/>
  <c r="F37" i="99"/>
  <c r="E26" i="99"/>
  <c r="F26" i="99"/>
  <c r="E24" i="99"/>
  <c r="F24" i="99"/>
  <c r="E17" i="99"/>
  <c r="F17" i="99"/>
  <c r="E15" i="99"/>
  <c r="F15" i="99"/>
  <c r="E12" i="99"/>
  <c r="F12" i="99"/>
  <c r="E11" i="99"/>
  <c r="F11" i="99"/>
  <c r="E45" i="99"/>
  <c r="F45" i="99"/>
  <c r="E41" i="99"/>
  <c r="F41" i="99"/>
  <c r="E34" i="99"/>
  <c r="F34" i="99"/>
  <c r="E33" i="99"/>
  <c r="F33" i="99"/>
  <c r="E31" i="99"/>
  <c r="F31" i="99"/>
  <c r="E29" i="99"/>
  <c r="F29" i="99"/>
  <c r="E28" i="99"/>
  <c r="F28" i="99"/>
  <c r="E27" i="99"/>
  <c r="F27" i="99"/>
  <c r="E22" i="99"/>
  <c r="F22" i="99"/>
  <c r="E21" i="99"/>
  <c r="F21" i="99"/>
  <c r="E20" i="99"/>
  <c r="F20" i="99"/>
  <c r="E19" i="99"/>
  <c r="F19" i="99"/>
  <c r="E10" i="99"/>
  <c r="F10" i="99"/>
  <c r="E47" i="99"/>
  <c r="F47" i="99"/>
  <c r="E38" i="99"/>
  <c r="F38" i="99"/>
  <c r="E30" i="99"/>
  <c r="F30" i="99"/>
  <c r="E25" i="99"/>
  <c r="F25" i="99"/>
  <c r="E18" i="99"/>
  <c r="F18" i="99"/>
  <c r="E14" i="99"/>
  <c r="F14" i="99"/>
  <c r="E13" i="99"/>
  <c r="F13" i="99"/>
  <c r="E5" i="99"/>
  <c r="F5" i="99"/>
  <c r="E4" i="99"/>
  <c r="F4" i="99"/>
  <c r="E3" i="99"/>
  <c r="F3" i="99"/>
  <c r="E2" i="99"/>
  <c r="F2" i="99"/>
  <c r="E4" i="89" l="1"/>
  <c r="F4" i="89"/>
  <c r="E6" i="89"/>
  <c r="F6" i="89"/>
  <c r="E21" i="89"/>
  <c r="F21" i="89"/>
  <c r="E23" i="89"/>
  <c r="F23" i="89"/>
  <c r="E32" i="89"/>
  <c r="F32" i="89"/>
  <c r="E27" i="89"/>
  <c r="F27" i="89"/>
  <c r="E41" i="89"/>
  <c r="F41" i="89"/>
  <c r="E9" i="89"/>
  <c r="F9" i="89"/>
  <c r="E29" i="89"/>
  <c r="F29" i="89"/>
  <c r="E13" i="89"/>
  <c r="F13" i="89"/>
  <c r="E7" i="89"/>
  <c r="F7" i="89"/>
  <c r="E17" i="89"/>
  <c r="F17" i="89"/>
  <c r="E47" i="89"/>
  <c r="F47" i="89"/>
  <c r="E15" i="89"/>
  <c r="F15" i="89"/>
  <c r="E26" i="89"/>
  <c r="F26" i="89"/>
  <c r="E11" i="89"/>
  <c r="F11" i="89"/>
  <c r="E35" i="89"/>
  <c r="F35" i="89"/>
  <c r="E46" i="89"/>
  <c r="F46" i="89"/>
  <c r="E33" i="89"/>
  <c r="F33" i="89"/>
  <c r="E5" i="89"/>
  <c r="F5" i="89"/>
  <c r="E14" i="89"/>
  <c r="F14" i="89"/>
  <c r="E19" i="89"/>
  <c r="F19" i="89"/>
  <c r="E31" i="89"/>
  <c r="F31" i="89"/>
  <c r="E48" i="89"/>
  <c r="F48" i="89"/>
  <c r="E22" i="89"/>
  <c r="F22" i="89"/>
  <c r="E28" i="89"/>
  <c r="F28" i="89"/>
  <c r="E30" i="89"/>
  <c r="F30" i="89"/>
  <c r="E34" i="89"/>
  <c r="F34" i="89"/>
  <c r="E42" i="89"/>
  <c r="F42" i="89"/>
  <c r="E12" i="89"/>
  <c r="F12" i="89"/>
  <c r="E16" i="89"/>
  <c r="F16" i="89"/>
  <c r="E25" i="89"/>
  <c r="F25" i="89"/>
  <c r="E38" i="89"/>
  <c r="F38" i="89"/>
  <c r="E8" i="89"/>
  <c r="F8" i="89"/>
  <c r="E24" i="89"/>
  <c r="F24" i="89"/>
  <c r="E45" i="89"/>
  <c r="F45" i="89"/>
  <c r="E44" i="89"/>
  <c r="F44" i="89"/>
  <c r="E37" i="89"/>
  <c r="F37" i="89"/>
  <c r="E39" i="89"/>
  <c r="F39" i="89"/>
  <c r="E18" i="89"/>
  <c r="F18" i="89"/>
  <c r="E43" i="89"/>
  <c r="F43" i="89"/>
  <c r="E10" i="89"/>
  <c r="F10" i="89"/>
  <c r="E3" i="89"/>
  <c r="E2" i="89"/>
  <c r="E20" i="89"/>
  <c r="F20" i="89"/>
  <c r="E36" i="89"/>
  <c r="F36" i="89"/>
  <c r="E40" i="89"/>
  <c r="F40" i="89"/>
  <c r="F3" i="89" l="1"/>
  <c r="F2" i="89"/>
  <c r="E27" i="100" l="1"/>
  <c r="F27" i="100"/>
  <c r="E36" i="106"/>
  <c r="F36" i="106"/>
  <c r="E29" i="100"/>
  <c r="F29" i="100"/>
  <c r="E34" i="103"/>
  <c r="F34" i="103"/>
  <c r="E44" i="100"/>
  <c r="F44" i="100"/>
  <c r="E16" i="100"/>
  <c r="F16" i="100"/>
  <c r="E16" i="102"/>
  <c r="F16" i="102"/>
  <c r="E25" i="103"/>
  <c r="F25" i="103"/>
  <c r="E38" i="110"/>
  <c r="F38" i="110"/>
  <c r="E48" i="103"/>
  <c r="F48" i="103"/>
  <c r="E12" i="106"/>
  <c r="F12" i="106"/>
  <c r="E28" i="106"/>
  <c r="F28" i="106"/>
  <c r="E43" i="110"/>
  <c r="F43" i="110"/>
  <c r="E31" i="103"/>
  <c r="F31" i="103"/>
  <c r="E37" i="103"/>
  <c r="F37" i="103"/>
  <c r="E8" i="101"/>
  <c r="F8" i="101"/>
  <c r="E19" i="110"/>
  <c r="F19" i="110"/>
  <c r="E21" i="105"/>
  <c r="F21" i="105"/>
  <c r="E42" i="110"/>
  <c r="F42" i="110"/>
  <c r="E23" i="103"/>
  <c r="F23" i="103"/>
  <c r="E23" i="101"/>
  <c r="F23" i="101"/>
  <c r="E39" i="103"/>
  <c r="F39" i="103"/>
  <c r="E15" i="110"/>
  <c r="F15" i="110"/>
  <c r="E32" i="108"/>
  <c r="F32" i="108"/>
  <c r="E32" i="103"/>
  <c r="F32" i="103"/>
  <c r="E40" i="100"/>
  <c r="F40" i="100"/>
  <c r="E47" i="106"/>
  <c r="F47" i="106"/>
  <c r="E9" i="104"/>
  <c r="F9" i="104"/>
  <c r="E9" i="100"/>
  <c r="F9" i="100"/>
  <c r="E20" i="110"/>
  <c r="F20" i="110"/>
  <c r="E22" i="105"/>
  <c r="F22" i="105"/>
  <c r="E22" i="108"/>
  <c r="F22" i="108"/>
  <c r="E4" i="107"/>
  <c r="F4" i="107"/>
  <c r="E4" i="100"/>
  <c r="F4" i="100"/>
  <c r="E30" i="110"/>
  <c r="F30" i="110"/>
  <c r="E24" i="106"/>
  <c r="F24" i="106"/>
  <c r="E24" i="101"/>
  <c r="F24" i="101"/>
  <c r="E14" i="100"/>
  <c r="F14" i="100"/>
  <c r="E46" i="108"/>
  <c r="F46" i="108"/>
  <c r="E46" i="103"/>
  <c r="F46" i="103"/>
  <c r="E11" i="106"/>
  <c r="F11" i="106"/>
  <c r="E17" i="106"/>
  <c r="F17" i="106"/>
  <c r="E17" i="108"/>
  <c r="F17" i="108"/>
  <c r="E35" i="106"/>
  <c r="F35" i="106"/>
  <c r="E45" i="104"/>
  <c r="F45" i="104"/>
  <c r="E45" i="110"/>
  <c r="F45" i="110"/>
  <c r="E33" i="108"/>
  <c r="F33" i="108"/>
  <c r="E41" i="110"/>
  <c r="F41" i="110"/>
  <c r="E2" i="107"/>
  <c r="F2" i="107"/>
  <c r="E2" i="100"/>
  <c r="F2" i="100"/>
  <c r="E10" i="103"/>
  <c r="F10" i="103"/>
  <c r="E3" i="107"/>
  <c r="F3" i="107"/>
  <c r="E3" i="105"/>
  <c r="F3" i="105"/>
  <c r="E3" i="100"/>
  <c r="F3" i="100"/>
  <c r="E5" i="108"/>
  <c r="F5" i="108"/>
  <c r="E5" i="102"/>
  <c r="F5" i="102"/>
  <c r="E18" i="101"/>
  <c r="F18" i="101"/>
  <c r="E18" i="103"/>
  <c r="F18" i="103"/>
  <c r="E27" i="106"/>
  <c r="F27" i="106"/>
  <c r="E27" i="101"/>
  <c r="F27" i="101"/>
  <c r="E27" i="107"/>
  <c r="F27" i="107"/>
  <c r="E36" i="100"/>
  <c r="F36" i="100"/>
  <c r="E36" i="102"/>
  <c r="F36" i="102"/>
  <c r="E29" i="105"/>
  <c r="F29" i="105"/>
  <c r="E29" i="101"/>
  <c r="F29" i="101"/>
  <c r="E29" i="107"/>
  <c r="F29" i="107"/>
  <c r="E34" i="102"/>
  <c r="F34" i="102"/>
  <c r="E34" i="104"/>
  <c r="F34" i="104"/>
  <c r="E44" i="105"/>
  <c r="F44" i="105"/>
  <c r="E44" i="101"/>
  <c r="F44" i="101"/>
  <c r="E44" i="107"/>
  <c r="F44" i="107"/>
  <c r="E7" i="100"/>
  <c r="F7" i="100"/>
  <c r="E7" i="110"/>
  <c r="F7" i="110"/>
  <c r="E7" i="106"/>
  <c r="F7" i="106"/>
  <c r="E16" i="110"/>
  <c r="F16" i="110"/>
  <c r="E16" i="107"/>
  <c r="F16" i="107"/>
  <c r="E25" i="101"/>
  <c r="F25" i="101"/>
  <c r="E25" i="104"/>
  <c r="F25" i="104"/>
  <c r="E38" i="104"/>
  <c r="F38" i="104"/>
  <c r="E38" i="107"/>
  <c r="F38" i="107"/>
  <c r="E38" i="105"/>
  <c r="F38" i="105"/>
  <c r="E48" i="110"/>
  <c r="F48" i="110"/>
  <c r="E48" i="104"/>
  <c r="F48" i="104"/>
  <c r="E12" i="108"/>
  <c r="F12" i="108"/>
  <c r="E12" i="102"/>
  <c r="F12" i="102"/>
  <c r="E28" i="108"/>
  <c r="F28" i="108"/>
  <c r="E28" i="102"/>
  <c r="F28" i="102"/>
  <c r="E43" i="107"/>
  <c r="F43" i="107"/>
  <c r="E43" i="103"/>
  <c r="F43" i="103"/>
  <c r="E43" i="105"/>
  <c r="F43" i="105"/>
  <c r="E31" i="102"/>
  <c r="F31" i="102"/>
  <c r="E31" i="104"/>
  <c r="F31" i="104"/>
  <c r="E37" i="102"/>
  <c r="F37" i="102"/>
  <c r="E37" i="104"/>
  <c r="F37" i="104"/>
  <c r="E6" i="108"/>
  <c r="F6" i="108"/>
  <c r="E6" i="105"/>
  <c r="F6" i="105"/>
  <c r="E6" i="106"/>
  <c r="F6" i="106"/>
  <c r="E8" i="110"/>
  <c r="F8" i="110"/>
  <c r="E8" i="105"/>
  <c r="F8" i="105"/>
  <c r="E19" i="106"/>
  <c r="F19" i="106"/>
  <c r="E19" i="101"/>
  <c r="F19" i="101"/>
  <c r="E19" i="107"/>
  <c r="F19" i="107"/>
  <c r="E21" i="102"/>
  <c r="F21" i="102"/>
  <c r="E21" i="104"/>
  <c r="F21" i="104"/>
  <c r="E42" i="102"/>
  <c r="F42" i="102"/>
  <c r="E42" i="104"/>
  <c r="F42" i="104"/>
  <c r="E23" i="108"/>
  <c r="F23" i="108"/>
  <c r="E23" i="102"/>
  <c r="F23" i="102"/>
  <c r="E26" i="100"/>
  <c r="F26" i="100"/>
  <c r="E26" i="103"/>
  <c r="F26" i="103"/>
  <c r="E26" i="105"/>
  <c r="F26" i="105"/>
  <c r="E13" i="106"/>
  <c r="F13" i="106"/>
  <c r="E13" i="101"/>
  <c r="F13" i="101"/>
  <c r="E13" i="107"/>
  <c r="F13" i="107"/>
  <c r="E39" i="108"/>
  <c r="F39" i="108"/>
  <c r="E39" i="102"/>
  <c r="F39" i="102"/>
  <c r="E15" i="104"/>
  <c r="F15" i="104"/>
  <c r="E15" i="107"/>
  <c r="F15" i="107"/>
  <c r="E15" i="105"/>
  <c r="F15" i="105"/>
  <c r="E32" i="102"/>
  <c r="F32" i="102"/>
  <c r="E32" i="104"/>
  <c r="F32" i="104"/>
  <c r="E40" i="105"/>
  <c r="F40" i="105"/>
  <c r="E40" i="101"/>
  <c r="F40" i="101"/>
  <c r="E40" i="107"/>
  <c r="F40" i="107"/>
  <c r="E47" i="100"/>
  <c r="F47" i="100"/>
  <c r="E47" i="102"/>
  <c r="F47" i="102"/>
  <c r="E9" i="110"/>
  <c r="F9" i="110"/>
  <c r="E9" i="108"/>
  <c r="F9" i="108"/>
  <c r="E20" i="106"/>
  <c r="F20" i="106"/>
  <c r="E20" i="101"/>
  <c r="F20" i="101"/>
  <c r="E20" i="107"/>
  <c r="F20" i="107"/>
  <c r="E22" i="102"/>
  <c r="F22" i="102"/>
  <c r="E22" i="104"/>
  <c r="F22" i="104"/>
  <c r="E4" i="106"/>
  <c r="F4" i="106"/>
  <c r="E4" i="101"/>
  <c r="F4" i="101"/>
  <c r="E30" i="104"/>
  <c r="F30" i="104"/>
  <c r="E30" i="107"/>
  <c r="F30" i="107"/>
  <c r="E30" i="105"/>
  <c r="F30" i="105"/>
  <c r="E24" i="107"/>
  <c r="F24" i="107"/>
  <c r="E24" i="102"/>
  <c r="F24" i="102"/>
  <c r="E14" i="106"/>
  <c r="F14" i="106"/>
  <c r="E14" i="101"/>
  <c r="F14" i="101"/>
  <c r="E14" i="107"/>
  <c r="F14" i="107"/>
  <c r="E46" i="102"/>
  <c r="F46" i="102"/>
  <c r="E46" i="104"/>
  <c r="F46" i="104"/>
  <c r="E11" i="108"/>
  <c r="F11" i="108"/>
  <c r="E11" i="102"/>
  <c r="F11" i="102"/>
  <c r="E17" i="103"/>
  <c r="F17" i="103"/>
  <c r="E17" i="110"/>
  <c r="F17" i="110"/>
  <c r="E17" i="104"/>
  <c r="F17" i="104"/>
  <c r="E35" i="100"/>
  <c r="F35" i="100"/>
  <c r="E35" i="102"/>
  <c r="F35" i="102"/>
  <c r="E45" i="108"/>
  <c r="F45" i="108"/>
  <c r="E45" i="103"/>
  <c r="F45" i="103"/>
  <c r="E45" i="105"/>
  <c r="F45" i="105"/>
  <c r="E33" i="102"/>
  <c r="F33" i="102"/>
  <c r="E33" i="104"/>
  <c r="F33" i="104"/>
  <c r="E41" i="106"/>
  <c r="F41" i="106"/>
  <c r="E41" i="101"/>
  <c r="F41" i="101"/>
  <c r="E41" i="107"/>
  <c r="F41" i="107"/>
  <c r="E2" i="106"/>
  <c r="F2" i="106"/>
  <c r="E2" i="101"/>
  <c r="F2" i="101"/>
  <c r="E10" i="110"/>
  <c r="F10" i="110"/>
  <c r="E10" i="107"/>
  <c r="F10" i="107"/>
  <c r="E10" i="106"/>
  <c r="F10" i="106"/>
  <c r="E3" i="106"/>
  <c r="F3" i="106"/>
  <c r="E3" i="101"/>
  <c r="F3" i="101"/>
  <c r="E5" i="101"/>
  <c r="F5" i="101"/>
  <c r="E5" i="107"/>
  <c r="F5" i="107"/>
  <c r="E18" i="105"/>
  <c r="F18" i="105"/>
  <c r="E18" i="108"/>
  <c r="F18" i="108"/>
  <c r="E18" i="106"/>
  <c r="F18" i="106"/>
  <c r="E36" i="101"/>
  <c r="F36" i="101"/>
  <c r="E34" i="106"/>
  <c r="F34" i="106"/>
  <c r="E7" i="104"/>
  <c r="F7" i="104"/>
  <c r="E25" i="102"/>
  <c r="F25" i="102"/>
  <c r="E48" i="102"/>
  <c r="F48" i="102"/>
  <c r="E12" i="103"/>
  <c r="F12" i="103"/>
  <c r="E28" i="100"/>
  <c r="F28" i="100"/>
  <c r="E43" i="104"/>
  <c r="F43" i="104"/>
  <c r="E37" i="110"/>
  <c r="F37" i="110"/>
  <c r="E6" i="101"/>
  <c r="F6" i="101"/>
  <c r="E8" i="102"/>
  <c r="F8" i="102"/>
  <c r="E21" i="108"/>
  <c r="F21" i="108"/>
  <c r="E42" i="108"/>
  <c r="F42" i="108"/>
  <c r="E23" i="106"/>
  <c r="F23" i="106"/>
  <c r="E26" i="110"/>
  <c r="F26" i="110"/>
  <c r="E13" i="100"/>
  <c r="F13" i="100"/>
  <c r="E39" i="101"/>
  <c r="F39" i="101"/>
  <c r="E15" i="100"/>
  <c r="F15" i="100"/>
  <c r="E32" i="105"/>
  <c r="F32" i="105"/>
  <c r="E40" i="110"/>
  <c r="F40" i="110"/>
  <c r="E47" i="108"/>
  <c r="F47" i="108"/>
  <c r="E47" i="101"/>
  <c r="F47" i="101"/>
  <c r="E9" i="102"/>
  <c r="F9" i="102"/>
  <c r="E20" i="100"/>
  <c r="F20" i="100"/>
  <c r="E22" i="103"/>
  <c r="F22" i="103"/>
  <c r="E4" i="105"/>
  <c r="F4" i="105"/>
  <c r="E30" i="100"/>
  <c r="F30" i="100"/>
  <c r="E24" i="108"/>
  <c r="F24" i="108"/>
  <c r="E14" i="110"/>
  <c r="F14" i="110"/>
  <c r="E46" i="106"/>
  <c r="F46" i="106"/>
  <c r="E11" i="103"/>
  <c r="F11" i="103"/>
  <c r="E11" i="101"/>
  <c r="F11" i="101"/>
  <c r="E35" i="107"/>
  <c r="F35" i="107"/>
  <c r="E35" i="101"/>
  <c r="F35" i="101"/>
  <c r="E33" i="106"/>
  <c r="F33" i="106"/>
  <c r="E33" i="103"/>
  <c r="F33" i="103"/>
  <c r="E41" i="100"/>
  <c r="F41" i="100"/>
  <c r="E2" i="105"/>
  <c r="F2" i="105"/>
  <c r="E10" i="100"/>
  <c r="F10" i="100"/>
  <c r="E5" i="104"/>
  <c r="F5" i="104"/>
  <c r="E27" i="105"/>
  <c r="F27" i="105"/>
  <c r="E27" i="108"/>
  <c r="F27" i="108"/>
  <c r="E27" i="103"/>
  <c r="F27" i="103"/>
  <c r="E36" i="104"/>
  <c r="F36" i="104"/>
  <c r="E36" i="110"/>
  <c r="F36" i="110"/>
  <c r="E29" i="106"/>
  <c r="F29" i="106"/>
  <c r="E29" i="108"/>
  <c r="F29" i="108"/>
  <c r="E29" i="103"/>
  <c r="F29" i="103"/>
  <c r="E34" i="110"/>
  <c r="F34" i="110"/>
  <c r="E34" i="100"/>
  <c r="F34" i="100"/>
  <c r="E44" i="106"/>
  <c r="F44" i="106"/>
  <c r="E44" i="108"/>
  <c r="F44" i="108"/>
  <c r="E44" i="103"/>
  <c r="F44" i="103"/>
  <c r="E7" i="107"/>
  <c r="F7" i="107"/>
  <c r="E7" i="101"/>
  <c r="F7" i="101"/>
  <c r="E7" i="102"/>
  <c r="F7" i="102"/>
  <c r="E16" i="108"/>
  <c r="F16" i="108"/>
  <c r="E16" i="103"/>
  <c r="F16" i="103"/>
  <c r="E25" i="106"/>
  <c r="F25" i="106"/>
  <c r="E25" i="100"/>
  <c r="F25" i="100"/>
  <c r="E38" i="103"/>
  <c r="F38" i="103"/>
  <c r="E38" i="106"/>
  <c r="F38" i="106"/>
  <c r="E38" i="101"/>
  <c r="F38" i="101"/>
  <c r="E48" i="101"/>
  <c r="F48" i="101"/>
  <c r="E48" i="100"/>
  <c r="F48" i="100"/>
  <c r="E12" i="100"/>
  <c r="F12" i="100"/>
  <c r="E12" i="110"/>
  <c r="F12" i="110"/>
  <c r="E28" i="104"/>
  <c r="F28" i="104"/>
  <c r="E28" i="110"/>
  <c r="F28" i="110"/>
  <c r="E43" i="100"/>
  <c r="F43" i="100"/>
  <c r="E43" i="106"/>
  <c r="F43" i="106"/>
  <c r="E43" i="101"/>
  <c r="F43" i="101"/>
  <c r="E31" i="110"/>
  <c r="F31" i="110"/>
  <c r="E31" i="100"/>
  <c r="F31" i="100"/>
  <c r="E37" i="106"/>
  <c r="F37" i="106"/>
  <c r="E37" i="100"/>
  <c r="F37" i="100"/>
  <c r="E6" i="107"/>
  <c r="F6" i="107"/>
  <c r="E6" i="100"/>
  <c r="F6" i="100"/>
  <c r="E6" i="102"/>
  <c r="F6" i="102"/>
  <c r="E8" i="108"/>
  <c r="F8" i="108"/>
  <c r="E8" i="100"/>
  <c r="F8" i="100"/>
  <c r="E19" i="105"/>
  <c r="F19" i="105"/>
  <c r="E19" i="108"/>
  <c r="F19" i="108"/>
  <c r="E19" i="103"/>
  <c r="F19" i="103"/>
  <c r="E21" i="110"/>
  <c r="F21" i="110"/>
  <c r="E21" i="100"/>
  <c r="F21" i="100"/>
  <c r="E42" i="106"/>
  <c r="F42" i="106"/>
  <c r="E42" i="100"/>
  <c r="F42" i="100"/>
  <c r="E23" i="100"/>
  <c r="F23" i="100"/>
  <c r="E23" i="110"/>
  <c r="F23" i="110"/>
  <c r="E26" i="108"/>
  <c r="F26" i="108"/>
  <c r="E26" i="106"/>
  <c r="F26" i="106"/>
  <c r="E26" i="101"/>
  <c r="F26" i="101"/>
  <c r="E13" i="105"/>
  <c r="F13" i="105"/>
  <c r="E13" i="108"/>
  <c r="F13" i="108"/>
  <c r="E13" i="103"/>
  <c r="F13" i="103"/>
  <c r="E39" i="100"/>
  <c r="F39" i="100"/>
  <c r="E39" i="110"/>
  <c r="F39" i="110"/>
  <c r="E15" i="103"/>
  <c r="F15" i="103"/>
  <c r="E15" i="106"/>
  <c r="F15" i="106"/>
  <c r="E15" i="101"/>
  <c r="F15" i="101"/>
  <c r="E32" i="110"/>
  <c r="F32" i="110"/>
  <c r="E32" i="100"/>
  <c r="F32" i="100"/>
  <c r="E40" i="106"/>
  <c r="F40" i="106"/>
  <c r="E40" i="108"/>
  <c r="F40" i="108"/>
  <c r="E40" i="103"/>
  <c r="F40" i="103"/>
  <c r="E47" i="107"/>
  <c r="F47" i="107"/>
  <c r="E47" i="110"/>
  <c r="F47" i="110"/>
  <c r="E9" i="101"/>
  <c r="F9" i="101"/>
  <c r="E9" i="103"/>
  <c r="F9" i="103"/>
  <c r="E20" i="105"/>
  <c r="F20" i="105"/>
  <c r="E20" i="108"/>
  <c r="F20" i="108"/>
  <c r="E20" i="103"/>
  <c r="F20" i="103"/>
  <c r="E22" i="110"/>
  <c r="F22" i="110"/>
  <c r="E22" i="100"/>
  <c r="F22" i="100"/>
  <c r="E4" i="103"/>
  <c r="F4" i="103"/>
  <c r="E4" i="108"/>
  <c r="F4" i="108"/>
  <c r="E30" i="103"/>
  <c r="F30" i="103"/>
  <c r="E30" i="106"/>
  <c r="F30" i="106"/>
  <c r="E30" i="101"/>
  <c r="F30" i="101"/>
  <c r="E24" i="104"/>
  <c r="F24" i="104"/>
  <c r="E24" i="110"/>
  <c r="F24" i="110"/>
  <c r="E14" i="105"/>
  <c r="F14" i="105"/>
  <c r="E14" i="108"/>
  <c r="F14" i="108"/>
  <c r="E14" i="103"/>
  <c r="F14" i="103"/>
  <c r="E46" i="110"/>
  <c r="F46" i="110"/>
  <c r="E46" i="100"/>
  <c r="F46" i="100"/>
  <c r="E11" i="100"/>
  <c r="F11" i="100"/>
  <c r="E11" i="110"/>
  <c r="F11" i="110"/>
  <c r="E17" i="102"/>
  <c r="F17" i="102"/>
  <c r="E17" i="105"/>
  <c r="F17" i="105"/>
  <c r="E17" i="100"/>
  <c r="F17" i="100"/>
  <c r="E35" i="104"/>
  <c r="F35" i="104"/>
  <c r="E35" i="110"/>
  <c r="F35" i="110"/>
  <c r="E45" i="107"/>
  <c r="F45" i="107"/>
  <c r="E45" i="106"/>
  <c r="F45" i="106"/>
  <c r="E45" i="101"/>
  <c r="F45" i="101"/>
  <c r="E33" i="110"/>
  <c r="F33" i="110"/>
  <c r="E33" i="100"/>
  <c r="F33" i="100"/>
  <c r="E41" i="105"/>
  <c r="F41" i="105"/>
  <c r="E41" i="108"/>
  <c r="F41" i="108"/>
  <c r="E41" i="103"/>
  <c r="F41" i="103"/>
  <c r="E2" i="103"/>
  <c r="F2" i="103"/>
  <c r="E2" i="108"/>
  <c r="F2" i="108"/>
  <c r="E10" i="108"/>
  <c r="F10" i="108"/>
  <c r="E10" i="101"/>
  <c r="F10" i="101"/>
  <c r="E10" i="102"/>
  <c r="F10" i="102"/>
  <c r="E3" i="103"/>
  <c r="F3" i="103"/>
  <c r="E3" i="108"/>
  <c r="F3" i="108"/>
  <c r="E5" i="100"/>
  <c r="F5" i="100"/>
  <c r="E5" i="103"/>
  <c r="F5" i="103"/>
  <c r="E18" i="104"/>
  <c r="F18" i="104"/>
  <c r="E18" i="100"/>
  <c r="F18" i="100"/>
  <c r="E18" i="102"/>
  <c r="F18" i="102"/>
  <c r="E27" i="110"/>
  <c r="F27" i="110"/>
  <c r="E36" i="107"/>
  <c r="F36" i="107"/>
  <c r="E29" i="110"/>
  <c r="F29" i="110"/>
  <c r="E34" i="108"/>
  <c r="F34" i="108"/>
  <c r="E44" i="110"/>
  <c r="F44" i="110"/>
  <c r="E7" i="103"/>
  <c r="F7" i="103"/>
  <c r="E16" i="104"/>
  <c r="F16" i="104"/>
  <c r="E25" i="108"/>
  <c r="F25" i="108"/>
  <c r="E38" i="100"/>
  <c r="F38" i="100"/>
  <c r="E48" i="108"/>
  <c r="F48" i="108"/>
  <c r="E12" i="101"/>
  <c r="F12" i="101"/>
  <c r="E28" i="101"/>
  <c r="F28" i="101"/>
  <c r="E31" i="106"/>
  <c r="F31" i="106"/>
  <c r="E31" i="108"/>
  <c r="F31" i="108"/>
  <c r="E37" i="108"/>
  <c r="F37" i="108"/>
  <c r="E6" i="104"/>
  <c r="F6" i="104"/>
  <c r="E8" i="104"/>
  <c r="F8" i="104"/>
  <c r="E19" i="100"/>
  <c r="F19" i="100"/>
  <c r="E21" i="103"/>
  <c r="F21" i="103"/>
  <c r="E42" i="103"/>
  <c r="F42" i="103"/>
  <c r="E26" i="104"/>
  <c r="F26" i="104"/>
  <c r="E13" i="110"/>
  <c r="F13" i="110"/>
  <c r="E39" i="106"/>
  <c r="F39" i="106"/>
  <c r="E27" i="102"/>
  <c r="F27" i="102"/>
  <c r="E27" i="104"/>
  <c r="F27" i="104"/>
  <c r="E36" i="108"/>
  <c r="F36" i="108"/>
  <c r="E36" i="103"/>
  <c r="F36" i="103"/>
  <c r="E36" i="105"/>
  <c r="F36" i="105"/>
  <c r="E29" i="102"/>
  <c r="F29" i="102"/>
  <c r="E29" i="104"/>
  <c r="F29" i="104"/>
  <c r="E34" i="105"/>
  <c r="F34" i="105"/>
  <c r="E34" i="101"/>
  <c r="F34" i="101"/>
  <c r="E34" i="107"/>
  <c r="F34" i="107"/>
  <c r="E44" i="102"/>
  <c r="F44" i="102"/>
  <c r="E44" i="104"/>
  <c r="F44" i="104"/>
  <c r="E7" i="105"/>
  <c r="F7" i="105"/>
  <c r="E7" i="108"/>
  <c r="F7" i="108"/>
  <c r="E16" i="101"/>
  <c r="F16" i="101"/>
  <c r="E16" i="105"/>
  <c r="F16" i="105"/>
  <c r="E16" i="106"/>
  <c r="F16" i="106"/>
  <c r="E25" i="110"/>
  <c r="F25" i="110"/>
  <c r="E25" i="105"/>
  <c r="F25" i="105"/>
  <c r="E25" i="107"/>
  <c r="F25" i="107"/>
  <c r="E38" i="108"/>
  <c r="F38" i="108"/>
  <c r="E38" i="102"/>
  <c r="F38" i="102"/>
  <c r="E48" i="105"/>
  <c r="F48" i="105"/>
  <c r="E48" i="106"/>
  <c r="F48" i="106"/>
  <c r="E48" i="107"/>
  <c r="F48" i="107"/>
  <c r="E12" i="104"/>
  <c r="F12" i="104"/>
  <c r="E12" i="107"/>
  <c r="F12" i="107"/>
  <c r="E12" i="105"/>
  <c r="F12" i="105"/>
  <c r="E28" i="107"/>
  <c r="F28" i="107"/>
  <c r="E28" i="103"/>
  <c r="F28" i="103"/>
  <c r="E28" i="105"/>
  <c r="F28" i="105"/>
  <c r="E43" i="108"/>
  <c r="F43" i="108"/>
  <c r="E43" i="102"/>
  <c r="F43" i="102"/>
  <c r="E31" i="105"/>
  <c r="F31" i="105"/>
  <c r="E31" i="101"/>
  <c r="F31" i="101"/>
  <c r="E31" i="107"/>
  <c r="F31" i="107"/>
  <c r="E37" i="101"/>
  <c r="F37" i="101"/>
  <c r="E37" i="105"/>
  <c r="F37" i="105"/>
  <c r="E37" i="107"/>
  <c r="F37" i="107"/>
  <c r="E6" i="103"/>
  <c r="F6" i="103"/>
  <c r="E6" i="110"/>
  <c r="F6" i="110"/>
  <c r="E8" i="103"/>
  <c r="F8" i="103"/>
  <c r="E8" i="107"/>
  <c r="F8" i="107"/>
  <c r="E8" i="106"/>
  <c r="F8" i="106"/>
  <c r="E19" i="102"/>
  <c r="F19" i="102"/>
  <c r="E19" i="104"/>
  <c r="F19" i="104"/>
  <c r="E21" i="106"/>
  <c r="F21" i="106"/>
  <c r="E21" i="101"/>
  <c r="F21" i="101"/>
  <c r="E21" i="107"/>
  <c r="F21" i="107"/>
  <c r="E42" i="101"/>
  <c r="F42" i="101"/>
  <c r="E42" i="105"/>
  <c r="F42" i="105"/>
  <c r="E42" i="107"/>
  <c r="F42" i="107"/>
  <c r="E23" i="104"/>
  <c r="F23" i="104"/>
  <c r="E23" i="107"/>
  <c r="F23" i="107"/>
  <c r="E23" i="105"/>
  <c r="F23" i="105"/>
  <c r="E26" i="107"/>
  <c r="F26" i="107"/>
  <c r="E26" i="102"/>
  <c r="F26" i="102"/>
  <c r="E13" i="102"/>
  <c r="F13" i="102"/>
  <c r="E13" i="104"/>
  <c r="F13" i="104"/>
  <c r="E39" i="104"/>
  <c r="F39" i="104"/>
  <c r="E39" i="107"/>
  <c r="F39" i="107"/>
  <c r="E39" i="105"/>
  <c r="F39" i="105"/>
  <c r="E15" i="108"/>
  <c r="F15" i="108"/>
  <c r="E15" i="102"/>
  <c r="F15" i="102"/>
  <c r="E32" i="106"/>
  <c r="F32" i="106"/>
  <c r="E32" i="101"/>
  <c r="F32" i="101"/>
  <c r="E32" i="107"/>
  <c r="F32" i="107"/>
  <c r="E40" i="102"/>
  <c r="F40" i="102"/>
  <c r="E40" i="104"/>
  <c r="F40" i="104"/>
  <c r="E47" i="103"/>
  <c r="F47" i="103"/>
  <c r="E47" i="104"/>
  <c r="F47" i="104"/>
  <c r="E47" i="105"/>
  <c r="F47" i="105"/>
  <c r="E9" i="105"/>
  <c r="F9" i="105"/>
  <c r="E9" i="107"/>
  <c r="F9" i="107"/>
  <c r="E9" i="106"/>
  <c r="F9" i="106"/>
  <c r="E20" i="102"/>
  <c r="F20" i="102"/>
  <c r="E20" i="104"/>
  <c r="F20" i="104"/>
  <c r="E22" i="106"/>
  <c r="F22" i="106"/>
  <c r="E22" i="101"/>
  <c r="F22" i="101"/>
  <c r="E22" i="107"/>
  <c r="F22" i="107"/>
  <c r="E4" i="102"/>
  <c r="F4" i="102"/>
  <c r="E4" i="110"/>
  <c r="F4" i="110"/>
  <c r="E4" i="104"/>
  <c r="F4" i="104"/>
  <c r="E30" i="108"/>
  <c r="F30" i="108"/>
  <c r="E30" i="102"/>
  <c r="F30" i="102"/>
  <c r="E24" i="100"/>
  <c r="F24" i="100"/>
  <c r="E24" i="103"/>
  <c r="F24" i="103"/>
  <c r="E24" i="105"/>
  <c r="F24" i="105"/>
  <c r="E14" i="102"/>
  <c r="F14" i="102"/>
  <c r="E14" i="104"/>
  <c r="F14" i="104"/>
  <c r="E46" i="105"/>
  <c r="F46" i="105"/>
  <c r="E46" i="101"/>
  <c r="F46" i="101"/>
  <c r="E46" i="107"/>
  <c r="F46" i="107"/>
  <c r="E11" i="104"/>
  <c r="F11" i="104"/>
  <c r="E11" i="107"/>
  <c r="F11" i="107"/>
  <c r="E11" i="105"/>
  <c r="F11" i="105"/>
  <c r="E17" i="107"/>
  <c r="F17" i="107"/>
  <c r="E17" i="101"/>
  <c r="F17" i="101"/>
  <c r="E35" i="108"/>
  <c r="F35" i="108"/>
  <c r="E35" i="103"/>
  <c r="F35" i="103"/>
  <c r="E35" i="105"/>
  <c r="F35" i="105"/>
  <c r="E45" i="100"/>
  <c r="F45" i="100"/>
  <c r="E45" i="102"/>
  <c r="F45" i="102"/>
  <c r="E33" i="105"/>
  <c r="F33" i="105"/>
  <c r="E33" i="101"/>
  <c r="F33" i="101"/>
  <c r="E33" i="107"/>
  <c r="F33" i="107"/>
  <c r="E41" i="102"/>
  <c r="F41" i="102"/>
  <c r="E41" i="104"/>
  <c r="F41" i="104"/>
  <c r="E2" i="102"/>
  <c r="F2" i="102"/>
  <c r="E2" i="110"/>
  <c r="F2" i="110"/>
  <c r="E2" i="104"/>
  <c r="F2" i="104"/>
  <c r="E10" i="104"/>
  <c r="F10" i="104"/>
  <c r="E10" i="105"/>
  <c r="F10" i="105"/>
  <c r="E3" i="102"/>
  <c r="F3" i="102"/>
  <c r="E3" i="110"/>
  <c r="F3" i="110"/>
  <c r="E3" i="104"/>
  <c r="F3" i="104"/>
  <c r="E5" i="110"/>
  <c r="F5" i="110"/>
  <c r="E5" i="105"/>
  <c r="F5" i="105"/>
  <c r="E5" i="106"/>
  <c r="F5" i="106"/>
  <c r="E18" i="110"/>
  <c r="F18" i="110"/>
  <c r="E18" i="107"/>
  <c r="F18" i="107"/>
  <c r="E6" i="109" l="1"/>
  <c r="F6" i="109"/>
  <c r="E31" i="92"/>
  <c r="F31" i="92"/>
  <c r="E24" i="95"/>
  <c r="F24" i="95"/>
  <c r="E43" i="95"/>
  <c r="F43" i="95"/>
  <c r="E38" i="95"/>
  <c r="F38" i="95"/>
  <c r="E39" i="92"/>
  <c r="F39" i="92"/>
  <c r="E39" i="98"/>
  <c r="F39" i="98"/>
  <c r="E26" i="95"/>
  <c r="F26" i="95"/>
  <c r="E17" i="95"/>
  <c r="F17" i="95"/>
  <c r="E8" i="95"/>
  <c r="F8" i="95"/>
  <c r="E35" i="91"/>
  <c r="F35" i="91"/>
  <c r="E37" i="95"/>
  <c r="F37" i="95"/>
  <c r="E28" i="94"/>
  <c r="F28" i="94"/>
  <c r="E43" i="93"/>
  <c r="F43" i="93"/>
  <c r="E32" i="98"/>
  <c r="F32" i="98"/>
  <c r="E28" i="109"/>
  <c r="F28" i="109"/>
  <c r="E19" i="94"/>
  <c r="F19" i="94"/>
  <c r="E11" i="92"/>
  <c r="F11" i="92"/>
  <c r="E42" i="93"/>
  <c r="F42" i="93"/>
  <c r="E31" i="96"/>
  <c r="F31" i="96"/>
  <c r="E16" i="96"/>
  <c r="F16" i="96"/>
  <c r="E9" i="98"/>
  <c r="F9" i="98"/>
  <c r="E44" i="90"/>
  <c r="F44" i="90"/>
  <c r="E37" i="91"/>
  <c r="F37" i="91"/>
  <c r="E11" i="96"/>
  <c r="F11" i="96"/>
  <c r="E42" i="96"/>
  <c r="F42" i="96"/>
  <c r="E34" i="92"/>
  <c r="F34" i="92"/>
  <c r="E46" i="98"/>
  <c r="F46" i="98"/>
  <c r="E18" i="94"/>
  <c r="F18" i="94"/>
  <c r="E12" i="98"/>
  <c r="F12" i="98"/>
  <c r="E31" i="97"/>
  <c r="F31" i="97"/>
  <c r="E21" i="91"/>
  <c r="F21" i="91"/>
  <c r="E41" i="91"/>
  <c r="F41" i="91"/>
  <c r="E22" i="94"/>
  <c r="F22" i="94"/>
  <c r="E32" i="92"/>
  <c r="F32" i="92"/>
  <c r="E44" i="93"/>
  <c r="F44" i="93"/>
  <c r="E36" i="95"/>
  <c r="F36" i="95"/>
  <c r="E12" i="95"/>
  <c r="F12" i="95"/>
  <c r="E5" i="94"/>
  <c r="F5" i="94"/>
  <c r="E26" i="109"/>
  <c r="F26" i="109"/>
  <c r="E17" i="96"/>
  <c r="F17" i="96"/>
  <c r="E14" i="109"/>
  <c r="F14" i="109"/>
  <c r="E22" i="93"/>
  <c r="F22" i="93"/>
  <c r="E9" i="94"/>
  <c r="F9" i="94"/>
  <c r="E16" i="91"/>
  <c r="F16" i="91"/>
  <c r="E39" i="91"/>
  <c r="F39" i="91"/>
  <c r="E39" i="96"/>
  <c r="F39" i="96"/>
  <c r="E39" i="93"/>
  <c r="F39" i="93"/>
  <c r="E26" i="90"/>
  <c r="F26" i="90"/>
  <c r="E17" i="93"/>
  <c r="F17" i="93"/>
  <c r="E17" i="98"/>
  <c r="F17" i="98"/>
  <c r="E8" i="92"/>
  <c r="F8" i="92"/>
  <c r="E45" i="93"/>
  <c r="F45" i="93"/>
  <c r="E45" i="98"/>
  <c r="F45" i="98"/>
  <c r="E45" i="96"/>
  <c r="F45" i="96"/>
  <c r="E35" i="90"/>
  <c r="F35" i="90"/>
  <c r="E35" i="109"/>
  <c r="F35" i="109"/>
  <c r="E30" i="98"/>
  <c r="F30" i="98"/>
  <c r="E30" i="96"/>
  <c r="F30" i="96"/>
  <c r="E37" i="109"/>
  <c r="F37" i="109"/>
  <c r="E28" i="93"/>
  <c r="F28" i="93"/>
  <c r="E28" i="98"/>
  <c r="F28" i="98"/>
  <c r="E28" i="95"/>
  <c r="F28" i="95"/>
  <c r="E6" i="94"/>
  <c r="F6" i="94"/>
  <c r="E42" i="90"/>
  <c r="F42" i="90"/>
  <c r="E34" i="93"/>
  <c r="F34" i="93"/>
  <c r="E34" i="96"/>
  <c r="F34" i="96"/>
  <c r="E36" i="97"/>
  <c r="F36" i="97"/>
  <c r="E12" i="91"/>
  <c r="F12" i="91"/>
  <c r="E12" i="93"/>
  <c r="F12" i="93"/>
  <c r="E15" i="109"/>
  <c r="F15" i="109"/>
  <c r="E31" i="90"/>
  <c r="F31" i="90"/>
  <c r="E5" i="95"/>
  <c r="F5" i="95"/>
  <c r="E23" i="93"/>
  <c r="F23" i="93"/>
  <c r="E21" i="90"/>
  <c r="F21" i="90"/>
  <c r="E48" i="91"/>
  <c r="F48" i="91"/>
  <c r="E48" i="98"/>
  <c r="F48" i="98"/>
  <c r="E41" i="109"/>
  <c r="F41" i="109"/>
  <c r="E33" i="95"/>
  <c r="F33" i="95"/>
  <c r="E16" i="90"/>
  <c r="F16" i="90"/>
  <c r="E14" i="90"/>
  <c r="F14" i="90"/>
  <c r="E27" i="109"/>
  <c r="F27" i="109"/>
  <c r="E24" i="96"/>
  <c r="F24" i="96"/>
  <c r="E43" i="98"/>
  <c r="F43" i="98"/>
  <c r="E22" i="98"/>
  <c r="F22" i="98"/>
  <c r="E9" i="92"/>
  <c r="F9" i="92"/>
  <c r="E7" i="91"/>
  <c r="F7" i="91"/>
  <c r="E38" i="109"/>
  <c r="F38" i="109"/>
  <c r="E44" i="94"/>
  <c r="F44" i="94"/>
  <c r="E29" i="90"/>
  <c r="F29" i="90"/>
  <c r="E13" i="93"/>
  <c r="F13" i="93"/>
  <c r="E35" i="96"/>
  <c r="F35" i="96"/>
  <c r="E19" i="98"/>
  <c r="F19" i="98"/>
  <c r="E4" i="91"/>
  <c r="F4" i="91"/>
  <c r="E11" i="109"/>
  <c r="F11" i="109"/>
  <c r="E3" i="91"/>
  <c r="F3" i="91"/>
  <c r="E3" i="96"/>
  <c r="F3" i="96"/>
  <c r="E42" i="91"/>
  <c r="F42" i="91"/>
  <c r="E46" i="93"/>
  <c r="F46" i="93"/>
  <c r="E47" i="94"/>
  <c r="F47" i="94"/>
  <c r="E47" i="92"/>
  <c r="F47" i="92"/>
  <c r="E5" i="96"/>
  <c r="F5" i="96"/>
  <c r="E23" i="94"/>
  <c r="F23" i="94"/>
  <c r="E23" i="92"/>
  <c r="F23" i="92"/>
  <c r="E21" i="96"/>
  <c r="F21" i="96"/>
  <c r="E41" i="95"/>
  <c r="F41" i="95"/>
  <c r="E16" i="97"/>
  <c r="F16" i="97"/>
  <c r="E14" i="97"/>
  <c r="F14" i="97"/>
  <c r="E14" i="91"/>
  <c r="F14" i="91"/>
  <c r="E27" i="93"/>
  <c r="F27" i="93"/>
  <c r="E7" i="96"/>
  <c r="F7" i="96"/>
  <c r="E38" i="92"/>
  <c r="F38" i="92"/>
  <c r="E39" i="109"/>
  <c r="F39" i="109"/>
  <c r="E26" i="93"/>
  <c r="F26" i="93"/>
  <c r="E17" i="92"/>
  <c r="F17" i="92"/>
  <c r="E17" i="90"/>
  <c r="F17" i="90"/>
  <c r="E45" i="90"/>
  <c r="F45" i="90"/>
  <c r="E35" i="93"/>
  <c r="F35" i="93"/>
  <c r="E30" i="90"/>
  <c r="F30" i="90"/>
  <c r="E4" i="94"/>
  <c r="F4" i="94"/>
  <c r="E3" i="109"/>
  <c r="F3" i="109"/>
  <c r="E3" i="92"/>
  <c r="F3" i="92"/>
  <c r="E34" i="97"/>
  <c r="F34" i="97"/>
  <c r="E15" i="92"/>
  <c r="F15" i="92"/>
  <c r="E38" i="97"/>
  <c r="F38" i="97"/>
  <c r="E32" i="95"/>
  <c r="F32" i="95"/>
  <c r="E8" i="98"/>
  <c r="F8" i="98"/>
  <c r="E45" i="92"/>
  <c r="F45" i="92"/>
  <c r="E35" i="95"/>
  <c r="F35" i="95"/>
  <c r="E30" i="92"/>
  <c r="F30" i="92"/>
  <c r="E40" i="96"/>
  <c r="F40" i="96"/>
  <c r="E29" i="91"/>
  <c r="F29" i="91"/>
  <c r="E45" i="109"/>
  <c r="F45" i="109"/>
  <c r="E6" i="93"/>
  <c r="F6" i="93"/>
  <c r="E3" i="93"/>
  <c r="F3" i="93"/>
  <c r="E12" i="90"/>
  <c r="F12" i="90"/>
  <c r="E15" i="98"/>
  <c r="F15" i="98"/>
  <c r="E10" i="93"/>
  <c r="F10" i="93"/>
  <c r="E43" i="96"/>
  <c r="F43" i="96"/>
  <c r="E6" i="97"/>
  <c r="F6" i="97"/>
  <c r="E18" i="109"/>
  <c r="F18" i="109"/>
  <c r="E15" i="97"/>
  <c r="F15" i="97"/>
  <c r="E15" i="96"/>
  <c r="F15" i="96"/>
  <c r="E31" i="94"/>
  <c r="F31" i="94"/>
  <c r="E10" i="98"/>
  <c r="F10" i="98"/>
  <c r="E48" i="92"/>
  <c r="F48" i="92"/>
  <c r="E48" i="90"/>
  <c r="F48" i="90"/>
  <c r="E41" i="97"/>
  <c r="F41" i="97"/>
  <c r="E33" i="94"/>
  <c r="F33" i="94"/>
  <c r="E16" i="94"/>
  <c r="F16" i="94"/>
  <c r="E40" i="92"/>
  <c r="F40" i="92"/>
  <c r="E14" i="96"/>
  <c r="F14" i="96"/>
  <c r="E27" i="95"/>
  <c r="F27" i="95"/>
  <c r="E27" i="90"/>
  <c r="F27" i="90"/>
  <c r="E24" i="98"/>
  <c r="F24" i="98"/>
  <c r="E43" i="92"/>
  <c r="F43" i="92"/>
  <c r="E22" i="92"/>
  <c r="F22" i="92"/>
  <c r="E20" i="97"/>
  <c r="F20" i="97"/>
  <c r="E20" i="96"/>
  <c r="F20" i="96"/>
  <c r="E9" i="95"/>
  <c r="F9" i="95"/>
  <c r="E9" i="109"/>
  <c r="F9" i="109"/>
  <c r="E7" i="95"/>
  <c r="F7" i="95"/>
  <c r="E7" i="98"/>
  <c r="F7" i="98"/>
  <c r="E38" i="94"/>
  <c r="F38" i="94"/>
  <c r="E44" i="95"/>
  <c r="F44" i="95"/>
  <c r="E4" i="95"/>
  <c r="F4" i="95"/>
  <c r="E26" i="97"/>
  <c r="F26" i="97"/>
  <c r="E26" i="96"/>
  <c r="F26" i="96"/>
  <c r="E8" i="91"/>
  <c r="F8" i="91"/>
  <c r="E8" i="97"/>
  <c r="F8" i="97"/>
  <c r="E11" i="90"/>
  <c r="F11" i="90"/>
  <c r="E3" i="95"/>
  <c r="F3" i="95"/>
  <c r="E36" i="91"/>
  <c r="F36" i="91"/>
  <c r="E47" i="96"/>
  <c r="F47" i="96"/>
  <c r="E10" i="92"/>
  <c r="F10" i="92"/>
  <c r="E40" i="91"/>
  <c r="F40" i="91"/>
  <c r="E19" i="96"/>
  <c r="F19" i="96"/>
  <c r="E44" i="97"/>
  <c r="F44" i="97"/>
  <c r="E39" i="95"/>
  <c r="F39" i="95"/>
  <c r="E39" i="97"/>
  <c r="F39" i="97"/>
  <c r="E39" i="94"/>
  <c r="F39" i="94"/>
  <c r="E26" i="94"/>
  <c r="F26" i="94"/>
  <c r="E26" i="91"/>
  <c r="F26" i="91"/>
  <c r="E17" i="97"/>
  <c r="F17" i="97"/>
  <c r="E17" i="109"/>
  <c r="F17" i="109"/>
  <c r="E8" i="96"/>
  <c r="F8" i="96"/>
  <c r="E8" i="109"/>
  <c r="F8" i="109"/>
  <c r="E8" i="90"/>
  <c r="F8" i="90"/>
  <c r="E45" i="97"/>
  <c r="F45" i="97"/>
  <c r="E45" i="91"/>
  <c r="F45" i="91"/>
  <c r="E45" i="95"/>
  <c r="F45" i="95"/>
  <c r="E35" i="92"/>
  <c r="F35" i="92"/>
  <c r="E30" i="91"/>
  <c r="F30" i="91"/>
  <c r="E37" i="92"/>
  <c r="F37" i="92"/>
  <c r="E37" i="90"/>
  <c r="F37" i="90"/>
  <c r="E28" i="97"/>
  <c r="F28" i="97"/>
  <c r="E28" i="91"/>
  <c r="F28" i="91"/>
  <c r="E28" i="96"/>
  <c r="F28" i="96"/>
  <c r="E19" i="93"/>
  <c r="F19" i="93"/>
  <c r="E19" i="91"/>
  <c r="F19" i="91"/>
  <c r="E6" i="92"/>
  <c r="F6" i="92"/>
  <c r="E6" i="98"/>
  <c r="F6" i="98"/>
  <c r="E4" i="90"/>
  <c r="F4" i="90"/>
  <c r="E4" i="97"/>
  <c r="F4" i="97"/>
  <c r="E11" i="93"/>
  <c r="F11" i="93"/>
  <c r="E42" i="109"/>
  <c r="F42" i="109"/>
  <c r="E34" i="98"/>
  <c r="F34" i="98"/>
  <c r="E46" i="94"/>
  <c r="F46" i="94"/>
  <c r="E36" i="96"/>
  <c r="F36" i="96"/>
  <c r="E18" i="98"/>
  <c r="F18" i="98"/>
  <c r="E18" i="96"/>
  <c r="F18" i="96"/>
  <c r="E12" i="96"/>
  <c r="F12" i="96"/>
  <c r="E47" i="93"/>
  <c r="F47" i="93"/>
  <c r="E47" i="98"/>
  <c r="F47" i="98"/>
  <c r="E15" i="90"/>
  <c r="F15" i="90"/>
  <c r="E25" i="91"/>
  <c r="F25" i="91"/>
  <c r="E25" i="96"/>
  <c r="F25" i="96"/>
  <c r="E31" i="109"/>
  <c r="F31" i="109"/>
  <c r="E5" i="90"/>
  <c r="F5" i="90"/>
  <c r="E5" i="97"/>
  <c r="F5" i="97"/>
  <c r="E23" i="98"/>
  <c r="F23" i="98"/>
  <c r="E23" i="95"/>
  <c r="F23" i="95"/>
  <c r="E21" i="109"/>
  <c r="F21" i="109"/>
  <c r="E10" i="90"/>
  <c r="F10" i="90"/>
  <c r="E10" i="94"/>
  <c r="F10" i="94"/>
  <c r="E48" i="96"/>
  <c r="F48" i="96"/>
  <c r="E41" i="90"/>
  <c r="F41" i="90"/>
  <c r="E33" i="93"/>
  <c r="F33" i="93"/>
  <c r="E40" i="93"/>
  <c r="F40" i="93"/>
  <c r="E24" i="91"/>
  <c r="F24" i="91"/>
  <c r="E24" i="93"/>
  <c r="F24" i="93"/>
  <c r="E43" i="109"/>
  <c r="F43" i="109"/>
  <c r="E22" i="95"/>
  <c r="F22" i="95"/>
  <c r="E9" i="91"/>
  <c r="F9" i="91"/>
  <c r="E32" i="93"/>
  <c r="F32" i="93"/>
  <c r="E44" i="109"/>
  <c r="F44" i="109"/>
  <c r="E29" i="96"/>
  <c r="F29" i="96"/>
  <c r="E13" i="96"/>
  <c r="F13" i="96"/>
  <c r="E28" i="90"/>
  <c r="F28" i="90"/>
  <c r="E46" i="90"/>
  <c r="F46" i="90"/>
  <c r="E12" i="97"/>
  <c r="F12" i="97"/>
  <c r="E21" i="92"/>
  <c r="F21" i="92"/>
  <c r="E33" i="97"/>
  <c r="F33" i="97"/>
  <c r="E7" i="93"/>
  <c r="F7" i="93"/>
  <c r="E32" i="97"/>
  <c r="F32" i="97"/>
  <c r="E17" i="91"/>
  <c r="F17" i="91"/>
  <c r="E45" i="94"/>
  <c r="F45" i="94"/>
  <c r="E35" i="97"/>
  <c r="F35" i="97"/>
  <c r="E30" i="94"/>
  <c r="F30" i="94"/>
  <c r="E37" i="93"/>
  <c r="F37" i="93"/>
  <c r="E37" i="98"/>
  <c r="F37" i="98"/>
  <c r="E28" i="92"/>
  <c r="F28" i="92"/>
  <c r="E27" i="94"/>
  <c r="F27" i="94"/>
  <c r="E20" i="90"/>
  <c r="F20" i="90"/>
  <c r="E7" i="94"/>
  <c r="F7" i="94"/>
  <c r="E38" i="98"/>
  <c r="F38" i="98"/>
  <c r="E32" i="96"/>
  <c r="F32" i="96"/>
  <c r="E13" i="91"/>
  <c r="F13" i="91"/>
  <c r="E17" i="94"/>
  <c r="F17" i="94"/>
  <c r="E25" i="94"/>
  <c r="F25" i="94"/>
  <c r="E21" i="98"/>
  <c r="F21" i="98"/>
  <c r="E48" i="109"/>
  <c r="F48" i="109"/>
  <c r="E41" i="98"/>
  <c r="F41" i="98"/>
  <c r="E16" i="93"/>
  <c r="F16" i="93"/>
  <c r="E14" i="93"/>
  <c r="F14" i="93"/>
  <c r="E27" i="96"/>
  <c r="F27" i="96"/>
  <c r="E20" i="95"/>
  <c r="F20" i="95"/>
  <c r="E32" i="109"/>
  <c r="F32" i="109"/>
  <c r="E29" i="94"/>
  <c r="F29" i="94"/>
  <c r="E26" i="92"/>
  <c r="F26" i="92"/>
  <c r="E8" i="94"/>
  <c r="F8" i="94"/>
  <c r="E19" i="95"/>
  <c r="F19" i="95"/>
  <c r="E6" i="91"/>
  <c r="F6" i="91"/>
  <c r="E4" i="96"/>
  <c r="F4" i="96"/>
  <c r="E11" i="97"/>
  <c r="F11" i="97"/>
  <c r="E42" i="97"/>
  <c r="F42" i="97"/>
  <c r="E34" i="94"/>
  <c r="F34" i="94"/>
  <c r="E46" i="95"/>
  <c r="F46" i="95"/>
  <c r="E36" i="92"/>
  <c r="F36" i="92"/>
  <c r="E36" i="90"/>
  <c r="F36" i="90"/>
  <c r="E18" i="93"/>
  <c r="F18" i="93"/>
  <c r="E12" i="92"/>
  <c r="F12" i="92"/>
  <c r="E15" i="91"/>
  <c r="F15" i="91"/>
  <c r="E25" i="92"/>
  <c r="F25" i="92"/>
  <c r="E25" i="97"/>
  <c r="F25" i="97"/>
  <c r="E31" i="95"/>
  <c r="F31" i="95"/>
  <c r="E5" i="91"/>
  <c r="F5" i="91"/>
  <c r="E21" i="97"/>
  <c r="F21" i="97"/>
  <c r="E10" i="109"/>
  <c r="F10" i="109"/>
  <c r="E33" i="92"/>
  <c r="F33" i="92"/>
  <c r="E16" i="95"/>
  <c r="F16" i="95"/>
  <c r="E40" i="98"/>
  <c r="F40" i="98"/>
  <c r="E24" i="92"/>
  <c r="F24" i="92"/>
  <c r="E43" i="94"/>
  <c r="F43" i="94"/>
  <c r="E20" i="91"/>
  <c r="F20" i="91"/>
  <c r="E32" i="94"/>
  <c r="F32" i="94"/>
  <c r="E29" i="92"/>
  <c r="F29" i="92"/>
  <c r="E29" i="98"/>
  <c r="F29" i="98"/>
  <c r="E13" i="92"/>
  <c r="F13" i="92"/>
  <c r="E13" i="98"/>
  <c r="F13" i="98"/>
  <c r="E33" i="98"/>
  <c r="F33" i="98"/>
  <c r="E19" i="97"/>
  <c r="F19" i="97"/>
  <c r="E19" i="109"/>
  <c r="F19" i="109"/>
  <c r="E6" i="96"/>
  <c r="F6" i="96"/>
  <c r="E6" i="95"/>
  <c r="F6" i="95"/>
  <c r="E4" i="109"/>
  <c r="F4" i="109"/>
  <c r="E4" i="92"/>
  <c r="F4" i="92"/>
  <c r="E11" i="95"/>
  <c r="F11" i="95"/>
  <c r="E11" i="94"/>
  <c r="F11" i="94"/>
  <c r="E3" i="94"/>
  <c r="F3" i="94"/>
  <c r="E42" i="94"/>
  <c r="F42" i="94"/>
  <c r="E42" i="92"/>
  <c r="F42" i="92"/>
  <c r="E34" i="91"/>
  <c r="F34" i="91"/>
  <c r="E34" i="95"/>
  <c r="F34" i="95"/>
  <c r="E46" i="92"/>
  <c r="F46" i="92"/>
  <c r="E36" i="93"/>
  <c r="F36" i="93"/>
  <c r="E36" i="98"/>
  <c r="F36" i="98"/>
  <c r="E18" i="91"/>
  <c r="F18" i="91"/>
  <c r="E18" i="97"/>
  <c r="F18" i="97"/>
  <c r="E12" i="94"/>
  <c r="F12" i="94"/>
  <c r="E47" i="97"/>
  <c r="F47" i="97"/>
  <c r="E47" i="91"/>
  <c r="F47" i="91"/>
  <c r="E47" i="95"/>
  <c r="F47" i="95"/>
  <c r="E15" i="94"/>
  <c r="F15" i="94"/>
  <c r="E25" i="95"/>
  <c r="F25" i="95"/>
  <c r="E25" i="93"/>
  <c r="F25" i="93"/>
  <c r="E25" i="90"/>
  <c r="F25" i="90"/>
  <c r="E31" i="98"/>
  <c r="F31" i="98"/>
  <c r="E5" i="109"/>
  <c r="F5" i="109"/>
  <c r="E5" i="92"/>
  <c r="F5" i="92"/>
  <c r="E23" i="97"/>
  <c r="F23" i="97"/>
  <c r="E23" i="91"/>
  <c r="F23" i="91"/>
  <c r="E23" i="96"/>
  <c r="F23" i="96"/>
  <c r="E21" i="94"/>
  <c r="F21" i="94"/>
  <c r="E10" i="96"/>
  <c r="F10" i="96"/>
  <c r="E10" i="97"/>
  <c r="F10" i="97"/>
  <c r="E10" i="95"/>
  <c r="F10" i="95"/>
  <c r="E48" i="95"/>
  <c r="F48" i="95"/>
  <c r="E48" i="94"/>
  <c r="F48" i="94"/>
  <c r="E48" i="93"/>
  <c r="F48" i="93"/>
  <c r="E41" i="94"/>
  <c r="F41" i="94"/>
  <c r="E41" i="92"/>
  <c r="F41" i="92"/>
  <c r="E33" i="91"/>
  <c r="F33" i="91"/>
  <c r="E33" i="96"/>
  <c r="F33" i="96"/>
  <c r="E16" i="92"/>
  <c r="F16" i="92"/>
  <c r="E16" i="98"/>
  <c r="F16" i="98"/>
  <c r="E40" i="95"/>
  <c r="F40" i="95"/>
  <c r="E40" i="97"/>
  <c r="F40" i="97"/>
  <c r="E40" i="94"/>
  <c r="F40" i="94"/>
  <c r="E14" i="94"/>
  <c r="F14" i="94"/>
  <c r="E14" i="92"/>
  <c r="F14" i="92"/>
  <c r="E27" i="92"/>
  <c r="F27" i="92"/>
  <c r="E27" i="97"/>
  <c r="F27" i="97"/>
  <c r="E24" i="97"/>
  <c r="F24" i="97"/>
  <c r="E24" i="94"/>
  <c r="F24" i="94"/>
  <c r="E43" i="97"/>
  <c r="F43" i="97"/>
  <c r="E43" i="91"/>
  <c r="F43" i="91"/>
  <c r="E22" i="97"/>
  <c r="F22" i="97"/>
  <c r="E22" i="91"/>
  <c r="F22" i="91"/>
  <c r="E22" i="96"/>
  <c r="F22" i="96"/>
  <c r="E20" i="94"/>
  <c r="F20" i="94"/>
  <c r="E20" i="92"/>
  <c r="F20" i="92"/>
  <c r="E9" i="96"/>
  <c r="F9" i="96"/>
  <c r="E9" i="97"/>
  <c r="F9" i="97"/>
  <c r="E9" i="93"/>
  <c r="F9" i="93"/>
  <c r="E7" i="109"/>
  <c r="F7" i="109"/>
  <c r="E38" i="91"/>
  <c r="F38" i="91"/>
  <c r="E32" i="91"/>
  <c r="F32" i="91"/>
  <c r="E44" i="92"/>
  <c r="F44" i="92"/>
  <c r="E44" i="98"/>
  <c r="F44" i="98"/>
  <c r="E29" i="95"/>
  <c r="F29" i="95"/>
  <c r="E29" i="93"/>
  <c r="F29" i="93"/>
  <c r="E29" i="97"/>
  <c r="F29" i="97"/>
  <c r="E13" i="95"/>
  <c r="F13" i="95"/>
  <c r="E13" i="97"/>
  <c r="F13" i="97"/>
  <c r="E13" i="94"/>
  <c r="F13" i="94"/>
  <c r="E39" i="90"/>
  <c r="F39" i="90"/>
  <c r="E26" i="98"/>
  <c r="F26" i="98"/>
  <c r="E8" i="93"/>
  <c r="F8" i="93"/>
  <c r="E35" i="98"/>
  <c r="F35" i="98"/>
  <c r="E30" i="109"/>
  <c r="F30" i="109"/>
  <c r="E37" i="97"/>
  <c r="F37" i="97"/>
  <c r="E19" i="92"/>
  <c r="F19" i="92"/>
  <c r="E19" i="90"/>
  <c r="F19" i="90"/>
  <c r="E6" i="90"/>
  <c r="F6" i="90"/>
  <c r="E4" i="98"/>
  <c r="F4" i="98"/>
  <c r="E4" i="93"/>
  <c r="F4" i="93"/>
  <c r="E11" i="91"/>
  <c r="F11" i="91"/>
  <c r="E11" i="98"/>
  <c r="F11" i="98"/>
  <c r="E3" i="98"/>
  <c r="F3" i="98"/>
  <c r="E42" i="98"/>
  <c r="F42" i="98"/>
  <c r="E42" i="95"/>
  <c r="F42" i="95"/>
  <c r="E34" i="90"/>
  <c r="F34" i="90"/>
  <c r="E34" i="109"/>
  <c r="F34" i="109"/>
  <c r="E46" i="91"/>
  <c r="F46" i="91"/>
  <c r="E46" i="96"/>
  <c r="F46" i="96"/>
  <c r="E46" i="97"/>
  <c r="F46" i="97"/>
  <c r="E36" i="109"/>
  <c r="F36" i="109"/>
  <c r="E36" i="94"/>
  <c r="F36" i="94"/>
  <c r="E18" i="90"/>
  <c r="F18" i="90"/>
  <c r="E18" i="95"/>
  <c r="F18" i="95"/>
  <c r="E18" i="92"/>
  <c r="F18" i="92"/>
  <c r="E12" i="109"/>
  <c r="F12" i="109"/>
  <c r="E47" i="90"/>
  <c r="F47" i="90"/>
  <c r="E47" i="109"/>
  <c r="F47" i="109"/>
  <c r="E15" i="93"/>
  <c r="F15" i="93"/>
  <c r="E15" i="95"/>
  <c r="F15" i="95"/>
  <c r="E25" i="109"/>
  <c r="F25" i="109"/>
  <c r="E31" i="91"/>
  <c r="F31" i="91"/>
  <c r="E31" i="93"/>
  <c r="F31" i="93"/>
  <c r="E5" i="98"/>
  <c r="F5" i="98"/>
  <c r="E5" i="93"/>
  <c r="F5" i="93"/>
  <c r="E23" i="90"/>
  <c r="F23" i="90"/>
  <c r="E23" i="109"/>
  <c r="F23" i="109"/>
  <c r="E21" i="93"/>
  <c r="F21" i="93"/>
  <c r="E21" i="95"/>
  <c r="F21" i="95"/>
  <c r="E10" i="91"/>
  <c r="F10" i="91"/>
  <c r="E48" i="97"/>
  <c r="F48" i="97"/>
  <c r="E41" i="93"/>
  <c r="F41" i="93"/>
  <c r="E41" i="96"/>
  <c r="F41" i="96"/>
  <c r="E33" i="90"/>
  <c r="F33" i="90"/>
  <c r="E33" i="109"/>
  <c r="F33" i="109"/>
  <c r="E40" i="109"/>
  <c r="F40" i="109"/>
  <c r="E40" i="90"/>
  <c r="F40" i="90"/>
  <c r="E14" i="98"/>
  <c r="F14" i="98"/>
  <c r="E14" i="95"/>
  <c r="F14" i="95"/>
  <c r="E27" i="91"/>
  <c r="F27" i="91"/>
  <c r="E27" i="98"/>
  <c r="F27" i="98"/>
  <c r="E24" i="109"/>
  <c r="F24" i="109"/>
  <c r="E24" i="90"/>
  <c r="F24" i="90"/>
  <c r="E43" i="90"/>
  <c r="F43" i="90"/>
  <c r="E22" i="90"/>
  <c r="F22" i="90"/>
  <c r="E22" i="109"/>
  <c r="F22" i="109"/>
  <c r="E20" i="93"/>
  <c r="F20" i="93"/>
  <c r="E20" i="98"/>
  <c r="F20" i="98"/>
  <c r="E9" i="90"/>
  <c r="F9" i="90"/>
  <c r="E7" i="92"/>
  <c r="F7" i="92"/>
  <c r="E7" i="90"/>
  <c r="F7" i="90"/>
  <c r="E7" i="97"/>
  <c r="F7" i="97"/>
  <c r="E38" i="90"/>
  <c r="F38" i="90"/>
  <c r="E38" i="96"/>
  <c r="F38" i="96"/>
  <c r="E32" i="90"/>
  <c r="F32" i="90"/>
  <c r="E44" i="91"/>
  <c r="F44" i="91"/>
  <c r="E44" i="96"/>
  <c r="F44" i="96"/>
  <c r="E29" i="109"/>
  <c r="F29" i="109"/>
  <c r="E13" i="109"/>
  <c r="F13" i="109"/>
  <c r="E13" i="90"/>
  <c r="F13" i="90"/>
  <c r="E30" i="93"/>
  <c r="F30" i="93"/>
  <c r="E37" i="94"/>
  <c r="F37" i="94"/>
  <c r="E25" i="98"/>
  <c r="F25" i="98"/>
  <c r="E35" i="94"/>
  <c r="F35" i="94"/>
  <c r="E30" i="97"/>
  <c r="F30" i="97"/>
  <c r="E30" i="95"/>
  <c r="F30" i="95"/>
  <c r="E3" i="90"/>
  <c r="F3" i="90"/>
  <c r="E3" i="97"/>
  <c r="F3" i="97"/>
  <c r="E46" i="109"/>
  <c r="F46" i="109"/>
  <c r="E16" i="109"/>
  <c r="F16" i="109"/>
  <c r="E20" i="109"/>
  <c r="F20" i="109"/>
  <c r="E38" i="93"/>
  <c r="F38" i="93"/>
  <c r="E37" i="96"/>
  <c r="F37" i="96"/>
  <c r="E2" i="97" l="1"/>
  <c r="F2" i="97"/>
  <c r="E2" i="109"/>
  <c r="F2" i="109"/>
  <c r="E2" i="93"/>
  <c r="F2" i="93"/>
  <c r="E2" i="94"/>
  <c r="F2" i="94"/>
  <c r="E2" i="92"/>
  <c r="F2" i="92"/>
  <c r="E2" i="95"/>
  <c r="F2" i="95"/>
  <c r="E2" i="91"/>
  <c r="F2" i="91"/>
  <c r="E2" i="90"/>
  <c r="F2" i="90"/>
  <c r="E2" i="98"/>
  <c r="F2" i="98"/>
  <c r="E2" i="96"/>
  <c r="F2" i="96"/>
  <c r="B51" i="4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tc={7683FB27-6E73-40EC-8C85-268BE12C66DA}</author>
    <author>tc={5107183C-9F66-4C04-83AE-375E36560CA2}</author>
    <author>tc={A1555562-54A4-43E0-9BBC-C78AD64FD99D}</author>
    <author>tc={C46CB869-DA87-4815-BDD1-6746F4F9CDEF}</author>
    <author>tc={9F74D460-97B1-4E3C-8BB5-2F9B0EC8DADE}</author>
    <author>tc={055FBD36-DB14-4BBB-B30F-90241ED2E4F8}</author>
    <author>tc={13F541BA-A940-437D-B023-38D7BA74735F}</author>
    <author>tc={A913694A-9FF5-4CE5-9EB6-20422DCAD6FE}</author>
    <author>tc={DA2C54E2-EDD2-4DD5-9EC4-51E7AC4B1D92}</author>
    <author>tc={203DEE81-5C1F-4D60-9A21-D11C7AF1BF9C}</author>
    <author>tc={69586849-B78D-4275-9DA1-B28273A327BA}</author>
    <author>tc={F0A05781-687D-4DE9-A1BF-131A52D0AC5B}</author>
    <author>tc={269ABAE4-40BD-459A-BA79-7D98480019D6}</author>
    <author>tc={3CBB640E-CE8B-48C6-A4DC-61CAA140CB66}</author>
    <author>tc={9C51EE1B-5DC5-4349-920B-A80894B3B69B}</author>
    <author>tc={D6555B02-5C09-4905-B07C-EF1B6C5B84DB}</author>
    <author>tc={D2908705-9A34-4CE6-AA4C-CC27A744CC1F}</author>
    <author>tc={E96ED23C-526B-4D2B-B5F4-685DF9919957}</author>
    <author>tc={2F5A0ACD-14C6-448B-A3E3-189F646CDE88}</author>
    <author>tc={BCA56E8A-50FF-4349-8863-A58F2B78E81E}</author>
    <author>tc={B41C1DB4-43F7-4B9C-BA7D-436489D242F7}</author>
    <author>tc={DC61383F-5054-44E6-917B-B1DA946E6EEA}</author>
    <author>tc={7CE62977-8A60-4616-AF75-3725E35B2863}</author>
    <author>tc={E2B95813-6CD7-4DF8-93A5-F58B37BB3446}</author>
  </authors>
  <commentList>
    <comment ref="P2" authorId="0" shapeId="0" xr:uid="{7683FB27-6E73-40EC-8C85-268BE12C66D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R2" authorId="1" shapeId="0" xr:uid="{5107183C-9F66-4C04-83AE-375E36560CA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T2" authorId="2" shapeId="0" xr:uid="{A1555562-54A4-43E0-9BBC-C78AD64FD99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X2" authorId="3" shapeId="0" xr:uid="{C46CB869-DA87-4815-BDD1-6746F4F9CD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B2" authorId="4" shapeId="0" xr:uid="{9F74D460-97B1-4E3C-8BB5-2F9B0EC8DAD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F2" authorId="5" shapeId="0" xr:uid="{055FBD36-DB14-4BBB-B30F-90241ED2E4F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J2" authorId="6" shapeId="0" xr:uid="{13F541BA-A940-437D-B023-38D7BA7473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N2" authorId="7" shapeId="0" xr:uid="{A913694A-9FF5-4CE5-9EB6-20422DCAD6F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R2" authorId="8" shapeId="0" xr:uid="{DA2C54E2-EDD2-4DD5-9EC4-51E7AC4B1D9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V2" authorId="9" shapeId="0" xr:uid="{203DEE81-5C1F-4D60-9A21-D11C7AF1BF9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Z2" authorId="10" shapeId="0" xr:uid="{69586849-B78D-4275-9DA1-B28273A327B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D2" authorId="11" shapeId="0" xr:uid="{F0A05781-687D-4DE9-A1BF-131A52D0AC5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J6" authorId="12" shapeId="0" xr:uid="{269ABAE4-40BD-459A-BA79-7D98480019D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valeur précédente et postérieure</t>
      </text>
    </comment>
    <comment ref="BH58" authorId="13" shapeId="0" xr:uid="{3CBB640E-CE8B-48C6-A4DC-61CAA140CB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
Réponse :
    Moyenne
Réponse :
    Moyenne
Réponse :
    Moyenne
Réponse :
    Moyenne
Réponse :
    Moyenne</t>
      </text>
    </comment>
    <comment ref="BJ58" authorId="14" shapeId="0" xr:uid="{9C51EE1B-5DC5-4349-920B-A80894B3B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L58" authorId="15" shapeId="0" xr:uid="{D6555B02-5C09-4905-B07C-EF1B6C5B84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Réponse :
    Moyenne</t>
      </text>
    </comment>
    <comment ref="BN58" authorId="16" shapeId="0" xr:uid="{D2908705-9A34-4CE6-AA4C-CC27A744CC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</t>
      </text>
    </comment>
    <comment ref="BP58" authorId="17" shapeId="0" xr:uid="{E96ED23C-526B-4D2B-B5F4-685DF9919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R58" authorId="18" shapeId="0" xr:uid="{2F5A0ACD-14C6-448B-A3E3-189F646CDE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T58" authorId="19" shapeId="0" xr:uid="{BCA56E8A-50FF-4349-8863-A58F2B78E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V58" authorId="20" shapeId="0" xr:uid="{B41C1DB4-43F7-4B9C-BA7D-436489D24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X58" authorId="21" shapeId="0" xr:uid="{DC61383F-5054-44E6-917B-B1DA946E6E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Z58" authorId="22" shapeId="0" xr:uid="{7CE62977-8A60-4616-AF75-3725E35B2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CB58" authorId="23" shapeId="0" xr:uid="{E2B95813-6CD7-4DF8-93A5-F58B37BB34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</commentList>
</comments>
</file>

<file path=xl/sharedStrings.xml><?xml version="1.0" encoding="utf-8"?>
<sst xmlns="http://schemas.openxmlformats.org/spreadsheetml/2006/main" count="768" uniqueCount="106">
  <si>
    <t>Date</t>
  </si>
  <si>
    <t>Daily Return-Adj</t>
  </si>
  <si>
    <t>Daily_aggregate_sentiment</t>
  </si>
  <si>
    <t>Daily aggregate sentiment_t+1</t>
  </si>
  <si>
    <t>VIX_10_t</t>
  </si>
  <si>
    <t>VIX_bar_10</t>
  </si>
  <si>
    <t>Sent_t_+_1</t>
  </si>
  <si>
    <t>ck</t>
  </si>
  <si>
    <t>VIX_10_t  minus VIX_bar_10</t>
  </si>
  <si>
    <t>Sent_t_+_1_k, k=0</t>
  </si>
  <si>
    <t>Sent_t_+_1_k, k=1</t>
  </si>
  <si>
    <t>Sent_t_+_1_k, k=2</t>
  </si>
  <si>
    <t>Sent_t_+_1_k, k=3</t>
  </si>
  <si>
    <t>Sent_t_+_1_k, k=4</t>
  </si>
  <si>
    <t>Sent_t_+_1_k, k=5</t>
  </si>
  <si>
    <t>Sent_t_+_1_k, k=6</t>
  </si>
  <si>
    <t>Sent_t_+_1_k, k=7</t>
  </si>
  <si>
    <t>Sent_t_+_1_k, k=8</t>
  </si>
  <si>
    <t>Sent_t_+_1_k, k=9</t>
  </si>
  <si>
    <t>Sent_t_+_1 * (VIX_10_t  minus VIX_bar_10)</t>
  </si>
  <si>
    <t>Sent_t</t>
  </si>
  <si>
    <t>Sent_t_k, k=0</t>
  </si>
  <si>
    <t>Sent_t_k, k=1</t>
  </si>
  <si>
    <t>Sent_t_k, k=2</t>
  </si>
  <si>
    <t>Sent_t_k, k=3</t>
  </si>
  <si>
    <t>Sent_t_k, k=4</t>
  </si>
  <si>
    <t>Sent_t_k, k=5</t>
  </si>
  <si>
    <t>Sent_t_k, k=6</t>
  </si>
  <si>
    <t>Sent_t_k, k=7</t>
  </si>
  <si>
    <t>Sent_t_k, k=8</t>
  </si>
  <si>
    <t>Sent_t_k, k=9</t>
  </si>
  <si>
    <t>Sent_t * (VIX_10_t  minus VIX_bar_10)</t>
  </si>
  <si>
    <t>Q3</t>
  </si>
  <si>
    <t>Median</t>
  </si>
  <si>
    <t>Q1</t>
  </si>
  <si>
    <t>Daily Return-Adj_t_+1</t>
  </si>
  <si>
    <t>Daily Return-Adj_t</t>
  </si>
  <si>
    <t>Daily Return-Adj_t_minus_1</t>
  </si>
  <si>
    <t>Adj close price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</si>
  <si>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</si>
  <si>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</si>
  <si>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</si>
  <si>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</si>
  <si>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</si>
  <si>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</si>
  <si>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</si>
  <si>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</si>
  <si>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</si>
  <si>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</si>
  <si>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</si>
  <si>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</si>
  <si>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</si>
  <si>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</si>
  <si>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</si>
  <si>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</si>
  <si>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</si>
  <si>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</si>
  <si>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</si>
  <si>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</si>
  <si>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</si>
  <si>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</si>
  <si>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</si>
  <si>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EV</t>
  </si>
  <si>
    <t>EV*VIXl1</t>
  </si>
  <si>
    <t>EVl1</t>
  </si>
  <si>
    <t>Sent</t>
  </si>
  <si>
    <t>Sent_k, k=0</t>
  </si>
  <si>
    <t>Sent_k, k=1</t>
  </si>
  <si>
    <t>Sent_k, k=2</t>
  </si>
  <si>
    <t>Sent_k, k=3</t>
  </si>
  <si>
    <t>Sent_k, k=4</t>
  </si>
  <si>
    <t>Sent_k, k=5</t>
  </si>
  <si>
    <t>Sent_k, k=6</t>
  </si>
  <si>
    <t>Sent_k, k=7</t>
  </si>
  <si>
    <t>Sent_k, k=8</t>
  </si>
  <si>
    <t>Sent_k, k=9</t>
  </si>
  <si>
    <t>Sommaire pour la période après la rupture  structurelle</t>
  </si>
  <si>
    <t>Sent_t_+_1_k, k=0 * (VIX_10_t  minus VIX_bar_10)</t>
  </si>
  <si>
    <t>Sent_t_+_1_k, k=1 * (VIX_10_t  minus VIX_bar_10)</t>
  </si>
  <si>
    <t>Sent_t_+_1_k, k=2 * (VIX_10_t  minus VIX_bar_10)</t>
  </si>
  <si>
    <t>Sent_t_+_1_k, k=3 * (VIX_10_t  minus VIX_bar_10)</t>
  </si>
  <si>
    <t>Sent_t_+_1_k, k=4 * (VIX_10_t  minus VIX_bar_10)</t>
  </si>
  <si>
    <t>Sent_t_+_1_k, k=5 * (VIX_10_t  minus VIX_bar_10)</t>
  </si>
  <si>
    <t>Sent_t_+_1_k, k=6 * (VIX_10_t  minus VIX_bar_10)</t>
  </si>
  <si>
    <t>Sent_t_+_1_k, k=7 * (VIX_10_t  minus VIX_bar_10)</t>
  </si>
  <si>
    <t>Sent_t_+_1_k, k=8 * (VIX_10_t  minus VIX_bar_10)</t>
  </si>
  <si>
    <t>Sent_t_+_1_k, k=9 * (VIX_10_t  minus VIX_bar_10)</t>
  </si>
  <si>
    <t>Sent_t_k, k=0 * (VIX_10_t  minus VIX_bar_10)</t>
  </si>
  <si>
    <t>Sent_t_k, k=1 * (VIX_10_t  minus VIX_bar_10)</t>
  </si>
  <si>
    <t>Sent_t_k, k=2 * (VIX_10_t  minus VIX_bar_10)</t>
  </si>
  <si>
    <t>Sent_t_k, k=3 * (VIX_10_t  minus VIX_bar_10)</t>
  </si>
  <si>
    <t>Sent_t_k, k=4 * (VIX_10_t  minus VIX_bar_10)</t>
  </si>
  <si>
    <t>Sent_t_k, k=5 * (VIX_10_t  minus VIX_bar_10)</t>
  </si>
  <si>
    <t>Sent_t_k, k=6 * (VIX_10_t  minus VIX_bar_10)</t>
  </si>
  <si>
    <t>Sent_t_k, k=7 * (VIX_10_t  minus VIX_bar_10)</t>
  </si>
  <si>
    <t>Sent_t_k, k=8 * (VIX_10_t  minus VIX_bar_10)</t>
  </si>
  <si>
    <t>Sent_t_k, k=9 * (VIX_10_t  minus VIX_bar_10)</t>
  </si>
  <si>
    <t>EVl1*VIXl1</t>
  </si>
  <si>
    <t>c3 ou d3 null?</t>
  </si>
  <si>
    <t>Overreaction</t>
  </si>
  <si>
    <t>Overreaction + -</t>
  </si>
  <si>
    <t>Overreaction -+</t>
  </si>
  <si>
    <t>Overreaction =</t>
  </si>
  <si>
    <t>S&amp;P/TSX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</si>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</sst>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14" fontId="0" fillId="2" borderId="0" xfId="0" applyNumberFormat="1" applyFill="1"/>
    <xf numFmtId="3" fontId="0" fillId="2" borderId="0" xfId="0" applyNumberFormat="1" applyFill="1"/>
    <xf numFmtId="10" fontId="0" fillId="2" borderId="0" xfId="1" applyNumberFormat="1" applyFont="1" applyFill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4" fontId="1" fillId="3" borderId="4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3" fontId="1" fillId="3" borderId="4" xfId="0" applyNumberFormat="1" applyFont="1" applyFill="1" applyBorder="1" applyAlignment="1">
      <alignment horizontal="center"/>
    </xf>
    <xf numFmtId="3" fontId="1" fillId="3" borderId="0" xfId="0" applyNumberFormat="1" applyFont="1" applyFill="1" applyAlignment="1">
      <alignment horizontal="center"/>
    </xf>
    <xf numFmtId="14" fontId="0" fillId="3" borderId="0" xfId="0" applyNumberFormat="1" applyFill="1" applyAlignment="1">
      <alignment horizontal="center"/>
    </xf>
    <xf numFmtId="3" fontId="0" fillId="3" borderId="0" xfId="0" applyNumberFormat="1" applyFill="1" applyAlignment="1">
      <alignment horizontal="center"/>
    </xf>
    <xf numFmtId="0" fontId="3" fillId="3" borderId="2" xfId="0" applyFont="1" applyFill="1" applyBorder="1" applyAlignment="1">
      <alignment horizontal="centerContinuous"/>
    </xf>
    <xf numFmtId="0" fontId="3" fillId="3" borderId="2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3" fillId="3" borderId="2" xfId="0" applyFont="1" applyFill="1" applyBorder="1" applyAlignment="1">
      <alignment horizontal="center" wrapText="1"/>
    </xf>
    <xf numFmtId="14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3" fontId="0" fillId="3" borderId="3" xfId="0" applyNumberForma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'Adj close price'!$B$1</c:f>
              <c:strCache>
                <c:ptCount val="1"/>
                <c:pt idx="0">
                  <c:v>Adj close price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'Adj close price'!$A$2:$A$48</c:f>
              <c:numCache>
                <c:formatCode>m/d/yyyy</c:formatCode>
                <c:ptCount val="47"/>
                <c:pt idx="0">
                  <c:v>43980</c:v>
                </c:pt>
                <c:pt idx="1">
                  <c:v>43979</c:v>
                </c:pt>
                <c:pt idx="2">
                  <c:v>43978</c:v>
                </c:pt>
                <c:pt idx="3">
                  <c:v>43977</c:v>
                </c:pt>
                <c:pt idx="4">
                  <c:v>43976</c:v>
                </c:pt>
                <c:pt idx="5">
                  <c:v>43973</c:v>
                </c:pt>
                <c:pt idx="6">
                  <c:v>43972</c:v>
                </c:pt>
                <c:pt idx="7">
                  <c:v>43971</c:v>
                </c:pt>
                <c:pt idx="8">
                  <c:v>43970</c:v>
                </c:pt>
                <c:pt idx="9">
                  <c:v>43966</c:v>
                </c:pt>
                <c:pt idx="10">
                  <c:v>43965</c:v>
                </c:pt>
                <c:pt idx="11">
                  <c:v>43964</c:v>
                </c:pt>
                <c:pt idx="12">
                  <c:v>43963</c:v>
                </c:pt>
                <c:pt idx="13">
                  <c:v>43962</c:v>
                </c:pt>
                <c:pt idx="14">
                  <c:v>43959</c:v>
                </c:pt>
                <c:pt idx="15">
                  <c:v>43958</c:v>
                </c:pt>
                <c:pt idx="16">
                  <c:v>43957</c:v>
                </c:pt>
                <c:pt idx="17">
                  <c:v>43956</c:v>
                </c:pt>
                <c:pt idx="18">
                  <c:v>43955</c:v>
                </c:pt>
                <c:pt idx="19">
                  <c:v>43952</c:v>
                </c:pt>
                <c:pt idx="20">
                  <c:v>43951</c:v>
                </c:pt>
                <c:pt idx="21">
                  <c:v>43950</c:v>
                </c:pt>
                <c:pt idx="22">
                  <c:v>43949</c:v>
                </c:pt>
                <c:pt idx="23">
                  <c:v>43948</c:v>
                </c:pt>
                <c:pt idx="24">
                  <c:v>43945</c:v>
                </c:pt>
                <c:pt idx="25">
                  <c:v>43944</c:v>
                </c:pt>
                <c:pt idx="26">
                  <c:v>43943</c:v>
                </c:pt>
                <c:pt idx="27">
                  <c:v>43942</c:v>
                </c:pt>
                <c:pt idx="28">
                  <c:v>43941</c:v>
                </c:pt>
                <c:pt idx="29">
                  <c:v>43938</c:v>
                </c:pt>
                <c:pt idx="30">
                  <c:v>43937</c:v>
                </c:pt>
                <c:pt idx="31">
                  <c:v>43936</c:v>
                </c:pt>
                <c:pt idx="32">
                  <c:v>43935</c:v>
                </c:pt>
                <c:pt idx="33">
                  <c:v>43934</c:v>
                </c:pt>
                <c:pt idx="34">
                  <c:v>43930</c:v>
                </c:pt>
                <c:pt idx="35">
                  <c:v>43929</c:v>
                </c:pt>
                <c:pt idx="36">
                  <c:v>43928</c:v>
                </c:pt>
                <c:pt idx="37">
                  <c:v>43927</c:v>
                </c:pt>
                <c:pt idx="38">
                  <c:v>43924</c:v>
                </c:pt>
                <c:pt idx="39">
                  <c:v>43923</c:v>
                </c:pt>
                <c:pt idx="40">
                  <c:v>43922</c:v>
                </c:pt>
                <c:pt idx="41">
                  <c:v>43921</c:v>
                </c:pt>
                <c:pt idx="42">
                  <c:v>43920</c:v>
                </c:pt>
                <c:pt idx="43">
                  <c:v>43917</c:v>
                </c:pt>
                <c:pt idx="44">
                  <c:v>43916</c:v>
                </c:pt>
                <c:pt idx="45">
                  <c:v>43915</c:v>
                </c:pt>
                <c:pt idx="46">
                  <c:v>43914</c:v>
                </c:pt>
              </c:numCache>
            </c:numRef>
          </c:cat>
          <c:val>
            <c:numRef>
              <c:f>'Adj close price'!$B$2:$B$48</c:f>
              <c:numCache>
                <c:formatCode>#,##0</c:formatCode>
                <c:ptCount val="47"/>
                <c:pt idx="0">
                  <c:v>15192.799805000001</c:v>
                </c:pt>
                <c:pt idx="1">
                  <c:v>15262.700194999999</c:v>
                </c:pt>
                <c:pt idx="2">
                  <c:v>15272</c:v>
                </c:pt>
                <c:pt idx="3">
                  <c:v>15148.099609000001</c:v>
                </c:pt>
                <c:pt idx="4">
                  <c:v>15075.400390999999</c:v>
                </c:pt>
                <c:pt idx="5">
                  <c:v>14913.599609000001</c:v>
                </c:pt>
                <c:pt idx="6">
                  <c:v>14884.900390999999</c:v>
                </c:pt>
                <c:pt idx="7">
                  <c:v>14997.599609000001</c:v>
                </c:pt>
                <c:pt idx="8">
                  <c:v>14885.5</c:v>
                </c:pt>
                <c:pt idx="9">
                  <c:v>14638.900390999999</c:v>
                </c:pt>
                <c:pt idx="10">
                  <c:v>14509.700194999999</c:v>
                </c:pt>
                <c:pt idx="11">
                  <c:v>14503.200194999999</c:v>
                </c:pt>
                <c:pt idx="12">
                  <c:v>14881.200194999999</c:v>
                </c:pt>
                <c:pt idx="13">
                  <c:v>15103.200194999999</c:v>
                </c:pt>
                <c:pt idx="14">
                  <c:v>14966.599609000001</c:v>
                </c:pt>
                <c:pt idx="15">
                  <c:v>14833.700194999999</c:v>
                </c:pt>
                <c:pt idx="16">
                  <c:v>14830.700194999999</c:v>
                </c:pt>
                <c:pt idx="17">
                  <c:v>14811.599609000001</c:v>
                </c:pt>
                <c:pt idx="18">
                  <c:v>14745</c:v>
                </c:pt>
                <c:pt idx="19">
                  <c:v>14620.299805000001</c:v>
                </c:pt>
                <c:pt idx="20">
                  <c:v>14780.700194999999</c:v>
                </c:pt>
                <c:pt idx="21">
                  <c:v>15228.099609000001</c:v>
                </c:pt>
                <c:pt idx="22">
                  <c:v>14798.299805000001</c:v>
                </c:pt>
                <c:pt idx="23">
                  <c:v>14642.099609000001</c:v>
                </c:pt>
                <c:pt idx="24">
                  <c:v>14420.400390999999</c:v>
                </c:pt>
                <c:pt idx="25">
                  <c:v>14251.099609000001</c:v>
                </c:pt>
                <c:pt idx="26">
                  <c:v>14288.200194999999</c:v>
                </c:pt>
                <c:pt idx="27">
                  <c:v>13940.099609000001</c:v>
                </c:pt>
                <c:pt idx="28">
                  <c:v>14388.299805000001</c:v>
                </c:pt>
                <c:pt idx="29">
                  <c:v>14359.900390999999</c:v>
                </c:pt>
                <c:pt idx="30">
                  <c:v>13899.299805000001</c:v>
                </c:pt>
                <c:pt idx="31">
                  <c:v>13958.599609000001</c:v>
                </c:pt>
                <c:pt idx="32">
                  <c:v>14258.400390999999</c:v>
                </c:pt>
                <c:pt idx="33">
                  <c:v>14075.900390999999</c:v>
                </c:pt>
                <c:pt idx="34">
                  <c:v>14166.599609000001</c:v>
                </c:pt>
                <c:pt idx="35">
                  <c:v>13925.700194999999</c:v>
                </c:pt>
                <c:pt idx="36">
                  <c:v>13614.099609000001</c:v>
                </c:pt>
                <c:pt idx="37">
                  <c:v>13592.700194999999</c:v>
                </c:pt>
                <c:pt idx="38">
                  <c:v>12938.299805000001</c:v>
                </c:pt>
                <c:pt idx="39">
                  <c:v>13097.799805000001</c:v>
                </c:pt>
                <c:pt idx="40">
                  <c:v>12876.400390999999</c:v>
                </c:pt>
                <c:pt idx="41">
                  <c:v>13378.799805000001</c:v>
                </c:pt>
                <c:pt idx="42">
                  <c:v>13038.5</c:v>
                </c:pt>
                <c:pt idx="43">
                  <c:v>12687.700194999999</c:v>
                </c:pt>
                <c:pt idx="44">
                  <c:v>13371.200194999999</c:v>
                </c:pt>
                <c:pt idx="45">
                  <c:v>13139.200194999999</c:v>
                </c:pt>
                <c:pt idx="46">
                  <c:v>12571.099609000001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5-4C11-BD5C-1242E1585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665631"/>
        <c:axId val="495652671"/>
      </c:lineChart>
      <c:dateAx>
        <c:axId val="495665631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52671"/>
        <c:crosses val="autoZero"/>
        <c:auto val="1"/>
        <c:lblOffset val="100"/>
        <c:baseTimeUnit val="days"/>
        <c:majorUnit val="2"/>
        <c:majorTimeUnit val="days"/>
      </c:dateAx>
      <c:valAx>
        <c:axId val="495652671"/>
        <c:scaling>
          <c:orientation val="minMax"/>
          <c:max val="16000"/>
          <c:min val="11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6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887330</xdr:colOff>
      <xdr:row>1</xdr:row>
      <xdr:rowOff>19552</xdr:rowOff>
    </xdr:from>
    <xdr:to>
      <xdr:col>11</xdr:col>
      <xdr:colOff>125329</xdr:colOff>
      <xdr:row>18</xdr:row>
      <xdr:rowOff>124326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F596F79-574B-4A9D-B430-10E9657C1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Teluq\MTI6500-Regression%20files%20to%20share%20online\Test_files\SPTSX%20-%20pre%20struct%20brerak.xlsx" TargetMode="External"/><Relationship Id="rId1" Type="http://schemas.openxmlformats.org/officeDocument/2006/relationships/externalLinkPath" Target="SPTSX%20-%20pre%20struct%20brer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 VARS"/>
      <sheetName val="Adj close price"/>
      <sheetName val="Eq4 avec Sent_t__+__1"/>
      <sheetName val="Eq4 avec Sent__t_+_1_k, k=0"/>
      <sheetName val="Eq4 avec Sent__t_+_1_k, k=1"/>
      <sheetName val="Eq4 avec Sent__t_+_1_k, k=2"/>
      <sheetName val="Eq4 avec Sent__t_+_1_k, k=3"/>
      <sheetName val="Eq4 avec Sent__t_+_1_k, k=4"/>
      <sheetName val="Eq4 avec Sent__t_+_1_k, k=5"/>
      <sheetName val="Eq4 avec Sent__t_+_1_k, k=6"/>
      <sheetName val="Eq4 avec Sent__t_+_1_k, k=7"/>
      <sheetName val="Eq4 avec Sent__t_+_1_k, k=8"/>
      <sheetName val="Eq4 avec Sent__t_+_1_k, k=9"/>
      <sheetName val="Eq7 avec Sent_t"/>
      <sheetName val="Eq7 avec Sent__t_k, k=0"/>
      <sheetName val="Eq7 avec Sent__t_k, k=1"/>
      <sheetName val="Eq7 avec Sent__t_k, k=2"/>
      <sheetName val="Eq7 avec Sent__t_k, k=3"/>
      <sheetName val="Eq7 avec Sent__t_k, k=4"/>
      <sheetName val="Eq7 avec Sent__t_k, k=5"/>
      <sheetName val="Eq7 avec Sent__t_k, k=6"/>
      <sheetName val="Eq7 avec Sent__t_k, k=7"/>
      <sheetName val="Eq7 avec Sent__t_k, k=8"/>
      <sheetName val="Eq7 avec Sent__t_k, k=9"/>
      <sheetName val="Sommaire"/>
      <sheetName val="S&amp;PTSX-3 pers"/>
      <sheetName val="Sommaire_OLD"/>
    </sheetNames>
    <sheetDataSet>
      <sheetData sheetId="0">
        <row r="1">
          <cell r="A1" t="str">
            <v>Date</v>
          </cell>
        </row>
      </sheetData>
      <sheetData sheetId="1">
        <row r="2">
          <cell r="B2">
            <v>11228.5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dez Castellano Juan Andres" id="{B386E71F-82BA-4214-89B1-D8DCB07045AF}" userId="S::hernandez_castellano.juan_andres@univ.teluq.ca::49f641ec-cb42-4d10-a3ba-c90b445cd540" providerId="AD"/>
  <person displayName="Juan Hernandez" id="{163BB6B9-B723-4244-A02B-D203858A4BD4}" userId="S::juan.hernandez@consultationstrategico.onmicrosoft.com::2285e82c-278c-4743-aee5-8c55b30076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7-16T00:19:38.63" personId="{B386E71F-82BA-4214-89B1-D8DCB07045AF}" id="{7683FB27-6E73-40EC-8C85-268BE12C66DA}">
    <text>Moyenne de la colonne</text>
  </threadedComment>
  <threadedComment ref="R2" dT="2024-07-16T00:19:38.63" personId="{B386E71F-82BA-4214-89B1-D8DCB07045AF}" id="{5107183C-9F66-4C04-83AE-375E36560CA2}">
    <text>Moyenne de la colonne</text>
  </threadedComment>
  <threadedComment ref="T2" dT="2024-07-16T00:19:38.63" personId="{B386E71F-82BA-4214-89B1-D8DCB07045AF}" id="{A1555562-54A4-43E0-9BBC-C78AD64FD99D}">
    <text>Moyenne de la colonne</text>
  </threadedComment>
  <threadedComment ref="X2" dT="2024-07-16T00:19:38.63" personId="{B386E71F-82BA-4214-89B1-D8DCB07045AF}" id="{C46CB869-DA87-4815-BDD1-6746F4F9CDEF}">
    <text>Moyenne de la colonne</text>
  </threadedComment>
  <threadedComment ref="AB2" dT="2024-07-16T00:19:38.63" personId="{B386E71F-82BA-4214-89B1-D8DCB07045AF}" id="{9F74D460-97B1-4E3C-8BB5-2F9B0EC8DADE}">
    <text>Moyenne de la colonne</text>
  </threadedComment>
  <threadedComment ref="AF2" dT="2024-07-16T00:19:38.63" personId="{B386E71F-82BA-4214-89B1-D8DCB07045AF}" id="{055FBD36-DB14-4BBB-B30F-90241ED2E4F8}">
    <text>Moyenne de la colonne</text>
  </threadedComment>
  <threadedComment ref="AJ2" dT="2024-07-16T00:19:38.63" personId="{B386E71F-82BA-4214-89B1-D8DCB07045AF}" id="{13F541BA-A940-437D-B023-38D7BA74735F}">
    <text>Moyenne de la colonne</text>
  </threadedComment>
  <threadedComment ref="AN2" dT="2024-07-16T00:19:38.63" personId="{B386E71F-82BA-4214-89B1-D8DCB07045AF}" id="{A913694A-9FF5-4CE5-9EB6-20422DCAD6FE}">
    <text>Moyenne de la colonne</text>
  </threadedComment>
  <threadedComment ref="AR2" dT="2024-07-16T00:19:38.63" personId="{B386E71F-82BA-4214-89B1-D8DCB07045AF}" id="{DA2C54E2-EDD2-4DD5-9EC4-51E7AC4B1D92}">
    <text>Moyenne de la colonne</text>
  </threadedComment>
  <threadedComment ref="AV2" dT="2024-07-16T00:19:38.63" personId="{B386E71F-82BA-4214-89B1-D8DCB07045AF}" id="{203DEE81-5C1F-4D60-9A21-D11C7AF1BF9C}">
    <text>Moyenne de la colonne</text>
  </threadedComment>
  <threadedComment ref="AZ2" dT="2024-07-16T00:19:38.63" personId="{B386E71F-82BA-4214-89B1-D8DCB07045AF}" id="{69586849-B78D-4275-9DA1-B28273A327BA}">
    <text>Moyenne de la colonne</text>
  </threadedComment>
  <threadedComment ref="BD2" dT="2024-07-16T00:19:38.63" personId="{B386E71F-82BA-4214-89B1-D8DCB07045AF}" id="{F0A05781-687D-4DE9-A1BF-131A52D0AC5B}">
    <text>Moyenne de la colonne</text>
  </threadedComment>
  <threadedComment ref="J6" dT="2024-03-18T18:50:09.70" personId="{163BB6B9-B723-4244-A02B-D203858A4BD4}" id="{269ABAE4-40BD-459A-BA79-7D98480019D6}">
    <text>Moyenne de la valeur précédente et postérieure</text>
  </threadedComment>
  <threadedComment ref="BH58" dT="2024-03-19T03:08:32.20" personId="{163BB6B9-B723-4244-A02B-D203858A4BD4}" id="{3CBB640E-CE8B-48C6-A4DC-61CAA140CB66}">
    <text xml:space="preserve">Average </text>
  </threadedComment>
  <threadedComment ref="BH58" dT="2024-03-19T03:23:06.24" personId="{163BB6B9-B723-4244-A02B-D203858A4BD4}" id="{73E31130-E2DF-43CF-BE6D-3A3D9761907C}" parentId="{3CBB640E-CE8B-48C6-A4DC-61CAA140CB66}">
    <text>Moyenne</text>
  </threadedComment>
  <threadedComment ref="BH58" dT="2024-03-19T03:26:43.81" personId="{163BB6B9-B723-4244-A02B-D203858A4BD4}" id="{43D8F9B6-F875-44A2-B8D7-D19624648D88}" parentId="{3CBB640E-CE8B-48C6-A4DC-61CAA140CB66}">
    <text>Moyenne</text>
  </threadedComment>
  <threadedComment ref="BH58" dT="2024-03-19T03:27:04.07" personId="{163BB6B9-B723-4244-A02B-D203858A4BD4}" id="{99A0B4FA-67E7-4ECA-8DAE-6AECFF25076F}" parentId="{3CBB640E-CE8B-48C6-A4DC-61CAA140CB66}">
    <text>Moyenne</text>
  </threadedComment>
  <threadedComment ref="BH58" dT="2024-03-19T03:27:14.14" personId="{163BB6B9-B723-4244-A02B-D203858A4BD4}" id="{3EDD0EA6-F5DD-4A25-B1DD-87B2E2A389CE}" parentId="{3CBB640E-CE8B-48C6-A4DC-61CAA140CB66}">
    <text>Moyenne</text>
  </threadedComment>
  <threadedComment ref="BH58" dT="2024-03-19T03:27:37.31" personId="{163BB6B9-B723-4244-A02B-D203858A4BD4}" id="{51421915-B699-46B6-A191-EF62A1366A3F}" parentId="{3CBB640E-CE8B-48C6-A4DC-61CAA140CB66}">
    <text>Moyenne</text>
  </threadedComment>
  <threadedComment ref="BJ58" dT="2024-03-19T03:23:13.63" personId="{163BB6B9-B723-4244-A02B-D203858A4BD4}" id="{9C51EE1B-5DC5-4349-920B-A80894B3B69B}">
    <text>Moyenne</text>
  </threadedComment>
  <threadedComment ref="BL58" dT="2024-03-19T03:27:27.43" personId="{163BB6B9-B723-4244-A02B-D203858A4BD4}" id="{D6555B02-5C09-4905-B07C-EF1B6C5B84DB}">
    <text>Moyenne</text>
  </threadedComment>
  <threadedComment ref="BL58" dT="2024-03-19T03:30:31.26" personId="{163BB6B9-B723-4244-A02B-D203858A4BD4}" id="{EC874401-2111-4CF4-B104-A121C21FB747}" parentId="{D6555B02-5C09-4905-B07C-EF1B6C5B84DB}">
    <text>Moyenne</text>
  </threadedComment>
  <threadedComment ref="BN58" dT="2024-03-19T03:30:19.03" personId="{163BB6B9-B723-4244-A02B-D203858A4BD4}" id="{D2908705-9A34-4CE6-AA4C-CC27A744CC1F}">
    <text xml:space="preserve">Moyenne
</text>
  </threadedComment>
  <threadedComment ref="BP58" dT="2024-03-19T03:32:25.34" personId="{163BB6B9-B723-4244-A02B-D203858A4BD4}" id="{E96ED23C-526B-4D2B-B5F4-685DF9919957}">
    <text>Moyenne</text>
  </threadedComment>
  <threadedComment ref="BR58" dT="2024-03-19T03:34:37.99" personId="{163BB6B9-B723-4244-A02B-D203858A4BD4}" id="{2F5A0ACD-14C6-448B-A3E3-189F646CDE88}">
    <text>Moyenne</text>
  </threadedComment>
  <threadedComment ref="BT58" dT="2024-03-19T03:36:37.15" personId="{163BB6B9-B723-4244-A02B-D203858A4BD4}" id="{BCA56E8A-50FF-4349-8863-A58F2B78E81E}">
    <text>Moyenne</text>
  </threadedComment>
  <threadedComment ref="BV58" dT="2024-03-19T03:38:39.98" personId="{163BB6B9-B723-4244-A02B-D203858A4BD4}" id="{B41C1DB4-43F7-4B9C-BA7D-436489D242F7}">
    <text>Moyenne</text>
  </threadedComment>
  <threadedComment ref="BX58" dT="2024-03-19T03:41:01.16" personId="{163BB6B9-B723-4244-A02B-D203858A4BD4}" id="{DC61383F-5054-44E6-917B-B1DA946E6EEA}">
    <text>Moyenne</text>
  </threadedComment>
  <threadedComment ref="BZ58" dT="2024-03-19T03:43:17.83" personId="{163BB6B9-B723-4244-A02B-D203858A4BD4}" id="{7CE62977-8A60-4616-AF75-3725E35B2863}">
    <text>Moyenne</text>
  </threadedComment>
  <threadedComment ref="CB58" dT="2024-03-19T03:45:23.00" personId="{163BB6B9-B723-4244-A02B-D203858A4BD4}" id="{E2B95813-6CD7-4DF8-93A5-F58B37BB3446}">
    <text>Moyenne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BFA-E281-4F43-8B61-020F2027BE14}">
  <sheetPr codeName="Feuil2">
    <tabColor rgb="FFFFFFFF"/>
  </sheetPr>
  <dimension ref="A1:CE565"/>
  <sheetViews>
    <sheetView workbookViewId="0">
      <selection sqref="A1:XFD1048576"/>
    </sheetView>
  </sheetViews>
  <sheetFormatPr baseColWidth="10" defaultColWidth="11.28515625" defaultRowHeight="15" x14ac:dyDescent="0.25"/>
  <cols>
    <col min="1" max="1" width="10.42578125" style="15" bestFit="1" customWidth="1"/>
    <col min="2" max="2" width="16.140625" style="16" bestFit="1" customWidth="1"/>
    <col min="3" max="3" width="17.85546875" style="16" bestFit="1" customWidth="1"/>
    <col min="4" max="4" width="27.85546875" style="17" bestFit="1" customWidth="1"/>
    <col min="5" max="5" width="2.42578125" style="17" customWidth="1"/>
    <col min="6" max="6" width="22.7109375" style="16" bestFit="1" customWidth="1"/>
    <col min="7" max="7" width="19.7109375" style="16" bestFit="1" customWidth="1"/>
    <col min="8" max="8" width="28.28515625" style="16" bestFit="1" customWidth="1"/>
    <col min="9" max="9" width="30.5703125" style="16" hidden="1" customWidth="1"/>
    <col min="10" max="10" width="11" style="17" bestFit="1" customWidth="1"/>
    <col min="11" max="11" width="13.140625" style="16" bestFit="1" customWidth="1"/>
    <col min="12" max="12" width="27.85546875" style="16" bestFit="1" customWidth="1"/>
    <col min="13" max="13" width="9.28515625" style="17" bestFit="1" customWidth="1"/>
    <col min="14" max="15" width="5.28515625" style="16" hidden="1" customWidth="1"/>
    <col min="16" max="16" width="13" style="16" bestFit="1" customWidth="1"/>
    <col min="17" max="17" width="37.140625" style="16" bestFit="1" customWidth="1"/>
    <col min="18" max="18" width="41.28515625" style="16" bestFit="1" customWidth="1"/>
    <col min="19" max="19" width="15" style="17" bestFit="1" customWidth="1"/>
    <col min="20" max="20" width="19.140625" style="17" bestFit="1" customWidth="1"/>
    <col min="21" max="21" width="43.28515625" style="17" bestFit="1" customWidth="1"/>
    <col min="22" max="22" width="47.42578125" style="17" bestFit="1" customWidth="1"/>
    <col min="23" max="23" width="15" style="17" bestFit="1" customWidth="1"/>
    <col min="24" max="24" width="19.140625" style="17" bestFit="1" customWidth="1"/>
    <col min="25" max="25" width="43.28515625" style="17" bestFit="1" customWidth="1"/>
    <col min="26" max="26" width="47.42578125" style="17" bestFit="1" customWidth="1"/>
    <col min="27" max="27" width="15" style="17" bestFit="1" customWidth="1"/>
    <col min="28" max="28" width="19.140625" style="17" bestFit="1" customWidth="1"/>
    <col min="29" max="29" width="43.28515625" style="17" bestFit="1" customWidth="1"/>
    <col min="30" max="30" width="47.42578125" style="17" bestFit="1" customWidth="1"/>
    <col min="31" max="31" width="15" style="17" bestFit="1" customWidth="1"/>
    <col min="32" max="32" width="19.140625" style="17" bestFit="1" customWidth="1"/>
    <col min="33" max="33" width="43.28515625" style="17" bestFit="1" customWidth="1"/>
    <col min="34" max="34" width="47.42578125" style="17" bestFit="1" customWidth="1"/>
    <col min="35" max="35" width="15" style="17" bestFit="1" customWidth="1"/>
    <col min="36" max="36" width="19.140625" style="17" bestFit="1" customWidth="1"/>
    <col min="37" max="37" width="43.28515625" style="17" bestFit="1" customWidth="1"/>
    <col min="38" max="38" width="47.42578125" style="17" bestFit="1" customWidth="1"/>
    <col min="39" max="39" width="15" style="17" bestFit="1" customWidth="1"/>
    <col min="40" max="40" width="19.140625" style="17" bestFit="1" customWidth="1"/>
    <col min="41" max="41" width="43.28515625" style="17" bestFit="1" customWidth="1"/>
    <col min="42" max="42" width="47.42578125" style="17" bestFit="1" customWidth="1"/>
    <col min="43" max="43" width="15" style="17" bestFit="1" customWidth="1"/>
    <col min="44" max="44" width="19.140625" style="17" bestFit="1" customWidth="1"/>
    <col min="45" max="45" width="43.28515625" style="17" bestFit="1" customWidth="1"/>
    <col min="46" max="46" width="47.42578125" style="17" bestFit="1" customWidth="1"/>
    <col min="47" max="47" width="15" style="17" bestFit="1" customWidth="1"/>
    <col min="48" max="48" width="19.140625" style="17" bestFit="1" customWidth="1"/>
    <col min="49" max="49" width="43.28515625" style="17" bestFit="1" customWidth="1"/>
    <col min="50" max="50" width="47.42578125" style="17" bestFit="1" customWidth="1"/>
    <col min="51" max="51" width="15" style="17" bestFit="1" customWidth="1"/>
    <col min="52" max="52" width="19.140625" style="17" bestFit="1" customWidth="1"/>
    <col min="53" max="53" width="43.28515625" style="17" bestFit="1" customWidth="1"/>
    <col min="54" max="54" width="47.42578125" style="17" bestFit="1" customWidth="1"/>
    <col min="55" max="55" width="15" style="17" bestFit="1" customWidth="1"/>
    <col min="56" max="56" width="19.140625" style="17" bestFit="1" customWidth="1"/>
    <col min="57" max="57" width="43.28515625" style="16" bestFit="1" customWidth="1"/>
    <col min="58" max="58" width="45.140625" style="16" bestFit="1" customWidth="1"/>
    <col min="59" max="59" width="3.28515625" style="18" customWidth="1"/>
    <col min="60" max="60" width="11.5703125" style="18" hidden="1" customWidth="1"/>
    <col min="61" max="61" width="45.42578125" style="18" hidden="1" customWidth="1"/>
    <col min="62" max="62" width="23" style="18" hidden="1" customWidth="1"/>
    <col min="63" max="63" width="59.28515625" style="18" hidden="1" customWidth="1"/>
    <col min="64" max="64" width="17.42578125" style="18" hidden="1" customWidth="1"/>
    <col min="65" max="65" width="53.85546875" style="18" hidden="1" customWidth="1"/>
    <col min="66" max="66" width="17.140625" style="18" hidden="1" customWidth="1"/>
    <col min="67" max="67" width="53.42578125" style="18" hidden="1" customWidth="1"/>
    <col min="68" max="68" width="17.42578125" style="18" hidden="1" customWidth="1"/>
    <col min="69" max="69" width="53.85546875" style="18" hidden="1" customWidth="1"/>
    <col min="70" max="70" width="17.42578125" style="18" hidden="1" customWidth="1"/>
    <col min="71" max="71" width="53.85546875" style="18" hidden="1" customWidth="1"/>
    <col min="72" max="72" width="17.42578125" style="18" hidden="1" customWidth="1"/>
    <col min="73" max="73" width="53.85546875" style="18" hidden="1" customWidth="1"/>
    <col min="74" max="74" width="17.42578125" style="18" hidden="1" customWidth="1"/>
    <col min="75" max="75" width="53.85546875" style="18" hidden="1" customWidth="1"/>
    <col min="76" max="76" width="17.42578125" style="18" hidden="1" customWidth="1"/>
    <col min="77" max="77" width="53.85546875" style="18" hidden="1" customWidth="1"/>
    <col min="78" max="78" width="17.42578125" style="18" hidden="1" customWidth="1"/>
    <col min="79" max="79" width="53.85546875" style="18" hidden="1" customWidth="1"/>
    <col min="80" max="80" width="17.42578125" style="18" hidden="1" customWidth="1"/>
    <col min="81" max="81" width="53.85546875" style="18" hidden="1" customWidth="1"/>
    <col min="82" max="82" width="32.140625" style="18" hidden="1" customWidth="1"/>
    <col min="83" max="83" width="0" style="18" hidden="1" customWidth="1"/>
    <col min="84" max="16384" width="11.28515625" style="18"/>
  </cols>
  <sheetData>
    <row r="1" spans="1:83" s="13" customFormat="1" x14ac:dyDescent="0.25">
      <c r="A1" s="10" t="s">
        <v>0</v>
      </c>
      <c r="B1" s="11" t="s">
        <v>38</v>
      </c>
      <c r="C1" s="11" t="s">
        <v>1</v>
      </c>
      <c r="D1" s="12" t="s">
        <v>2</v>
      </c>
      <c r="E1" s="12"/>
      <c r="F1" s="11" t="s">
        <v>35</v>
      </c>
      <c r="G1" s="11" t="s">
        <v>36</v>
      </c>
      <c r="H1" s="11" t="s">
        <v>37</v>
      </c>
      <c r="I1" s="11" t="s">
        <v>3</v>
      </c>
      <c r="J1" s="12" t="s">
        <v>4</v>
      </c>
      <c r="K1" s="11" t="s">
        <v>5</v>
      </c>
      <c r="L1" s="12" t="s">
        <v>8</v>
      </c>
      <c r="M1" s="12" t="s">
        <v>20</v>
      </c>
      <c r="N1" s="11" t="s">
        <v>7</v>
      </c>
      <c r="O1" s="11" t="s">
        <v>7</v>
      </c>
      <c r="P1" s="12" t="s">
        <v>6</v>
      </c>
      <c r="Q1" s="11" t="s">
        <v>31</v>
      </c>
      <c r="R1" s="11" t="s">
        <v>19</v>
      </c>
      <c r="S1" s="12" t="s">
        <v>21</v>
      </c>
      <c r="T1" s="12" t="s">
        <v>9</v>
      </c>
      <c r="U1" s="11" t="s">
        <v>87</v>
      </c>
      <c r="V1" s="11" t="s">
        <v>77</v>
      </c>
      <c r="W1" s="12" t="s">
        <v>22</v>
      </c>
      <c r="X1" s="12" t="s">
        <v>10</v>
      </c>
      <c r="Y1" s="11" t="s">
        <v>88</v>
      </c>
      <c r="Z1" s="11" t="s">
        <v>78</v>
      </c>
      <c r="AA1" s="12" t="s">
        <v>23</v>
      </c>
      <c r="AB1" s="12" t="s">
        <v>11</v>
      </c>
      <c r="AC1" s="11" t="s">
        <v>89</v>
      </c>
      <c r="AD1" s="11" t="s">
        <v>79</v>
      </c>
      <c r="AE1" s="12" t="s">
        <v>24</v>
      </c>
      <c r="AF1" s="12" t="s">
        <v>12</v>
      </c>
      <c r="AG1" s="11" t="s">
        <v>90</v>
      </c>
      <c r="AH1" s="11" t="s">
        <v>80</v>
      </c>
      <c r="AI1" s="12" t="s">
        <v>25</v>
      </c>
      <c r="AJ1" s="12" t="s">
        <v>13</v>
      </c>
      <c r="AK1" s="11" t="s">
        <v>91</v>
      </c>
      <c r="AL1" s="11" t="s">
        <v>81</v>
      </c>
      <c r="AM1" s="12" t="s">
        <v>26</v>
      </c>
      <c r="AN1" s="12" t="s">
        <v>14</v>
      </c>
      <c r="AO1" s="11" t="s">
        <v>92</v>
      </c>
      <c r="AP1" s="11" t="s">
        <v>82</v>
      </c>
      <c r="AQ1" s="12" t="s">
        <v>27</v>
      </c>
      <c r="AR1" s="12" t="s">
        <v>15</v>
      </c>
      <c r="AS1" s="11" t="s">
        <v>93</v>
      </c>
      <c r="AT1" s="11" t="s">
        <v>83</v>
      </c>
      <c r="AU1" s="12" t="s">
        <v>28</v>
      </c>
      <c r="AV1" s="12" t="s">
        <v>16</v>
      </c>
      <c r="AW1" s="11" t="s">
        <v>94</v>
      </c>
      <c r="AX1" s="11" t="s">
        <v>84</v>
      </c>
      <c r="AY1" s="12" t="s">
        <v>29</v>
      </c>
      <c r="AZ1" s="12" t="s">
        <v>17</v>
      </c>
      <c r="BA1" s="11" t="s">
        <v>95</v>
      </c>
      <c r="BB1" s="11" t="s">
        <v>85</v>
      </c>
      <c r="BC1" s="12" t="s">
        <v>30</v>
      </c>
      <c r="BD1" s="12" t="s">
        <v>18</v>
      </c>
      <c r="BE1" s="11" t="s">
        <v>96</v>
      </c>
      <c r="BF1" s="11" t="s">
        <v>86</v>
      </c>
      <c r="BH1" s="13" t="s">
        <v>20</v>
      </c>
      <c r="BI1" s="13" t="s">
        <v>31</v>
      </c>
      <c r="BJ1" s="14" t="s">
        <v>21</v>
      </c>
      <c r="BK1" s="13" t="s">
        <v>87</v>
      </c>
      <c r="BL1" s="14" t="s">
        <v>22</v>
      </c>
      <c r="BM1" s="13" t="s">
        <v>88</v>
      </c>
      <c r="BN1" s="14" t="s">
        <v>23</v>
      </c>
      <c r="BO1" s="13" t="s">
        <v>89</v>
      </c>
      <c r="BP1" s="14" t="s">
        <v>24</v>
      </c>
      <c r="BQ1" s="13" t="s">
        <v>90</v>
      </c>
      <c r="BR1" s="14" t="s">
        <v>25</v>
      </c>
      <c r="BS1" s="13" t="s">
        <v>91</v>
      </c>
      <c r="BT1" s="14" t="s">
        <v>26</v>
      </c>
      <c r="BU1" s="13" t="s">
        <v>92</v>
      </c>
      <c r="BV1" s="14" t="s">
        <v>27</v>
      </c>
      <c r="BW1" s="13" t="s">
        <v>93</v>
      </c>
      <c r="BX1" s="14" t="s">
        <v>28</v>
      </c>
      <c r="BY1" s="13" t="s">
        <v>94</v>
      </c>
      <c r="BZ1" s="14" t="s">
        <v>29</v>
      </c>
      <c r="CA1" s="13" t="s">
        <v>95</v>
      </c>
      <c r="CB1" s="14" t="s">
        <v>30</v>
      </c>
      <c r="CC1" s="13" t="s">
        <v>96</v>
      </c>
      <c r="CD1" s="14" t="s">
        <v>4</v>
      </c>
      <c r="CE1" s="13" t="s">
        <v>7</v>
      </c>
    </row>
    <row r="2" spans="1:83" x14ac:dyDescent="0.25">
      <c r="A2" s="15">
        <v>43980</v>
      </c>
      <c r="B2" s="16">
        <v>15192.799805000001</v>
      </c>
      <c r="C2" s="16">
        <v>-4.5798180601685388E-3</v>
      </c>
      <c r="D2" s="17">
        <v>-0.24457772169262171</v>
      </c>
      <c r="F2" s="16">
        <v>2.3093919546915233E-2</v>
      </c>
      <c r="G2" s="16">
        <v>-4.5798180601685388E-3</v>
      </c>
      <c r="H2" s="16">
        <v>-6.0894480094293875E-4</v>
      </c>
      <c r="I2" s="17">
        <v>-0.24457772169262171</v>
      </c>
      <c r="J2" s="17">
        <v>29.423000200000001</v>
      </c>
      <c r="K2" s="16">
        <v>45.214509014035059</v>
      </c>
      <c r="L2" s="17">
        <v>-15.791508814035058</v>
      </c>
      <c r="M2" s="17">
        <v>-0.24457772169262171</v>
      </c>
      <c r="N2" s="16" t="b">
        <v>1</v>
      </c>
      <c r="O2" s="16" t="b">
        <v>1</v>
      </c>
      <c r="P2" s="17">
        <v>-6.7721571688512602E-2</v>
      </c>
      <c r="Q2" s="16">
        <v>3.862251247825649</v>
      </c>
      <c r="R2" s="17">
        <v>-0.85012212926853625</v>
      </c>
      <c r="S2" s="17">
        <v>-4.0665114527942831E-2</v>
      </c>
      <c r="T2" s="17">
        <v>-1.6831778097426366E-3</v>
      </c>
      <c r="U2" s="16">
        <v>0.64216351449175435</v>
      </c>
      <c r="V2" s="16">
        <v>2.6579917218139071E-2</v>
      </c>
      <c r="W2" s="17">
        <v>-3.9796701988386524E-3</v>
      </c>
      <c r="X2" s="17">
        <v>-4.8347977428148174E-4</v>
      </c>
      <c r="Y2" s="16">
        <v>6.2844997021913235E-2</v>
      </c>
      <c r="Z2" s="16">
        <v>7.6348751169736991E-3</v>
      </c>
      <c r="AA2" s="17">
        <v>-3.9797236618121191E-3</v>
      </c>
      <c r="AB2" s="17">
        <v>-2.675892021827254E-3</v>
      </c>
      <c r="AC2" s="16">
        <v>6.2845841282929957E-2</v>
      </c>
      <c r="AD2" s="16">
        <v>4.2256372448091176E-2</v>
      </c>
      <c r="AE2" s="17">
        <v>-3.9798217536506728E-3</v>
      </c>
      <c r="AF2" s="17">
        <v>-2.3405861609551936E-3</v>
      </c>
      <c r="AG2" s="16">
        <v>6.2847390301063066E-2</v>
      </c>
      <c r="AH2" s="16">
        <v>3.6961386990732419E-2</v>
      </c>
      <c r="AI2" s="17">
        <v>-7.955194694050792E-2</v>
      </c>
      <c r="AJ2" s="17">
        <v>-6.2882420154539284E-3</v>
      </c>
      <c r="AK2" s="16">
        <v>1.2562452712846801</v>
      </c>
      <c r="AL2" s="16">
        <v>9.9300829211826286E-2</v>
      </c>
      <c r="AM2" s="17">
        <v>-3.8919147226137089E-2</v>
      </c>
      <c r="AN2" s="17">
        <v>-6.3397233158746487E-3</v>
      </c>
      <c r="AO2" s="16">
        <v>0.61459205645627191</v>
      </c>
      <c r="AP2" s="16">
        <v>0.10011379662117809</v>
      </c>
      <c r="AQ2" s="17">
        <v>-3.794859758094106E-2</v>
      </c>
      <c r="AR2" s="17">
        <v>-1.0995213328620782E-2</v>
      </c>
      <c r="AS2" s="16">
        <v>0.59926561317970028</v>
      </c>
      <c r="AT2" s="16">
        <v>0.17363100819111082</v>
      </c>
      <c r="AU2" s="17">
        <v>-2.7594732918593681E-2</v>
      </c>
      <c r="AV2" s="17">
        <v>-1.8403209256075696E-2</v>
      </c>
      <c r="AW2" s="16">
        <v>0.43576246810491548</v>
      </c>
      <c r="AX2" s="16">
        <v>0.29061444117385093</v>
      </c>
      <c r="AY2" s="17">
        <v>-3.9793148523069597E-3</v>
      </c>
      <c r="AZ2" s="17">
        <v>-1.3136615279900534E-2</v>
      </c>
      <c r="BA2" s="16">
        <v>6.2839385564025976E-2</v>
      </c>
      <c r="BB2" s="16">
        <v>0.20744697597913692</v>
      </c>
      <c r="BC2" s="17">
        <v>-3.9796520318904297E-3</v>
      </c>
      <c r="BD2" s="17">
        <v>-5.3754327257803909E-3</v>
      </c>
      <c r="BE2" s="16">
        <v>6.2844710138390256E-2</v>
      </c>
      <c r="BF2" s="16">
        <v>8.488619326841354E-2</v>
      </c>
      <c r="BH2" s="19">
        <v>-0.24457772169262171</v>
      </c>
      <c r="BI2" s="18">
        <v>3.862251247825649</v>
      </c>
      <c r="BJ2" s="19">
        <v>-4.0665114527942831E-2</v>
      </c>
      <c r="BK2" s="18">
        <v>0.64216351449175435</v>
      </c>
      <c r="BL2" s="19">
        <v>-3.9796701988386524E-3</v>
      </c>
      <c r="BM2" s="18">
        <v>6.2844997021913235E-2</v>
      </c>
      <c r="BN2" s="19">
        <v>-3.9797236618121191E-3</v>
      </c>
      <c r="BO2" s="18">
        <v>6.2845841282929957E-2</v>
      </c>
      <c r="BP2" s="19">
        <v>-3.9798217536506728E-3</v>
      </c>
      <c r="BQ2" s="18">
        <v>6.2847390301063066E-2</v>
      </c>
      <c r="BR2" s="19">
        <v>-7.955194694050792E-2</v>
      </c>
      <c r="BS2" s="18">
        <v>1.2562452712846801</v>
      </c>
      <c r="BT2" s="19">
        <v>-3.8919147226137089E-2</v>
      </c>
      <c r="BU2" s="18">
        <v>0.61459205645627191</v>
      </c>
      <c r="BV2" s="19">
        <v>-3.794859758094106E-2</v>
      </c>
      <c r="BW2" s="18">
        <v>0.59926561317970028</v>
      </c>
      <c r="BX2" s="19">
        <v>-2.7594732918593681E-2</v>
      </c>
      <c r="BY2" s="18">
        <v>0.43576246810491548</v>
      </c>
      <c r="BZ2" s="19">
        <v>-3.9793148523069597E-3</v>
      </c>
      <c r="CA2" s="18">
        <v>6.2839385564025976E-2</v>
      </c>
      <c r="CB2" s="19">
        <v>-3.9796520318904297E-3</v>
      </c>
      <c r="CC2" s="18">
        <v>6.2844710138390256E-2</v>
      </c>
      <c r="CD2" s="19">
        <v>29.423000200000001</v>
      </c>
      <c r="CE2" s="18" t="b">
        <v>1</v>
      </c>
    </row>
    <row r="3" spans="1:83" x14ac:dyDescent="0.25">
      <c r="A3" s="15">
        <v>43979</v>
      </c>
      <c r="B3" s="16">
        <v>15262.700194999999</v>
      </c>
      <c r="C3" s="16">
        <v>-6.0894480094293875E-4</v>
      </c>
      <c r="D3" s="17">
        <v>6.2640197575092316E-3</v>
      </c>
      <c r="F3" s="16">
        <v>-4.5798180601685388E-3</v>
      </c>
      <c r="G3" s="16">
        <v>-6.0894480094293875E-4</v>
      </c>
      <c r="H3" s="16">
        <v>8.1792696244475296E-3</v>
      </c>
      <c r="I3" s="17">
        <v>6.2640197575092316E-3</v>
      </c>
      <c r="J3" s="17">
        <v>30.092000099999996</v>
      </c>
      <c r="K3" s="16">
        <v>45.214509014035059</v>
      </c>
      <c r="L3" s="17">
        <v>-15.122508914035063</v>
      </c>
      <c r="M3" s="17">
        <v>6.2640197575092316E-3</v>
      </c>
      <c r="N3" s="16" t="b">
        <v>1</v>
      </c>
      <c r="O3" s="16" t="b">
        <v>1</v>
      </c>
      <c r="P3" s="17">
        <v>-0.24457772169262171</v>
      </c>
      <c r="Q3" s="16">
        <v>-9.4727694620625108E-2</v>
      </c>
      <c r="R3" s="16">
        <v>3.6986287764710584</v>
      </c>
      <c r="S3" s="17">
        <v>1.3925055326792781E-4</v>
      </c>
      <c r="T3" s="17">
        <v>-4.0665114527942831E-2</v>
      </c>
      <c r="U3" s="16">
        <v>-2.1058177330785526E-3</v>
      </c>
      <c r="V3" s="16">
        <v>0.6149585569390722</v>
      </c>
      <c r="W3" s="17">
        <v>1.3920669668449529E-4</v>
      </c>
      <c r="X3" s="17">
        <v>-3.9796701988386524E-3</v>
      </c>
      <c r="Y3" s="16">
        <v>-2.1051545115046552E-3</v>
      </c>
      <c r="Z3" s="16">
        <v>6.018259805685721E-2</v>
      </c>
      <c r="AA3" s="17">
        <v>1.3922479831146258E-4</v>
      </c>
      <c r="AB3" s="17">
        <v>-3.9797236618121191E-3</v>
      </c>
      <c r="AC3" s="16">
        <v>-2.1054282535198266E-3</v>
      </c>
      <c r="AD3" s="16">
        <v>6.018340655115003E-2</v>
      </c>
      <c r="AE3" s="17">
        <v>1.3921647057884599E-4</v>
      </c>
      <c r="AF3" s="17">
        <v>-3.9798217536506728E-3</v>
      </c>
      <c r="AG3" s="16">
        <v>-2.1053023173090986E-3</v>
      </c>
      <c r="AH3" s="16">
        <v>6.0184889945852957E-2</v>
      </c>
      <c r="AI3" s="17">
        <v>1.8791543484551196E-3</v>
      </c>
      <c r="AJ3" s="17">
        <v>-7.955194694050792E-2</v>
      </c>
      <c r="AK3" s="16">
        <v>-2.8417528385360297E-2</v>
      </c>
      <c r="AL3" s="16">
        <v>1.2030250267366753</v>
      </c>
      <c r="AM3" s="17">
        <v>1.3922239934180766E-4</v>
      </c>
      <c r="AN3" s="17">
        <v>-3.8919147226137089E-2</v>
      </c>
      <c r="AO3" s="16">
        <v>-2.1053919750798357E-3</v>
      </c>
      <c r="AP3" s="16">
        <v>0.58855515085390109</v>
      </c>
      <c r="AQ3" s="17">
        <v>1.3921325823791918E-4</v>
      </c>
      <c r="AR3" s="17">
        <v>-3.794859758094106E-2</v>
      </c>
      <c r="AS3" s="16">
        <v>-2.105253738654798E-3</v>
      </c>
      <c r="AT3" s="16">
        <v>0.57387800519291055</v>
      </c>
      <c r="AU3" s="17">
        <v>1.8791680861907644E-3</v>
      </c>
      <c r="AV3" s="17">
        <v>-2.7594732918593681E-2</v>
      </c>
      <c r="AW3" s="16">
        <v>-2.8417736134390043E-2</v>
      </c>
      <c r="AX3" s="16">
        <v>0.41730159454184973</v>
      </c>
      <c r="AY3" s="17">
        <v>1.5311548504140444E-3</v>
      </c>
      <c r="AZ3" s="17">
        <v>-3.9793148523069597E-3</v>
      </c>
      <c r="BA3" s="16">
        <v>-2.315490287415441E-2</v>
      </c>
      <c r="BB3" s="16">
        <v>6.0177224325764118E-2</v>
      </c>
      <c r="BC3" s="17">
        <v>1.3920829602683825E-4</v>
      </c>
      <c r="BD3" s="17">
        <v>-3.9796520318904297E-3</v>
      </c>
      <c r="BE3" s="16">
        <v>-2.1051786975734934E-3</v>
      </c>
      <c r="BF3" s="16">
        <v>6.0182323327020774E-2</v>
      </c>
      <c r="BH3" s="19">
        <v>6.2640197575092316E-3</v>
      </c>
      <c r="BI3" s="18">
        <v>-9.4727694620625108E-2</v>
      </c>
      <c r="BJ3" s="19">
        <v>1.3925055326792781E-4</v>
      </c>
      <c r="BK3" s="18">
        <v>-2.1058177330785526E-3</v>
      </c>
      <c r="BL3" s="19">
        <v>1.3920669668449529E-4</v>
      </c>
      <c r="BM3" s="18">
        <v>-2.1051545115046552E-3</v>
      </c>
      <c r="BN3" s="19">
        <v>1.3922479831146258E-4</v>
      </c>
      <c r="BO3" s="18">
        <v>-2.1054282535198266E-3</v>
      </c>
      <c r="BP3" s="19">
        <v>1.3921647057884599E-4</v>
      </c>
      <c r="BQ3" s="18">
        <v>-2.1053023173090986E-3</v>
      </c>
      <c r="BR3" s="19">
        <v>1.8791543484551196E-3</v>
      </c>
      <c r="BS3" s="18">
        <v>-2.8417528385360297E-2</v>
      </c>
      <c r="BT3" s="19">
        <v>1.3922239934180766E-4</v>
      </c>
      <c r="BU3" s="18">
        <v>-2.1053919750798357E-3</v>
      </c>
      <c r="BV3" s="19">
        <v>1.3921325823791918E-4</v>
      </c>
      <c r="BW3" s="18">
        <v>-2.105253738654798E-3</v>
      </c>
      <c r="BX3" s="19">
        <v>1.8791680861907644E-3</v>
      </c>
      <c r="BY3" s="18">
        <v>-2.8417736134390043E-2</v>
      </c>
      <c r="BZ3" s="19">
        <v>1.5311548504140444E-3</v>
      </c>
      <c r="CA3" s="18">
        <v>-2.315490287415441E-2</v>
      </c>
      <c r="CB3" s="19">
        <v>1.3920829602683825E-4</v>
      </c>
      <c r="CC3" s="18">
        <v>-2.1051786975734934E-3</v>
      </c>
      <c r="CD3" s="19">
        <v>30.092000099999996</v>
      </c>
      <c r="CE3" s="18" t="b">
        <v>1</v>
      </c>
    </row>
    <row r="4" spans="1:83" x14ac:dyDescent="0.25">
      <c r="A4" s="15">
        <v>43978</v>
      </c>
      <c r="B4" s="16">
        <v>15272</v>
      </c>
      <c r="C4" s="16">
        <v>8.1792696244475296E-3</v>
      </c>
      <c r="D4" s="17">
        <v>-0.23609326717754206</v>
      </c>
      <c r="F4" s="16">
        <v>-6.0894480094293875E-4</v>
      </c>
      <c r="G4" s="16">
        <v>8.1792696244475296E-3</v>
      </c>
      <c r="H4" s="16">
        <v>4.8223739412853626E-3</v>
      </c>
      <c r="I4" s="17">
        <v>-0.23609326717754206</v>
      </c>
      <c r="J4" s="17">
        <v>30.634000099999998</v>
      </c>
      <c r="K4" s="16">
        <v>45.214509014035059</v>
      </c>
      <c r="L4" s="17">
        <v>-14.580508914035061</v>
      </c>
      <c r="M4" s="17">
        <v>-0.23609326717754206</v>
      </c>
      <c r="N4" s="16" t="b">
        <v>1</v>
      </c>
      <c r="O4" s="16" t="b">
        <v>1</v>
      </c>
      <c r="P4" s="17">
        <v>6.2640197575092316E-3</v>
      </c>
      <c r="Q4" s="16">
        <v>3.4423599866258132</v>
      </c>
      <c r="R4" s="16">
        <v>-9.1332595912055087E-2</v>
      </c>
      <c r="S4" s="17">
        <v>-3.5602666505929132E-3</v>
      </c>
      <c r="T4" s="17">
        <v>1.3925055326792781E-4</v>
      </c>
      <c r="U4" s="16">
        <v>5.1910499635311719E-2</v>
      </c>
      <c r="V4" s="16">
        <v>-2.0303439332073356E-3</v>
      </c>
      <c r="W4" s="17">
        <v>-3.5609529572036467E-3</v>
      </c>
      <c r="X4" s="17">
        <v>1.3920669668449529E-4</v>
      </c>
      <c r="Y4" s="16">
        <v>5.1920506334967281E-2</v>
      </c>
      <c r="Z4" s="16">
        <v>-2.0297044819016586E-3</v>
      </c>
      <c r="AA4" s="17">
        <v>-3.5611298229558694E-3</v>
      </c>
      <c r="AB4" s="17">
        <v>1.3922479831146258E-4</v>
      </c>
      <c r="AC4" s="16">
        <v>5.1923085127644153E-2</v>
      </c>
      <c r="AD4" s="16">
        <v>-2.0299684128350136E-3</v>
      </c>
      <c r="AE4" s="17">
        <v>-3.5606154811124438E-3</v>
      </c>
      <c r="AF4" s="17">
        <v>1.3921647057884599E-4</v>
      </c>
      <c r="AG4" s="16">
        <v>5.1915585761811225E-2</v>
      </c>
      <c r="AH4" s="16">
        <v>-2.0298469902553639E-3</v>
      </c>
      <c r="AI4" s="17">
        <v>-7.1014121345705353E-2</v>
      </c>
      <c r="AJ4" s="17">
        <v>1.8791543484551196E-3</v>
      </c>
      <c r="AK4" s="16">
        <v>1.0354220293034244</v>
      </c>
      <c r="AL4" s="16">
        <v>-2.739902672849762E-2</v>
      </c>
      <c r="AM4" s="17">
        <v>-3.5611198346530977E-3</v>
      </c>
      <c r="AN4" s="17">
        <v>1.3922239934180766E-4</v>
      </c>
      <c r="AO4" s="16">
        <v>5.192293949310655E-2</v>
      </c>
      <c r="AP4" s="16">
        <v>-2.0299334346365757E-3</v>
      </c>
      <c r="AQ4" s="17">
        <v>-6.9139850899143054E-2</v>
      </c>
      <c r="AR4" s="17">
        <v>1.3921325823791918E-4</v>
      </c>
      <c r="AS4" s="16">
        <v>1.0080942123500103</v>
      </c>
      <c r="AT4" s="16">
        <v>-2.0298001526898456E-3</v>
      </c>
      <c r="AU4" s="17">
        <v>-7.1014753252992016E-2</v>
      </c>
      <c r="AV4" s="17">
        <v>1.8791680861907644E-3</v>
      </c>
      <c r="AW4" s="16">
        <v>1.0354312428332504</v>
      </c>
      <c r="AX4" s="16">
        <v>-2.7399227031674647E-2</v>
      </c>
      <c r="AY4" s="17">
        <v>-3.5602382730395791E-3</v>
      </c>
      <c r="AZ4" s="17">
        <v>1.5311548504140444E-3</v>
      </c>
      <c r="BA4" s="16">
        <v>5.1910085876142376E-2</v>
      </c>
      <c r="BB4" s="16">
        <v>-2.2325016945229995E-2</v>
      </c>
      <c r="BC4" s="17">
        <v>-3.5602186601439139E-3</v>
      </c>
      <c r="BD4" s="17">
        <v>1.3920829602683825E-4</v>
      </c>
      <c r="BE4" s="16">
        <v>5.1909799910142301E-2</v>
      </c>
      <c r="BF4" s="16">
        <v>-2.0297278011269467E-3</v>
      </c>
      <c r="BH4" s="19">
        <v>-0.23609326717754206</v>
      </c>
      <c r="BI4" s="18">
        <v>3.4423599866258132</v>
      </c>
      <c r="BJ4" s="19">
        <v>-3.5602666505929132E-3</v>
      </c>
      <c r="BK4" s="18">
        <v>5.1910499635311719E-2</v>
      </c>
      <c r="BL4" s="19">
        <v>-3.5609529572036467E-3</v>
      </c>
      <c r="BM4" s="18">
        <v>5.1920506334967281E-2</v>
      </c>
      <c r="BN4" s="19">
        <v>-3.5611298229558694E-3</v>
      </c>
      <c r="BO4" s="18">
        <v>5.1923085127644153E-2</v>
      </c>
      <c r="BP4" s="19">
        <v>-3.5606154811124438E-3</v>
      </c>
      <c r="BQ4" s="18">
        <v>5.1915585761811225E-2</v>
      </c>
      <c r="BR4" s="19">
        <v>-7.1014121345705353E-2</v>
      </c>
      <c r="BS4" s="18">
        <v>1.0354220293034244</v>
      </c>
      <c r="BT4" s="19">
        <v>-3.5611198346530977E-3</v>
      </c>
      <c r="BU4" s="18">
        <v>5.192293949310655E-2</v>
      </c>
      <c r="BV4" s="19">
        <v>-6.9139850899143054E-2</v>
      </c>
      <c r="BW4" s="18">
        <v>1.0080942123500103</v>
      </c>
      <c r="BX4" s="19">
        <v>-7.1014753252992016E-2</v>
      </c>
      <c r="BY4" s="18">
        <v>1.0354312428332504</v>
      </c>
      <c r="BZ4" s="19">
        <v>-3.5602382730395791E-3</v>
      </c>
      <c r="CA4" s="18">
        <v>5.1910085876142376E-2</v>
      </c>
      <c r="CB4" s="19">
        <v>-3.5602186601439139E-3</v>
      </c>
      <c r="CC4" s="18">
        <v>5.1909799910142301E-2</v>
      </c>
      <c r="CD4" s="19">
        <v>30.634000099999998</v>
      </c>
      <c r="CE4" s="18" t="b">
        <v>1</v>
      </c>
    </row>
    <row r="5" spans="1:83" x14ac:dyDescent="0.25">
      <c r="A5" s="15">
        <v>43977</v>
      </c>
      <c r="B5" s="16">
        <v>15148.099609000001</v>
      </c>
      <c r="C5" s="16">
        <v>4.8223739412853626E-3</v>
      </c>
      <c r="D5" s="17">
        <v>0.13119693499590671</v>
      </c>
      <c r="F5" s="16">
        <v>8.1792696244475296E-3</v>
      </c>
      <c r="G5" s="16">
        <v>4.8223739412853626E-3</v>
      </c>
      <c r="H5" s="16">
        <v>1.0849210535487055E-2</v>
      </c>
      <c r="I5" s="17">
        <v>0.13119693499590671</v>
      </c>
      <c r="J5" s="17">
        <v>30.590000099999997</v>
      </c>
      <c r="K5" s="16">
        <v>45.214509014035059</v>
      </c>
      <c r="L5" s="17">
        <v>-14.624508914035061</v>
      </c>
      <c r="M5" s="17">
        <v>0.13119693499590671</v>
      </c>
      <c r="N5" s="16" t="b">
        <v>1</v>
      </c>
      <c r="O5" s="16" t="b">
        <v>1</v>
      </c>
      <c r="P5" s="17">
        <v>-0.23609326717754206</v>
      </c>
      <c r="Q5" s="16">
        <v>-1.9186907453417161</v>
      </c>
      <c r="R5" s="16">
        <v>3.4527480903816254</v>
      </c>
      <c r="S5" s="17">
        <v>2.2716123014224466E-3</v>
      </c>
      <c r="T5" s="17">
        <v>-3.5602666505929132E-3</v>
      </c>
      <c r="U5" s="16">
        <v>-3.3221214351384268E-2</v>
      </c>
      <c r="V5" s="16">
        <v>5.2067151367937811E-2</v>
      </c>
      <c r="W5" s="17">
        <v>2.2717113236016386E-3</v>
      </c>
      <c r="X5" s="17">
        <v>-3.5609529572036467E-3</v>
      </c>
      <c r="Y5" s="16">
        <v>-3.3222662502126549E-2</v>
      </c>
      <c r="Z5" s="16">
        <v>5.2077188265084243E-2</v>
      </c>
      <c r="AA5" s="17">
        <v>2.2715899837558381E-3</v>
      </c>
      <c r="AB5" s="17">
        <v>-3.5611298229558694E-3</v>
      </c>
      <c r="AC5" s="16">
        <v>-3.3220887966470013E-2</v>
      </c>
      <c r="AD5" s="16">
        <v>5.2079774839854209E-2</v>
      </c>
      <c r="AE5" s="17">
        <v>1.8336339409687766E-2</v>
      </c>
      <c r="AF5" s="17">
        <v>-3.5606154811124438E-3</v>
      </c>
      <c r="AG5" s="16">
        <v>-0.26815995914775115</v>
      </c>
      <c r="AH5" s="16">
        <v>5.2072252842980171E-2</v>
      </c>
      <c r="AI5" s="17">
        <v>2.2719340723243277E-3</v>
      </c>
      <c r="AJ5" s="17">
        <v>-7.1014121345705353E-2</v>
      </c>
      <c r="AK5" s="16">
        <v>-3.3225920092807108E-2</v>
      </c>
      <c r="AL5" s="16">
        <v>1.0385466506426355</v>
      </c>
      <c r="AM5" s="17">
        <v>1.7890036048415457E-2</v>
      </c>
      <c r="AN5" s="17">
        <v>-3.5611198346530977E-3</v>
      </c>
      <c r="AO5" s="16">
        <v>-0.26163299166246046</v>
      </c>
      <c r="AP5" s="16">
        <v>5.207962876583129E-2</v>
      </c>
      <c r="AQ5" s="17">
        <v>1.7890084463399868E-2</v>
      </c>
      <c r="AR5" s="17">
        <v>-6.9139850899143054E-2</v>
      </c>
      <c r="AS5" s="16">
        <v>-0.26163369970783151</v>
      </c>
      <c r="AT5" s="16">
        <v>1.0111363657895727</v>
      </c>
      <c r="AU5" s="17">
        <v>6.0613439519532374E-2</v>
      </c>
      <c r="AV5" s="17">
        <v>-7.1014753252992016E-2</v>
      </c>
      <c r="AW5" s="16">
        <v>-0.8864417865637263</v>
      </c>
      <c r="AX5" s="16">
        <v>1.0385558919763822</v>
      </c>
      <c r="AY5" s="17">
        <v>2.2715361108688798E-3</v>
      </c>
      <c r="AZ5" s="17">
        <v>-3.5602382730395791E-3</v>
      </c>
      <c r="BA5" s="16">
        <v>-3.3220100101954468E-2</v>
      </c>
      <c r="BB5" s="16">
        <v>5.2066736360156116E-2</v>
      </c>
      <c r="BC5" s="17">
        <v>5.1086517628979589E-3</v>
      </c>
      <c r="BD5" s="17">
        <v>-3.5602186601439139E-3</v>
      </c>
      <c r="BE5" s="16">
        <v>-7.4711523245202124E-2</v>
      </c>
      <c r="BF5" s="16">
        <v>5.2066449531188629E-2</v>
      </c>
      <c r="BH5" s="19">
        <v>0.13119693499590671</v>
      </c>
      <c r="BI5" s="18">
        <v>-1.9186907453417161</v>
      </c>
      <c r="BJ5" s="19">
        <v>2.2716123014224466E-3</v>
      </c>
      <c r="BK5" s="18">
        <v>-3.3221214351384268E-2</v>
      </c>
      <c r="BL5" s="19">
        <v>2.2717113236016386E-3</v>
      </c>
      <c r="BM5" s="18">
        <v>-3.3222662502126549E-2</v>
      </c>
      <c r="BN5" s="19">
        <v>2.2715899837558381E-3</v>
      </c>
      <c r="BO5" s="18">
        <v>-3.3220887966470013E-2</v>
      </c>
      <c r="BP5" s="19">
        <v>1.8336339409687766E-2</v>
      </c>
      <c r="BQ5" s="18">
        <v>-0.26815995914775115</v>
      </c>
      <c r="BR5" s="19">
        <v>2.2719340723243277E-3</v>
      </c>
      <c r="BS5" s="18">
        <v>-3.3225920092807108E-2</v>
      </c>
      <c r="BT5" s="19">
        <v>1.7890036048415457E-2</v>
      </c>
      <c r="BU5" s="18">
        <v>-0.26163299166246046</v>
      </c>
      <c r="BV5" s="19">
        <v>1.7890084463399868E-2</v>
      </c>
      <c r="BW5" s="18">
        <v>-0.26163369970783151</v>
      </c>
      <c r="BX5" s="19">
        <v>6.0613439519532374E-2</v>
      </c>
      <c r="BY5" s="18">
        <v>-0.8864417865637263</v>
      </c>
      <c r="BZ5" s="19">
        <v>2.2715361108688798E-3</v>
      </c>
      <c r="CA5" s="18">
        <v>-3.3220100101954468E-2</v>
      </c>
      <c r="CB5" s="19">
        <v>5.1086517628979589E-3</v>
      </c>
      <c r="CC5" s="18">
        <v>-7.4711523245202124E-2</v>
      </c>
      <c r="CD5" s="19">
        <v>30.590000099999997</v>
      </c>
      <c r="CE5" s="18" t="b">
        <v>1</v>
      </c>
    </row>
    <row r="6" spans="1:83" x14ac:dyDescent="0.25">
      <c r="A6" s="15">
        <v>43976</v>
      </c>
      <c r="B6" s="16">
        <v>15075.400390999999</v>
      </c>
      <c r="C6" s="16">
        <v>1.0849210535487055E-2</v>
      </c>
      <c r="D6" s="17">
        <v>-0.66873623467981813</v>
      </c>
      <c r="F6" s="16">
        <v>4.8223739412853626E-3</v>
      </c>
      <c r="G6" s="16">
        <v>1.0849210535487055E-2</v>
      </c>
      <c r="H6" s="16">
        <v>1.9280759189597432E-3</v>
      </c>
      <c r="I6" s="17">
        <v>-0.66873623467981813</v>
      </c>
      <c r="J6" s="17">
        <v>30.581000099999997</v>
      </c>
      <c r="K6" s="16">
        <v>45.214509014035059</v>
      </c>
      <c r="L6" s="17">
        <v>-14.633508914035062</v>
      </c>
      <c r="M6" s="17">
        <v>-0.66873623467981813</v>
      </c>
      <c r="N6" s="16" t="b">
        <v>1</v>
      </c>
      <c r="O6" s="16" t="b">
        <v>1</v>
      </c>
      <c r="P6" s="17">
        <v>0.13119693499590671</v>
      </c>
      <c r="Q6" s="16">
        <v>9.7859576513253614</v>
      </c>
      <c r="R6" s="16">
        <v>-1.9198715177566794</v>
      </c>
      <c r="S6" s="17">
        <v>-1.1965291788171723E-2</v>
      </c>
      <c r="T6" s="17">
        <v>2.2716123014224466E-3</v>
      </c>
      <c r="U6" s="16">
        <v>0.17509420404124143</v>
      </c>
      <c r="V6" s="16">
        <v>-3.3241658862097075E-2</v>
      </c>
      <c r="W6" s="17">
        <v>-1.1963390519316018E-2</v>
      </c>
      <c r="X6" s="17">
        <v>2.2717113236016386E-3</v>
      </c>
      <c r="Y6" s="16">
        <v>0.1750663818064935</v>
      </c>
      <c r="Z6" s="16">
        <v>-3.324310790403897E-2</v>
      </c>
      <c r="AA6" s="17">
        <v>-1.1966886213536851E-2</v>
      </c>
      <c r="AB6" s="17">
        <v>2.2715899837558381E-3</v>
      </c>
      <c r="AC6" s="16">
        <v>0.1751175360790348</v>
      </c>
      <c r="AD6" s="16">
        <v>-3.3241332276323816E-2</v>
      </c>
      <c r="AE6" s="17">
        <v>-1.1964713310661899E-2</v>
      </c>
      <c r="AF6" s="17">
        <v>1.8336339409687766E-2</v>
      </c>
      <c r="AG6" s="16">
        <v>0.17508573888544485</v>
      </c>
      <c r="AH6" s="16">
        <v>-0.26832498620243833</v>
      </c>
      <c r="AI6" s="17">
        <v>-1.1964590791802263E-2</v>
      </c>
      <c r="AJ6" s="17">
        <v>2.2719340723243277E-3</v>
      </c>
      <c r="AK6" s="16">
        <v>0.17508394600462024</v>
      </c>
      <c r="AL6" s="16">
        <v>-3.3246367499458029E-2</v>
      </c>
      <c r="AM6" s="17">
        <v>-0.14429406955611179</v>
      </c>
      <c r="AN6" s="17">
        <v>1.7890036048415457E-2</v>
      </c>
      <c r="AO6" s="16">
        <v>2.1115285530917571</v>
      </c>
      <c r="AP6" s="16">
        <v>-0.26179400198689617</v>
      </c>
      <c r="AQ6" s="17">
        <v>-1.196396563690969E-2</v>
      </c>
      <c r="AR6" s="17">
        <v>1.7890084463399868E-2</v>
      </c>
      <c r="AS6" s="16">
        <v>0.1750747977949271</v>
      </c>
      <c r="AT6" s="16">
        <v>-0.26179471046800212</v>
      </c>
      <c r="AU6" s="17">
        <v>-0.22142565327130143</v>
      </c>
      <c r="AV6" s="17">
        <v>6.0613439519532374E-2</v>
      </c>
      <c r="AW6" s="16">
        <v>3.2402342709416261</v>
      </c>
      <c r="AX6" s="16">
        <v>-0.88698730751940214</v>
      </c>
      <c r="AY6" s="17">
        <v>-0.21926329805601888</v>
      </c>
      <c r="AZ6" s="17">
        <v>2.2715361108688798E-3</v>
      </c>
      <c r="BA6" s="16">
        <v>3.208591426623479</v>
      </c>
      <c r="BB6" s="16">
        <v>-3.324054392695229E-2</v>
      </c>
      <c r="BC6" s="17">
        <v>-1.1964375535987065E-2</v>
      </c>
      <c r="BD6" s="17">
        <v>5.1086517628979589E-3</v>
      </c>
      <c r="BE6" s="16">
        <v>0.17508079605672974</v>
      </c>
      <c r="BF6" s="16">
        <v>-7.4757501111068214E-2</v>
      </c>
      <c r="BH6" s="19">
        <v>-0.66873623467981813</v>
      </c>
      <c r="BI6" s="18">
        <v>9.7859576513253614</v>
      </c>
      <c r="BJ6" s="19">
        <v>-1.1965291788171723E-2</v>
      </c>
      <c r="BK6" s="18">
        <v>0.17509420404124143</v>
      </c>
      <c r="BL6" s="19">
        <v>-1.1963390519316018E-2</v>
      </c>
      <c r="BM6" s="18">
        <v>0.1750663818064935</v>
      </c>
      <c r="BN6" s="19">
        <v>-1.1966886213536851E-2</v>
      </c>
      <c r="BO6" s="18">
        <v>0.1751175360790348</v>
      </c>
      <c r="BP6" s="19">
        <v>-1.1964713310661899E-2</v>
      </c>
      <c r="BQ6" s="18">
        <v>0.17508573888544485</v>
      </c>
      <c r="BR6" s="19">
        <v>-1.1964590791802263E-2</v>
      </c>
      <c r="BS6" s="18">
        <v>0.17508394600462024</v>
      </c>
      <c r="BT6" s="19">
        <v>-0.14429406955611179</v>
      </c>
      <c r="BU6" s="18">
        <v>2.1115285530917571</v>
      </c>
      <c r="BV6" s="19">
        <v>-1.196396563690969E-2</v>
      </c>
      <c r="BW6" s="18">
        <v>0.1750747977949271</v>
      </c>
      <c r="BX6" s="19">
        <v>-0.22142565327130143</v>
      </c>
      <c r="BY6" s="18">
        <v>3.2402342709416261</v>
      </c>
      <c r="BZ6" s="19">
        <v>-0.21926329805601888</v>
      </c>
      <c r="CA6" s="18">
        <v>3.208591426623479</v>
      </c>
      <c r="CB6" s="19">
        <v>-1.1964375535987065E-2</v>
      </c>
      <c r="CC6" s="18">
        <v>0.17508079605672974</v>
      </c>
      <c r="CD6" s="19">
        <v>30.581000099999997</v>
      </c>
      <c r="CE6" s="18" t="b">
        <v>1</v>
      </c>
    </row>
    <row r="7" spans="1:83" x14ac:dyDescent="0.25">
      <c r="A7" s="15">
        <v>43973</v>
      </c>
      <c r="B7" s="16">
        <v>14913.599609000001</v>
      </c>
      <c r="C7" s="16">
        <v>1.9280759189597432E-3</v>
      </c>
      <c r="D7" s="17">
        <v>5.5399095018704735E-2</v>
      </c>
      <c r="F7" s="16">
        <v>1.0849210535487055E-2</v>
      </c>
      <c r="G7" s="16">
        <v>1.9280759189597432E-3</v>
      </c>
      <c r="H7" s="16">
        <v>-7.5144837132717695E-3</v>
      </c>
      <c r="I7" s="17">
        <v>5.5399095018704735E-2</v>
      </c>
      <c r="J7" s="17">
        <v>30.572000099999997</v>
      </c>
      <c r="K7" s="16">
        <v>45.214509014035059</v>
      </c>
      <c r="L7" s="17">
        <v>-14.642508914035062</v>
      </c>
      <c r="M7" s="17">
        <v>5.5399095018704735E-2</v>
      </c>
      <c r="N7" s="16" t="b">
        <v>1</v>
      </c>
      <c r="O7" s="16" t="b">
        <v>1</v>
      </c>
      <c r="P7" s="17">
        <v>-0.66873623467981813</v>
      </c>
      <c r="Q7" s="16">
        <v>-0.81118174264085952</v>
      </c>
      <c r="R7" s="16">
        <v>9.791976277437481</v>
      </c>
      <c r="S7" s="17">
        <v>7.422496670563565E-4</v>
      </c>
      <c r="T7" s="17">
        <v>-1.1965291788171723E-2</v>
      </c>
      <c r="U7" s="16">
        <v>-1.0868397366312257E-2</v>
      </c>
      <c r="V7" s="16">
        <v>0.17520189166733499</v>
      </c>
      <c r="W7" s="17">
        <v>7.4224151691076282E-4</v>
      </c>
      <c r="X7" s="17">
        <v>-1.1963390519316018E-2</v>
      </c>
      <c r="Y7" s="16">
        <v>-1.086827802773275E-2</v>
      </c>
      <c r="Z7" s="16">
        <v>0.17517405232116734</v>
      </c>
      <c r="AA7" s="17">
        <v>6.829273949933305E-3</v>
      </c>
      <c r="AB7" s="17">
        <v>-1.1966886213536851E-2</v>
      </c>
      <c r="AC7" s="16">
        <v>-9.9997704688285852E-2</v>
      </c>
      <c r="AD7" s="16">
        <v>0.17522523805495663</v>
      </c>
      <c r="AE7" s="17">
        <v>7.4224460685514359E-4</v>
      </c>
      <c r="AF7" s="17">
        <v>-1.1964713310661899E-2</v>
      </c>
      <c r="AG7" s="16">
        <v>-1.0868323272270891E-2</v>
      </c>
      <c r="AH7" s="16">
        <v>0.17519342130524082</v>
      </c>
      <c r="AI7" s="17">
        <v>7.4225155210289398E-4</v>
      </c>
      <c r="AJ7" s="17">
        <v>-1.1964590791802263E-2</v>
      </c>
      <c r="AK7" s="16">
        <v>-1.0868424968122986E-2</v>
      </c>
      <c r="AL7" s="16">
        <v>0.17519162732174645</v>
      </c>
      <c r="AM7" s="17">
        <v>7.4223890153826959E-4</v>
      </c>
      <c r="AN7" s="17">
        <v>-0.14429406955611179</v>
      </c>
      <c r="AO7" s="16">
        <v>-1.0868239732117705E-2</v>
      </c>
      <c r="AP7" s="16">
        <v>2.1128271997177621</v>
      </c>
      <c r="AQ7" s="17">
        <v>1.6900038817622122E-2</v>
      </c>
      <c r="AR7" s="17">
        <v>-1.196396563690969E-2</v>
      </c>
      <c r="AS7" s="16">
        <v>-0.24745896903457049</v>
      </c>
      <c r="AT7" s="16">
        <v>0.1751824734856593</v>
      </c>
      <c r="AU7" s="17">
        <v>1.7788015681860843E-2</v>
      </c>
      <c r="AV7" s="17">
        <v>-0.22142565327130143</v>
      </c>
      <c r="AW7" s="16">
        <v>-0.26046117818464287</v>
      </c>
      <c r="AX7" s="16">
        <v>3.2422271018210682</v>
      </c>
      <c r="AY7" s="17">
        <v>9.4282772560790821E-3</v>
      </c>
      <c r="AZ7" s="17">
        <v>-0.21926329805601888</v>
      </c>
      <c r="BA7" s="16">
        <v>-0.138053633766132</v>
      </c>
      <c r="BB7" s="16">
        <v>3.2105647963059831</v>
      </c>
      <c r="BC7" s="17">
        <v>7.4226306874589608E-4</v>
      </c>
      <c r="BD7" s="17">
        <v>-1.1964375535987065E-2</v>
      </c>
      <c r="BE7" s="16">
        <v>-1.0868593600670804E-2</v>
      </c>
      <c r="BF7" s="16">
        <v>0.17518847543655361</v>
      </c>
      <c r="BH7" s="19">
        <v>5.5399095018704735E-2</v>
      </c>
      <c r="BI7" s="18">
        <v>-0.81118174264085952</v>
      </c>
      <c r="BJ7" s="19">
        <v>7.422496670563565E-4</v>
      </c>
      <c r="BK7" s="18">
        <v>-1.0868397366312257E-2</v>
      </c>
      <c r="BL7" s="19">
        <v>7.4224151691076282E-4</v>
      </c>
      <c r="BM7" s="18">
        <v>-1.086827802773275E-2</v>
      </c>
      <c r="BN7" s="19">
        <v>6.829273949933305E-3</v>
      </c>
      <c r="BO7" s="18">
        <v>-9.9997704688285852E-2</v>
      </c>
      <c r="BP7" s="19">
        <v>7.4224460685514359E-4</v>
      </c>
      <c r="BQ7" s="18">
        <v>-1.0868323272270891E-2</v>
      </c>
      <c r="BR7" s="19">
        <v>7.4225155210289398E-4</v>
      </c>
      <c r="BS7" s="18">
        <v>-1.0868424968122986E-2</v>
      </c>
      <c r="BT7" s="19">
        <v>7.4223890153826959E-4</v>
      </c>
      <c r="BU7" s="18">
        <v>-1.0868239732117705E-2</v>
      </c>
      <c r="BV7" s="19">
        <v>1.6900038817622122E-2</v>
      </c>
      <c r="BW7" s="18">
        <v>-0.24745896903457049</v>
      </c>
      <c r="BX7" s="19">
        <v>1.7788015681860843E-2</v>
      </c>
      <c r="BY7" s="18">
        <v>-0.26046117818464287</v>
      </c>
      <c r="BZ7" s="19">
        <v>9.4282772560790821E-3</v>
      </c>
      <c r="CA7" s="18">
        <v>-0.138053633766132</v>
      </c>
      <c r="CB7" s="19">
        <v>7.4226306874589608E-4</v>
      </c>
      <c r="CC7" s="18">
        <v>-1.0868593600670804E-2</v>
      </c>
      <c r="CD7" s="19">
        <v>30.572000099999997</v>
      </c>
      <c r="CE7" s="18" t="b">
        <v>1</v>
      </c>
    </row>
    <row r="8" spans="1:83" x14ac:dyDescent="0.25">
      <c r="A8" s="15">
        <v>43972</v>
      </c>
      <c r="B8" s="16">
        <v>14884.900390999999</v>
      </c>
      <c r="C8" s="16">
        <v>-7.5144837132717695E-3</v>
      </c>
      <c r="D8" s="17">
        <v>9.735283938546975E-2</v>
      </c>
      <c r="F8" s="16">
        <v>1.9280759189597432E-3</v>
      </c>
      <c r="G8" s="16">
        <v>-7.5144837132717695E-3</v>
      </c>
      <c r="H8" s="16">
        <v>7.5307923146686901E-3</v>
      </c>
      <c r="I8" s="17">
        <v>9.735283938546975E-2</v>
      </c>
      <c r="J8" s="17">
        <v>30.763000099999999</v>
      </c>
      <c r="K8" s="16">
        <v>45.214509014035059</v>
      </c>
      <c r="L8" s="17">
        <v>-14.45150891403506</v>
      </c>
      <c r="M8" s="17">
        <v>9.735283938546975E-2</v>
      </c>
      <c r="N8" s="16" t="b">
        <v>1</v>
      </c>
      <c r="O8" s="16" t="b">
        <v>1</v>
      </c>
      <c r="P8" s="17">
        <v>5.5399095018704735E-2</v>
      </c>
      <c r="Q8" s="16">
        <v>-1.4068954261857396</v>
      </c>
      <c r="R8" s="16">
        <v>-0.80060051549228672</v>
      </c>
      <c r="S8" s="17">
        <v>1.5144547309495519E-3</v>
      </c>
      <c r="T8" s="17">
        <v>7.422496670563565E-4</v>
      </c>
      <c r="U8" s="16">
        <v>-2.1886156044220017E-2</v>
      </c>
      <c r="V8" s="16">
        <v>-1.0726627679904491E-2</v>
      </c>
      <c r="W8" s="17">
        <v>1.5145366119592391E-3</v>
      </c>
      <c r="X8" s="17">
        <v>7.4224151691076282E-4</v>
      </c>
      <c r="Y8" s="16">
        <v>-2.1887339348361401E-2</v>
      </c>
      <c r="Z8" s="16">
        <v>-1.0726509898002794E-2</v>
      </c>
      <c r="AA8" s="17">
        <v>1.5145415361475247E-3</v>
      </c>
      <c r="AB8" s="17">
        <v>6.829273949933305E-3</v>
      </c>
      <c r="AC8" s="16">
        <v>-2.1887410510312306E-2</v>
      </c>
      <c r="AD8" s="16">
        <v>-9.8693313363848581E-2</v>
      </c>
      <c r="AE8" s="17">
        <v>1.5147639909597423E-3</v>
      </c>
      <c r="AF8" s="17">
        <v>7.4224460685514359E-4</v>
      </c>
      <c r="AG8" s="16">
        <v>-2.1890625318014039E-2</v>
      </c>
      <c r="AH8" s="16">
        <v>-1.0726554552361555E-2</v>
      </c>
      <c r="AI8" s="17">
        <v>9.5738014578356685E-3</v>
      </c>
      <c r="AJ8" s="17">
        <v>7.4225155210289398E-4</v>
      </c>
      <c r="AK8" s="16">
        <v>-0.13835587710911401</v>
      </c>
      <c r="AL8" s="16">
        <v>-1.0726654921671332E-2</v>
      </c>
      <c r="AM8" s="17">
        <v>1.514711407785909E-3</v>
      </c>
      <c r="AN8" s="17">
        <v>7.4223890153826959E-4</v>
      </c>
      <c r="AO8" s="16">
        <v>-2.1889865411808658E-2</v>
      </c>
      <c r="AP8" s="16">
        <v>-1.0726472101923894E-2</v>
      </c>
      <c r="AQ8" s="17">
        <v>1.5146466565282085E-3</v>
      </c>
      <c r="AR8" s="17">
        <v>1.6900038817622122E-2</v>
      </c>
      <c r="AS8" s="16">
        <v>-2.1888929658430804E-2</v>
      </c>
      <c r="AT8" s="16">
        <v>-0.24423106162040462</v>
      </c>
      <c r="AU8" s="17">
        <v>6.131797597706537E-2</v>
      </c>
      <c r="AV8" s="17">
        <v>1.7788015681860843E-2</v>
      </c>
      <c r="AW8" s="16">
        <v>-0.88613727642314788</v>
      </c>
      <c r="AX8" s="16">
        <v>-0.25706366718940737</v>
      </c>
      <c r="AY8" s="17">
        <v>1.5144979162469395E-3</v>
      </c>
      <c r="AZ8" s="17">
        <v>9.4282772560790821E-3</v>
      </c>
      <c r="BA8" s="16">
        <v>-2.188678013693017E-2</v>
      </c>
      <c r="BB8" s="16">
        <v>-0.13625283281022088</v>
      </c>
      <c r="BC8" s="17">
        <v>1.5858909099991488E-2</v>
      </c>
      <c r="BD8" s="17">
        <v>7.4226306874589608E-4</v>
      </c>
      <c r="BE8" s="16">
        <v>-0.22918516622539872</v>
      </c>
      <c r="BF8" s="16">
        <v>-1.0726821354540336E-2</v>
      </c>
      <c r="BH8" s="19">
        <v>9.735283938546975E-2</v>
      </c>
      <c r="BI8" s="18">
        <v>-1.4068954261857396</v>
      </c>
      <c r="BJ8" s="19">
        <v>1.5144547309495519E-3</v>
      </c>
      <c r="BK8" s="18">
        <v>-2.1886156044220017E-2</v>
      </c>
      <c r="BL8" s="19">
        <v>1.5145366119592391E-3</v>
      </c>
      <c r="BM8" s="18">
        <v>-2.1887339348361401E-2</v>
      </c>
      <c r="BN8" s="19">
        <v>1.5145415361475247E-3</v>
      </c>
      <c r="BO8" s="18">
        <v>-2.1887410510312306E-2</v>
      </c>
      <c r="BP8" s="19">
        <v>1.5147639909597423E-3</v>
      </c>
      <c r="BQ8" s="18">
        <v>-2.1890625318014039E-2</v>
      </c>
      <c r="BR8" s="19">
        <v>9.5738014578356685E-3</v>
      </c>
      <c r="BS8" s="18">
        <v>-0.13835587710911401</v>
      </c>
      <c r="BT8" s="19">
        <v>1.514711407785909E-3</v>
      </c>
      <c r="BU8" s="18">
        <v>-2.1889865411808658E-2</v>
      </c>
      <c r="BV8" s="19">
        <v>1.5146466565282085E-3</v>
      </c>
      <c r="BW8" s="18">
        <v>-2.1888929658430804E-2</v>
      </c>
      <c r="BX8" s="19">
        <v>6.131797597706537E-2</v>
      </c>
      <c r="BY8" s="18">
        <v>-0.88613727642314788</v>
      </c>
      <c r="BZ8" s="19">
        <v>1.5144979162469395E-3</v>
      </c>
      <c r="CA8" s="18">
        <v>-2.188678013693017E-2</v>
      </c>
      <c r="CB8" s="19">
        <v>1.5858909099991488E-2</v>
      </c>
      <c r="CC8" s="18">
        <v>-0.22918516622539872</v>
      </c>
      <c r="CD8" s="19">
        <v>30.763000099999999</v>
      </c>
      <c r="CE8" s="18" t="b">
        <v>1</v>
      </c>
    </row>
    <row r="9" spans="1:83" x14ac:dyDescent="0.25">
      <c r="A9" s="15">
        <v>43971</v>
      </c>
      <c r="B9" s="16">
        <v>14997.599609000001</v>
      </c>
      <c r="C9" s="16">
        <v>7.5307923146686901E-3</v>
      </c>
      <c r="D9" s="17">
        <v>0.49790565359095734</v>
      </c>
      <c r="F9" s="16">
        <v>-7.5144837132717695E-3</v>
      </c>
      <c r="G9" s="16">
        <v>7.5307923146686901E-3</v>
      </c>
      <c r="H9" s="16">
        <v>1.6845500851389788E-2</v>
      </c>
      <c r="I9" s="17">
        <v>0.49790565359095734</v>
      </c>
      <c r="J9" s="17">
        <v>31.375999999999998</v>
      </c>
      <c r="K9" s="16">
        <v>45.214509014035059</v>
      </c>
      <c r="L9" s="17">
        <v>-13.838509014035061</v>
      </c>
      <c r="M9" s="17">
        <v>0.49790565359095734</v>
      </c>
      <c r="N9" s="16" t="b">
        <v>1</v>
      </c>
      <c r="O9" s="16" t="b">
        <v>1</v>
      </c>
      <c r="P9" s="17">
        <v>9.735283938546975E-2</v>
      </c>
      <c r="Q9" s="16">
        <v>-6.8902718753574819</v>
      </c>
      <c r="R9" s="16">
        <v>-1.3472181453777308</v>
      </c>
      <c r="S9" s="17">
        <v>8.7608269336477695E-3</v>
      </c>
      <c r="T9" s="17">
        <v>1.5144547309495519E-3</v>
      </c>
      <c r="U9" s="16">
        <v>-0.1212367824916858</v>
      </c>
      <c r="V9" s="16">
        <v>-2.0957795445593418E-2</v>
      </c>
      <c r="W9" s="17">
        <v>8.7604672078830364E-3</v>
      </c>
      <c r="X9" s="17">
        <v>1.5145366119592391E-3</v>
      </c>
      <c r="Y9" s="16">
        <v>-0.12123180442344797</v>
      </c>
      <c r="Z9" s="16">
        <v>-2.0958928556684051E-2</v>
      </c>
      <c r="AA9" s="17">
        <v>8.7602504281608495E-3</v>
      </c>
      <c r="AB9" s="17">
        <v>1.5145415361475247E-3</v>
      </c>
      <c r="AC9" s="16">
        <v>-0.12122880451530842</v>
      </c>
      <c r="AD9" s="16">
        <v>-2.0958996700108028E-2</v>
      </c>
      <c r="AE9" s="17">
        <v>8.7605665985715977E-3</v>
      </c>
      <c r="AF9" s="17">
        <v>1.5147639909597423E-3</v>
      </c>
      <c r="AG9" s="16">
        <v>-0.12123317984238753</v>
      </c>
      <c r="AH9" s="16">
        <v>-2.0962075143032118E-2</v>
      </c>
      <c r="AI9" s="17">
        <v>0.13323096533654652</v>
      </c>
      <c r="AJ9" s="17">
        <v>9.5738014578356685E-3</v>
      </c>
      <c r="AK9" s="16">
        <v>-1.8437179147583918</v>
      </c>
      <c r="AL9" s="16">
        <v>-0.13248713777284091</v>
      </c>
      <c r="AM9" s="17">
        <v>8.7612305217810056E-3</v>
      </c>
      <c r="AN9" s="17">
        <v>1.514711407785909E-3</v>
      </c>
      <c r="AO9" s="16">
        <v>-0.12124236754970555</v>
      </c>
      <c r="AP9" s="16">
        <v>-2.0961347470307038E-2</v>
      </c>
      <c r="AQ9" s="17">
        <v>0.29459082105573497</v>
      </c>
      <c r="AR9" s="17">
        <v>1.5146466565282085E-3</v>
      </c>
      <c r="AS9" s="16">
        <v>-4.0766977326317786</v>
      </c>
      <c r="AT9" s="16">
        <v>-2.0960451409443678E-2</v>
      </c>
      <c r="AU9" s="17">
        <v>8.7610368130071857E-3</v>
      </c>
      <c r="AV9" s="17">
        <v>6.131797597706537E-2</v>
      </c>
      <c r="AW9" s="16">
        <v>-0.12123968690909294</v>
      </c>
      <c r="AX9" s="16">
        <v>-0.8485493632810045</v>
      </c>
      <c r="AY9" s="17">
        <v>8.7596785349484309E-3</v>
      </c>
      <c r="AZ9" s="17">
        <v>1.5144979162469395E-3</v>
      </c>
      <c r="BA9" s="16">
        <v>-0.1212208903659333</v>
      </c>
      <c r="BB9" s="16">
        <v>-2.0958393065720591E-2</v>
      </c>
      <c r="BC9" s="17">
        <v>8.7598101606754693E-3</v>
      </c>
      <c r="BD9" s="17">
        <v>1.5858909099991488E-2</v>
      </c>
      <c r="BE9" s="16">
        <v>-0.1212227118697434</v>
      </c>
      <c r="BF9" s="16">
        <v>-0.21946365653299488</v>
      </c>
      <c r="BH9" s="19">
        <v>0.49790565359095734</v>
      </c>
      <c r="BI9" s="18">
        <v>-6.8902718753574819</v>
      </c>
      <c r="BJ9" s="19">
        <v>8.7608269336477695E-3</v>
      </c>
      <c r="BK9" s="18">
        <v>-0.1212367824916858</v>
      </c>
      <c r="BL9" s="19">
        <v>8.7604672078830364E-3</v>
      </c>
      <c r="BM9" s="18">
        <v>-0.12123180442344797</v>
      </c>
      <c r="BN9" s="19">
        <v>8.7602504281608495E-3</v>
      </c>
      <c r="BO9" s="18">
        <v>-0.12122880451530842</v>
      </c>
      <c r="BP9" s="19">
        <v>8.7605665985715977E-3</v>
      </c>
      <c r="BQ9" s="18">
        <v>-0.12123317984238753</v>
      </c>
      <c r="BR9" s="19">
        <v>0.13323096533654652</v>
      </c>
      <c r="BS9" s="18">
        <v>-1.8437179147583918</v>
      </c>
      <c r="BT9" s="19">
        <v>8.7612305217810056E-3</v>
      </c>
      <c r="BU9" s="18">
        <v>-0.12124236754970555</v>
      </c>
      <c r="BV9" s="19">
        <v>0.29459082105573497</v>
      </c>
      <c r="BW9" s="18">
        <v>-4.0766977326317786</v>
      </c>
      <c r="BX9" s="19">
        <v>8.7610368130071857E-3</v>
      </c>
      <c r="BY9" s="18">
        <v>-0.12123968690909294</v>
      </c>
      <c r="BZ9" s="19">
        <v>8.7596785349484309E-3</v>
      </c>
      <c r="CA9" s="18">
        <v>-0.1212208903659333</v>
      </c>
      <c r="CB9" s="19">
        <v>8.7598101606754693E-3</v>
      </c>
      <c r="CC9" s="18">
        <v>-0.1212227118697434</v>
      </c>
      <c r="CD9" s="19">
        <v>31.375999999999998</v>
      </c>
      <c r="CE9" s="18" t="b">
        <v>1</v>
      </c>
    </row>
    <row r="10" spans="1:83" x14ac:dyDescent="0.25">
      <c r="A10" s="15">
        <v>43970</v>
      </c>
      <c r="B10" s="16">
        <v>14885.5</v>
      </c>
      <c r="C10" s="16">
        <v>1.6845500851389788E-2</v>
      </c>
      <c r="D10" s="17">
        <v>0.48645331314764917</v>
      </c>
      <c r="F10" s="16">
        <v>7.5307923146686901E-3</v>
      </c>
      <c r="G10" s="16">
        <v>1.6845500851389788E-2</v>
      </c>
      <c r="H10" s="16">
        <v>8.9044014875318926E-3</v>
      </c>
      <c r="I10" s="17">
        <v>0.48645331314764917</v>
      </c>
      <c r="J10" s="17">
        <v>31.683999999999997</v>
      </c>
      <c r="K10" s="16">
        <v>45.214509014035059</v>
      </c>
      <c r="L10" s="17">
        <v>-13.530509014035061</v>
      </c>
      <c r="M10" s="17">
        <v>0.48645331314764917</v>
      </c>
      <c r="N10" s="16" t="b">
        <v>1</v>
      </c>
      <c r="O10" s="16" t="b">
        <v>1</v>
      </c>
      <c r="P10" s="17">
        <v>0.49790565359095734</v>
      </c>
      <c r="Q10" s="16">
        <v>-6.5819609384514877</v>
      </c>
      <c r="R10" s="16">
        <v>-6.7369169340514672</v>
      </c>
      <c r="S10" s="17">
        <v>8.3449585057469022E-3</v>
      </c>
      <c r="T10" s="17">
        <v>8.7608269336477695E-3</v>
      </c>
      <c r="U10" s="16">
        <v>-0.11291153628375702</v>
      </c>
      <c r="V10" s="16">
        <v>-0.1185384477961223</v>
      </c>
      <c r="W10" s="17">
        <v>8.3455874052259706E-3</v>
      </c>
      <c r="X10" s="17">
        <v>8.7604672078830364E-3</v>
      </c>
      <c r="Y10" s="16">
        <v>-0.11292004561382747</v>
      </c>
      <c r="Z10" s="16">
        <v>-0.11853358052341999</v>
      </c>
      <c r="AA10" s="17">
        <v>0.10563345255546264</v>
      </c>
      <c r="AB10" s="17">
        <v>8.7602504281608495E-3</v>
      </c>
      <c r="AC10" s="16">
        <v>-1.4292743819853322</v>
      </c>
      <c r="AD10" s="16">
        <v>-0.11853064738343488</v>
      </c>
      <c r="AE10" s="17">
        <v>8.3454580998488931E-3</v>
      </c>
      <c r="AF10" s="17">
        <v>8.7605665985715977E-3</v>
      </c>
      <c r="AG10" s="16">
        <v>-0.11291829604625736</v>
      </c>
      <c r="AH10" s="16">
        <v>-0.11853492533002748</v>
      </c>
      <c r="AI10" s="17">
        <v>8.3453369595011574E-3</v>
      </c>
      <c r="AJ10" s="17">
        <v>0.13323096533654652</v>
      </c>
      <c r="AK10" s="16">
        <v>-0.11291665695569036</v>
      </c>
      <c r="AL10" s="16">
        <v>-1.8026827774347356</v>
      </c>
      <c r="AM10" s="17">
        <v>0.11475578352035808</v>
      </c>
      <c r="AN10" s="17">
        <v>8.7612305217810056E-3</v>
      </c>
      <c r="AO10" s="16">
        <v>-1.5527041633348611</v>
      </c>
      <c r="AP10" s="16">
        <v>-0.118543908548997</v>
      </c>
      <c r="AQ10" s="17">
        <v>8.3452897586769031E-3</v>
      </c>
      <c r="AR10" s="17">
        <v>0.29459082105573497</v>
      </c>
      <c r="AS10" s="16">
        <v>-0.11291601830451233</v>
      </c>
      <c r="AT10" s="16">
        <v>-3.9859637597466118</v>
      </c>
      <c r="AU10" s="17">
        <v>0.20764727004212868</v>
      </c>
      <c r="AV10" s="17">
        <v>8.7610368130071857E-3</v>
      </c>
      <c r="AW10" s="16">
        <v>-2.8095732590447948</v>
      </c>
      <c r="AX10" s="16">
        <v>-0.11854128757068673</v>
      </c>
      <c r="AY10" s="17">
        <v>8.3453181082705809E-3</v>
      </c>
      <c r="AZ10" s="17">
        <v>8.7596785349484309E-3</v>
      </c>
      <c r="BA10" s="16">
        <v>-0.11291640188894513</v>
      </c>
      <c r="BB10" s="16">
        <v>-0.11852290937716918</v>
      </c>
      <c r="BC10" s="17">
        <v>8.3448581924290572E-3</v>
      </c>
      <c r="BD10" s="17">
        <v>8.7598101606754693E-3</v>
      </c>
      <c r="BE10" s="16">
        <v>-0.11291017899350569</v>
      </c>
      <c r="BF10" s="16">
        <v>-0.11852469034025535</v>
      </c>
      <c r="BH10" s="19">
        <v>0.48645331314764917</v>
      </c>
      <c r="BI10" s="18">
        <v>-6.5819609384514877</v>
      </c>
      <c r="BJ10" s="19">
        <v>8.3449585057469022E-3</v>
      </c>
      <c r="BK10" s="18">
        <v>-0.11291153628375702</v>
      </c>
      <c r="BL10" s="19">
        <v>8.3455874052259706E-3</v>
      </c>
      <c r="BM10" s="18">
        <v>-0.11292004561382747</v>
      </c>
      <c r="BN10" s="19">
        <v>0.10563345255546264</v>
      </c>
      <c r="BO10" s="18">
        <v>-1.4292743819853322</v>
      </c>
      <c r="BP10" s="19">
        <v>8.3454580998488931E-3</v>
      </c>
      <c r="BQ10" s="18">
        <v>-0.11291829604625736</v>
      </c>
      <c r="BR10" s="19">
        <v>8.3453369595011574E-3</v>
      </c>
      <c r="BS10" s="18">
        <v>-0.11291665695569036</v>
      </c>
      <c r="BT10" s="19">
        <v>0.11475578352035808</v>
      </c>
      <c r="BU10" s="18">
        <v>-1.5527041633348611</v>
      </c>
      <c r="BV10" s="19">
        <v>8.3452897586769031E-3</v>
      </c>
      <c r="BW10" s="18">
        <v>-0.11291601830451233</v>
      </c>
      <c r="BX10" s="19">
        <v>0.20764727004212868</v>
      </c>
      <c r="BY10" s="18">
        <v>-2.8095732590447948</v>
      </c>
      <c r="BZ10" s="19">
        <v>8.3453181082705809E-3</v>
      </c>
      <c r="CA10" s="18">
        <v>-0.11291640188894513</v>
      </c>
      <c r="CB10" s="19">
        <v>8.3448581924290572E-3</v>
      </c>
      <c r="CC10" s="18">
        <v>-0.11291017899350569</v>
      </c>
      <c r="CD10" s="19">
        <v>31.683999999999997</v>
      </c>
      <c r="CE10" s="18" t="b">
        <v>1</v>
      </c>
    </row>
    <row r="11" spans="1:83" x14ac:dyDescent="0.25">
      <c r="A11" s="15">
        <v>43966</v>
      </c>
      <c r="B11" s="16">
        <v>14638.900390999999</v>
      </c>
      <c r="C11" s="16">
        <v>8.9044014875318926E-3</v>
      </c>
      <c r="D11" s="17">
        <v>-0.19248065624672633</v>
      </c>
      <c r="F11" s="16">
        <v>1.6845500851389788E-2</v>
      </c>
      <c r="G11" s="16">
        <v>8.9044014875318926E-3</v>
      </c>
      <c r="H11" s="16">
        <v>4.4817694802564231E-4</v>
      </c>
      <c r="I11" s="17">
        <v>-0.19248065624672633</v>
      </c>
      <c r="J11" s="17">
        <v>32.881000200000003</v>
      </c>
      <c r="K11" s="16">
        <v>45.214509014035059</v>
      </c>
      <c r="L11" s="17">
        <v>-12.333508814035056</v>
      </c>
      <c r="M11" s="17">
        <v>-0.19248065624672633</v>
      </c>
      <c r="N11" s="16" t="b">
        <v>1</v>
      </c>
      <c r="O11" s="16" t="b">
        <v>1</v>
      </c>
      <c r="P11" s="17">
        <v>0.48645331314764917</v>
      </c>
      <c r="Q11" s="16">
        <v>2.373961870350251</v>
      </c>
      <c r="R11" s="16">
        <v>-5.9996762253230864</v>
      </c>
      <c r="S11" s="17">
        <v>-1.5775973530628956E-2</v>
      </c>
      <c r="T11" s="17">
        <v>8.3449585057469022E-3</v>
      </c>
      <c r="U11" s="16">
        <v>0.19457310858999599</v>
      </c>
      <c r="V11" s="16">
        <v>-0.10292261928338624</v>
      </c>
      <c r="W11" s="17">
        <v>-7.4675970629340827E-3</v>
      </c>
      <c r="X11" s="17">
        <v>8.3455874052259706E-3</v>
      </c>
      <c r="Y11" s="16">
        <v>9.2101674195359806E-2</v>
      </c>
      <c r="Z11" s="16">
        <v>-0.10293037582065447</v>
      </c>
      <c r="AA11" s="17">
        <v>-2.8211767729283792E-3</v>
      </c>
      <c r="AB11" s="17">
        <v>0.10563345255546264</v>
      </c>
      <c r="AC11" s="16">
        <v>3.479500859486314E-2</v>
      </c>
      <c r="AD11" s="16">
        <v>-1.3028311181497523</v>
      </c>
      <c r="AE11" s="17">
        <v>-2.8211577105299855E-3</v>
      </c>
      <c r="AF11" s="17">
        <v>8.3454580998488931E-3</v>
      </c>
      <c r="AG11" s="16">
        <v>3.4794773488604533E-2</v>
      </c>
      <c r="AH11" s="16">
        <v>-0.10292878103164657</v>
      </c>
      <c r="AI11" s="17">
        <v>-2.7990992655536742E-2</v>
      </c>
      <c r="AJ11" s="17">
        <v>8.3453369595011574E-3</v>
      </c>
      <c r="AK11" s="16">
        <v>0.34522715463065295</v>
      </c>
      <c r="AL11" s="16">
        <v>-0.10292728694610004</v>
      </c>
      <c r="AM11" s="17">
        <v>-1.5159416219432191E-2</v>
      </c>
      <c r="AN11" s="17">
        <v>0.11475578352035808</v>
      </c>
      <c r="AO11" s="16">
        <v>0.18696879355799292</v>
      </c>
      <c r="AP11" s="16">
        <v>-1.4153414675098352</v>
      </c>
      <c r="AQ11" s="17">
        <v>-4.4681785963683565E-2</v>
      </c>
      <c r="AR11" s="17">
        <v>8.3452897586769031E-3</v>
      </c>
      <c r="AS11" s="16">
        <v>0.55108320100991914</v>
      </c>
      <c r="AT11" s="16">
        <v>-0.10292670479431808</v>
      </c>
      <c r="AU11" s="17">
        <v>-4.4738487644284834E-2</v>
      </c>
      <c r="AV11" s="17">
        <v>0.20764727004212868</v>
      </c>
      <c r="AW11" s="16">
        <v>0.55178253168738545</v>
      </c>
      <c r="AX11" s="16">
        <v>-2.5610194352749116</v>
      </c>
      <c r="AY11" s="17">
        <v>-2.8202952723899617E-2</v>
      </c>
      <c r="AZ11" s="17">
        <v>8.3453181082705809E-3</v>
      </c>
      <c r="BA11" s="16">
        <v>0.34784136600202992</v>
      </c>
      <c r="BB11" s="16">
        <v>-0.10292705444428157</v>
      </c>
      <c r="BC11" s="17">
        <v>-2.8211159628678006E-3</v>
      </c>
      <c r="BD11" s="17">
        <v>8.3448581924290572E-3</v>
      </c>
      <c r="BE11" s="16">
        <v>3.4794258593445017E-2</v>
      </c>
      <c r="BF11" s="16">
        <v>-0.10292138206819643</v>
      </c>
      <c r="BH11" s="19">
        <v>-0.19248065624672633</v>
      </c>
      <c r="BI11" s="18">
        <v>2.373961870350251</v>
      </c>
      <c r="BJ11" s="19">
        <v>-1.5775973530628956E-2</v>
      </c>
      <c r="BK11" s="18">
        <v>0.19457310858999599</v>
      </c>
      <c r="BL11" s="19">
        <v>-7.4675970629340827E-3</v>
      </c>
      <c r="BM11" s="18">
        <v>9.2101674195359806E-2</v>
      </c>
      <c r="BN11" s="19">
        <v>-2.8211767729283792E-3</v>
      </c>
      <c r="BO11" s="18">
        <v>3.479500859486314E-2</v>
      </c>
      <c r="BP11" s="19">
        <v>-2.8211577105299855E-3</v>
      </c>
      <c r="BQ11" s="18">
        <v>3.4794773488604533E-2</v>
      </c>
      <c r="BR11" s="19">
        <v>-2.7990992655536742E-2</v>
      </c>
      <c r="BS11" s="18">
        <v>0.34522715463065295</v>
      </c>
      <c r="BT11" s="19">
        <v>-1.5159416219432191E-2</v>
      </c>
      <c r="BU11" s="18">
        <v>0.18696879355799292</v>
      </c>
      <c r="BV11" s="19">
        <v>-4.4681785963683565E-2</v>
      </c>
      <c r="BW11" s="18">
        <v>0.55108320100991914</v>
      </c>
      <c r="BX11" s="19">
        <v>-4.4738487644284834E-2</v>
      </c>
      <c r="BY11" s="18">
        <v>0.55178253168738545</v>
      </c>
      <c r="BZ11" s="19">
        <v>-2.8202952723899617E-2</v>
      </c>
      <c r="CA11" s="18">
        <v>0.34784136600202992</v>
      </c>
      <c r="CB11" s="19">
        <v>-2.8211159628678006E-3</v>
      </c>
      <c r="CC11" s="18">
        <v>3.4794258593445017E-2</v>
      </c>
      <c r="CD11" s="19">
        <v>32.881000200000003</v>
      </c>
      <c r="CE11" s="18" t="b">
        <v>1</v>
      </c>
    </row>
    <row r="12" spans="1:83" x14ac:dyDescent="0.25">
      <c r="A12" s="15">
        <v>43965</v>
      </c>
      <c r="B12" s="16">
        <v>14509.700194999999</v>
      </c>
      <c r="C12" s="16">
        <v>4.4817694802564231E-4</v>
      </c>
      <c r="D12" s="17">
        <v>0.27620824612677097</v>
      </c>
      <c r="F12" s="16">
        <v>8.9044014875318926E-3</v>
      </c>
      <c r="G12" s="16">
        <v>4.4817694802564231E-4</v>
      </c>
      <c r="H12" s="16">
        <v>-2.5401176991557837E-2</v>
      </c>
      <c r="I12" s="17">
        <v>0.27620824612677097</v>
      </c>
      <c r="J12" s="17">
        <v>33.0350003</v>
      </c>
      <c r="K12" s="16">
        <v>45.214509014035059</v>
      </c>
      <c r="L12" s="17">
        <v>-12.179508714035059</v>
      </c>
      <c r="M12" s="17">
        <v>0.27620824612677097</v>
      </c>
      <c r="N12" s="16" t="b">
        <v>1</v>
      </c>
      <c r="O12" s="16" t="b">
        <v>1</v>
      </c>
      <c r="P12" s="17">
        <v>-0.19248065624672633</v>
      </c>
      <c r="Q12" s="16">
        <v>-3.3640807405893476</v>
      </c>
      <c r="R12" s="16">
        <v>2.34431983004019</v>
      </c>
      <c r="S12" s="17">
        <v>5.2182364343557929E-3</v>
      </c>
      <c r="T12" s="17">
        <v>-1.5775973530628956E-2</v>
      </c>
      <c r="U12" s="16">
        <v>-6.3555556124131607E-2</v>
      </c>
      <c r="V12" s="16">
        <v>0.19214360708868181</v>
      </c>
      <c r="W12" s="17">
        <v>5.2177766315999914E-3</v>
      </c>
      <c r="X12" s="17">
        <v>-7.4675970629340827E-3</v>
      </c>
      <c r="Y12" s="16">
        <v>-6.3549955952460588E-2</v>
      </c>
      <c r="Z12" s="16">
        <v>9.0951663500908275E-2</v>
      </c>
      <c r="AA12" s="17">
        <v>8.1938723304662245E-2</v>
      </c>
      <c r="AB12" s="17">
        <v>-2.8211767729283792E-3</v>
      </c>
      <c r="AC12" s="16">
        <v>-0.99797339450604139</v>
      </c>
      <c r="AD12" s="16">
        <v>3.4360547089714498E-2</v>
      </c>
      <c r="AE12" s="17">
        <v>7.8871176383527114E-2</v>
      </c>
      <c r="AF12" s="17">
        <v>-2.8211577105299855E-3</v>
      </c>
      <c r="AG12" s="16">
        <v>-0.96061218004936466</v>
      </c>
      <c r="AH12" s="16">
        <v>3.4360314919067152E-2</v>
      </c>
      <c r="AI12" s="17">
        <v>5.2180861460409036E-3</v>
      </c>
      <c r="AJ12" s="17">
        <v>-2.7990992655536742E-2</v>
      </c>
      <c r="AK12" s="16">
        <v>-6.3553725686290807E-2</v>
      </c>
      <c r="AL12" s="16">
        <v>0.3409165389626011</v>
      </c>
      <c r="AM12" s="17">
        <v>5.2184187411698337E-3</v>
      </c>
      <c r="AN12" s="17">
        <v>-1.5159416219432191E-2</v>
      </c>
      <c r="AO12" s="16">
        <v>-6.3557776531561846E-2</v>
      </c>
      <c r="AP12" s="16">
        <v>0.18463424194425879</v>
      </c>
      <c r="AQ12" s="17">
        <v>7.8871721243973542E-2</v>
      </c>
      <c r="AR12" s="17">
        <v>-4.4681785963683565E-2</v>
      </c>
      <c r="AS12" s="16">
        <v>-0.9606188161819198</v>
      </c>
      <c r="AT12" s="16">
        <v>0.54420220150333332</v>
      </c>
      <c r="AU12" s="17">
        <v>5.2180886369083751E-3</v>
      </c>
      <c r="AV12" s="17">
        <v>-4.4738487644284834E-2</v>
      </c>
      <c r="AW12" s="16">
        <v>-6.3553756023832883E-2</v>
      </c>
      <c r="AX12" s="16">
        <v>0.54489280011631691</v>
      </c>
      <c r="AY12" s="17">
        <v>5.2182124916950066E-3</v>
      </c>
      <c r="AZ12" s="17">
        <v>-2.8202952723899617E-2</v>
      </c>
      <c r="BA12" s="16">
        <v>-6.3555264514285933E-2</v>
      </c>
      <c r="BB12" s="16">
        <v>0.3434981084622542</v>
      </c>
      <c r="BC12" s="17">
        <v>5.2178061128379328E-3</v>
      </c>
      <c r="BD12" s="17">
        <v>-2.8211159628678006E-3</v>
      </c>
      <c r="BE12" s="16">
        <v>-6.3550315019455003E-2</v>
      </c>
      <c r="BF12" s="16">
        <v>3.4359806453051783E-2</v>
      </c>
      <c r="BH12" s="19">
        <v>0.27620824612677097</v>
      </c>
      <c r="BI12" s="18">
        <v>-3.3640807405893476</v>
      </c>
      <c r="BJ12" s="19">
        <v>5.2182364343557929E-3</v>
      </c>
      <c r="BK12" s="18">
        <v>-6.3555556124131607E-2</v>
      </c>
      <c r="BL12" s="19">
        <v>5.2177766315999914E-3</v>
      </c>
      <c r="BM12" s="18">
        <v>-6.3549955952460588E-2</v>
      </c>
      <c r="BN12" s="19">
        <v>8.1938723304662245E-2</v>
      </c>
      <c r="BO12" s="18">
        <v>-0.99797339450604139</v>
      </c>
      <c r="BP12" s="19">
        <v>7.8871176383527114E-2</v>
      </c>
      <c r="BQ12" s="18">
        <v>-0.96061218004936466</v>
      </c>
      <c r="BR12" s="19">
        <v>5.2180861460409036E-3</v>
      </c>
      <c r="BS12" s="18">
        <v>-6.3553725686290807E-2</v>
      </c>
      <c r="BT12" s="19">
        <v>5.2184187411698337E-3</v>
      </c>
      <c r="BU12" s="18">
        <v>-6.3557776531561846E-2</v>
      </c>
      <c r="BV12" s="19">
        <v>7.8871721243973542E-2</v>
      </c>
      <c r="BW12" s="18">
        <v>-0.9606188161819198</v>
      </c>
      <c r="BX12" s="19">
        <v>5.2180886369083751E-3</v>
      </c>
      <c r="BY12" s="18">
        <v>-6.3553756023832883E-2</v>
      </c>
      <c r="BZ12" s="19">
        <v>5.2182124916950066E-3</v>
      </c>
      <c r="CA12" s="18">
        <v>-6.3555264514285933E-2</v>
      </c>
      <c r="CB12" s="19">
        <v>5.2178061128379328E-3</v>
      </c>
      <c r="CC12" s="18">
        <v>-6.3550315019455003E-2</v>
      </c>
      <c r="CD12" s="19">
        <v>33.0350003</v>
      </c>
      <c r="CE12" s="18" t="b">
        <v>1</v>
      </c>
    </row>
    <row r="13" spans="1:83" x14ac:dyDescent="0.25">
      <c r="A13" s="15">
        <v>43964</v>
      </c>
      <c r="B13" s="16">
        <v>14503.200194999999</v>
      </c>
      <c r="C13" s="16">
        <v>-2.5401176991557837E-2</v>
      </c>
      <c r="D13" s="17">
        <v>0.1164589305408299</v>
      </c>
      <c r="F13" s="16">
        <v>4.4817694802564231E-4</v>
      </c>
      <c r="G13" s="16">
        <v>-2.5401176991557837E-2</v>
      </c>
      <c r="H13" s="16">
        <v>-1.4698871572495898E-2</v>
      </c>
      <c r="I13" s="17">
        <v>0.1164589305408299</v>
      </c>
      <c r="J13" s="17">
        <v>32.630000399999993</v>
      </c>
      <c r="K13" s="16">
        <v>45.214509014035059</v>
      </c>
      <c r="L13" s="17">
        <v>-12.584508614035066</v>
      </c>
      <c r="M13" s="17">
        <v>0.1164589305408299</v>
      </c>
      <c r="N13" s="16" t="b">
        <v>1</v>
      </c>
      <c r="O13" s="16" t="b">
        <v>1</v>
      </c>
      <c r="P13" s="17">
        <v>0.27620824612677097</v>
      </c>
      <c r="Q13" s="16">
        <v>-1.4655784145723854</v>
      </c>
      <c r="R13" s="16">
        <v>-3.475945052649867</v>
      </c>
      <c r="S13" s="17">
        <v>2.135158897815472E-3</v>
      </c>
      <c r="T13" s="17">
        <v>5.2182364343557929E-3</v>
      </c>
      <c r="U13" s="16">
        <v>-2.6869925541892423E-2</v>
      </c>
      <c r="V13" s="16">
        <v>-6.5668941358222099E-2</v>
      </c>
      <c r="W13" s="17">
        <v>2.1353922332834766E-3</v>
      </c>
      <c r="X13" s="17">
        <v>5.2177766315999914E-3</v>
      </c>
      <c r="Y13" s="16">
        <v>-2.6872861954099488E-2</v>
      </c>
      <c r="Z13" s="16">
        <v>-6.5663154966480966E-2</v>
      </c>
      <c r="AA13" s="17">
        <v>2.1362410423807297E-3</v>
      </c>
      <c r="AB13" s="17">
        <v>8.1938723304662245E-2</v>
      </c>
      <c r="AC13" s="16">
        <v>-2.6883543799495542E-2</v>
      </c>
      <c r="AD13" s="16">
        <v>-1.0311585692505578</v>
      </c>
      <c r="AE13" s="17">
        <v>2.135346429041922E-3</v>
      </c>
      <c r="AF13" s="17">
        <v>7.8871176383527114E-2</v>
      </c>
      <c r="AG13" s="16">
        <v>-2.6872285530227084E-2</v>
      </c>
      <c r="AH13" s="16">
        <v>-0.99255499859757601</v>
      </c>
      <c r="AI13" s="17">
        <v>2.1353841939272334E-3</v>
      </c>
      <c r="AJ13" s="17">
        <v>5.2180861460409036E-3</v>
      </c>
      <c r="AK13" s="16">
        <v>-2.6872760782751595E-2</v>
      </c>
      <c r="AL13" s="16">
        <v>-6.5667050053628787E-2</v>
      </c>
      <c r="AM13" s="17">
        <v>2.1357551362771866E-3</v>
      </c>
      <c r="AN13" s="17">
        <v>5.2184187411698337E-3</v>
      </c>
      <c r="AO13" s="16">
        <v>-2.6877428909949892E-2</v>
      </c>
      <c r="AP13" s="16">
        <v>-6.5671235599893796E-2</v>
      </c>
      <c r="AQ13" s="17">
        <v>4.8716392446393718E-2</v>
      </c>
      <c r="AR13" s="17">
        <v>7.8871721243973542E-2</v>
      </c>
      <c r="AS13" s="16">
        <v>-0.61307186038635453</v>
      </c>
      <c r="AT13" s="16">
        <v>-0.99256185539855757</v>
      </c>
      <c r="AU13" s="17">
        <v>5.0658548950672337E-2</v>
      </c>
      <c r="AV13" s="17">
        <v>5.2180886369083751E-3</v>
      </c>
      <c r="AW13" s="16">
        <v>-0.63751294564425309</v>
      </c>
      <c r="AX13" s="16">
        <v>-6.5667081399971947E-2</v>
      </c>
      <c r="AY13" s="17">
        <v>2.1353989241585667E-3</v>
      </c>
      <c r="AZ13" s="17">
        <v>5.2182124916950066E-3</v>
      </c>
      <c r="BA13" s="16">
        <v>-2.6872946155474694E-2</v>
      </c>
      <c r="BB13" s="16">
        <v>-6.5668640051601196E-2</v>
      </c>
      <c r="BC13" s="17">
        <v>2.1353122868791098E-3</v>
      </c>
      <c r="BD13" s="17">
        <v>5.2178061128379328E-3</v>
      </c>
      <c r="BE13" s="16">
        <v>-2.6871855867885073E-2</v>
      </c>
      <c r="BF13" s="16">
        <v>-6.5663525973373785E-2</v>
      </c>
      <c r="BH13" s="19">
        <v>0.1164589305408299</v>
      </c>
      <c r="BI13" s="18">
        <v>-1.4655784145723854</v>
      </c>
      <c r="BJ13" s="19">
        <v>2.135158897815472E-3</v>
      </c>
      <c r="BK13" s="18">
        <v>-2.6869925541892423E-2</v>
      </c>
      <c r="BL13" s="19">
        <v>2.1353922332834766E-3</v>
      </c>
      <c r="BM13" s="18">
        <v>-2.6872861954099488E-2</v>
      </c>
      <c r="BN13" s="19">
        <v>2.1362410423807297E-3</v>
      </c>
      <c r="BO13" s="18">
        <v>-2.6883543799495542E-2</v>
      </c>
      <c r="BP13" s="19">
        <v>2.135346429041922E-3</v>
      </c>
      <c r="BQ13" s="18">
        <v>-2.6872285530227084E-2</v>
      </c>
      <c r="BR13" s="19">
        <v>2.1353841939272334E-3</v>
      </c>
      <c r="BS13" s="18">
        <v>-2.6872760782751595E-2</v>
      </c>
      <c r="BT13" s="19">
        <v>2.1357551362771866E-3</v>
      </c>
      <c r="BU13" s="18">
        <v>-2.6877428909949892E-2</v>
      </c>
      <c r="BV13" s="19">
        <v>4.8716392446393718E-2</v>
      </c>
      <c r="BW13" s="18">
        <v>-0.61307186038635453</v>
      </c>
      <c r="BX13" s="19">
        <v>5.0658548950672337E-2</v>
      </c>
      <c r="BY13" s="18">
        <v>-0.63751294564425309</v>
      </c>
      <c r="BZ13" s="19">
        <v>2.1353989241585667E-3</v>
      </c>
      <c r="CA13" s="18">
        <v>-2.6872946155474694E-2</v>
      </c>
      <c r="CB13" s="19">
        <v>2.1353122868791098E-3</v>
      </c>
      <c r="CC13" s="18">
        <v>-2.6871855867885073E-2</v>
      </c>
      <c r="CD13" s="19">
        <v>32.630000399999993</v>
      </c>
      <c r="CE13" s="18" t="b">
        <v>1</v>
      </c>
    </row>
    <row r="14" spans="1:83" x14ac:dyDescent="0.25">
      <c r="A14" s="15">
        <v>43963</v>
      </c>
      <c r="B14" s="16">
        <v>14881.200194999999</v>
      </c>
      <c r="C14" s="16">
        <v>-1.4698871572495898E-2</v>
      </c>
      <c r="D14" s="17">
        <v>-0.15498585706915369</v>
      </c>
      <c r="F14" s="16">
        <v>-2.5401176991557837E-2</v>
      </c>
      <c r="G14" s="16">
        <v>-1.4698871572495898E-2</v>
      </c>
      <c r="H14" s="16">
        <v>9.1270288220883112E-3</v>
      </c>
      <c r="I14" s="17">
        <v>-0.15498585706915369</v>
      </c>
      <c r="J14" s="17">
        <v>32.683000299999996</v>
      </c>
      <c r="K14" s="16">
        <v>45.214509014035059</v>
      </c>
      <c r="L14" s="17">
        <v>-12.531508714035063</v>
      </c>
      <c r="M14" s="17">
        <v>-0.15498585706915369</v>
      </c>
      <c r="N14" s="16" t="b">
        <v>1</v>
      </c>
      <c r="O14" s="16" t="b">
        <v>1</v>
      </c>
      <c r="P14" s="17">
        <v>0.1164589305408299</v>
      </c>
      <c r="Q14" s="16">
        <v>1.9422066184142921</v>
      </c>
      <c r="R14" s="16">
        <v>-1.4594061028996139</v>
      </c>
      <c r="S14" s="17">
        <v>-2.6453926531445223E-3</v>
      </c>
      <c r="T14" s="17">
        <v>2.135158897815472E-3</v>
      </c>
      <c r="U14" s="16">
        <v>3.3150761084924915E-2</v>
      </c>
      <c r="V14" s="16">
        <v>-2.6756762333824086E-2</v>
      </c>
      <c r="W14" s="17">
        <v>-1.1690442426449081E-2</v>
      </c>
      <c r="X14" s="17">
        <v>2.1353922332834766E-3</v>
      </c>
      <c r="Y14" s="16">
        <v>0.14649888113797185</v>
      </c>
      <c r="Z14" s="16">
        <v>-2.6759686379274679E-2</v>
      </c>
      <c r="AA14" s="17">
        <v>-2.6453647036272405E-3</v>
      </c>
      <c r="AB14" s="17">
        <v>2.1362410423807297E-3</v>
      </c>
      <c r="AC14" s="16">
        <v>3.3150410835305545E-2</v>
      </c>
      <c r="AD14" s="16">
        <v>-2.6770323237873459E-2</v>
      </c>
      <c r="AE14" s="17">
        <v>-1.4721901458676289E-2</v>
      </c>
      <c r="AF14" s="17">
        <v>2.135346429041922E-3</v>
      </c>
      <c r="AG14" s="16">
        <v>0.1844876364165674</v>
      </c>
      <c r="AH14" s="16">
        <v>-2.6759112383022501E-2</v>
      </c>
      <c r="AI14" s="17">
        <v>-1.4973801806830672E-2</v>
      </c>
      <c r="AJ14" s="17">
        <v>2.1353841939272334E-3</v>
      </c>
      <c r="AK14" s="16">
        <v>0.18764432782453253</v>
      </c>
      <c r="AL14" s="16">
        <v>-2.6759585634011863E-2</v>
      </c>
      <c r="AM14" s="17">
        <v>-1.6612901626957308E-2</v>
      </c>
      <c r="AN14" s="17">
        <v>2.1357551362771866E-3</v>
      </c>
      <c r="AO14" s="16">
        <v>0.20818472150362277</v>
      </c>
      <c r="AP14" s="16">
        <v>-2.6764234101302707E-2</v>
      </c>
      <c r="AQ14" s="17">
        <v>-2.6454948922483507E-3</v>
      </c>
      <c r="AR14" s="17">
        <v>4.8716392446393718E-2</v>
      </c>
      <c r="AS14" s="16">
        <v>3.3152042295145456E-2</v>
      </c>
      <c r="AT14" s="16">
        <v>-0.61048989645833474</v>
      </c>
      <c r="AU14" s="17">
        <v>-3.9836174196673346E-2</v>
      </c>
      <c r="AV14" s="17">
        <v>5.0658548950672337E-2</v>
      </c>
      <c r="AW14" s="16">
        <v>0.49920736407943073</v>
      </c>
      <c r="AX14" s="16">
        <v>-0.6348280476157222</v>
      </c>
      <c r="AY14" s="17">
        <v>-3.5856215812900882E-2</v>
      </c>
      <c r="AZ14" s="17">
        <v>2.1353989241585667E-3</v>
      </c>
      <c r="BA14" s="16">
        <v>0.4493324809116892</v>
      </c>
      <c r="BB14" s="16">
        <v>-2.6759770226034176E-2</v>
      </c>
      <c r="BC14" s="17">
        <v>-1.335816749164582E-2</v>
      </c>
      <c r="BD14" s="17">
        <v>2.1353122868791098E-3</v>
      </c>
      <c r="BE14" s="16">
        <v>0.1673979923250995</v>
      </c>
      <c r="BF14" s="16">
        <v>-2.6758684530211702E-2</v>
      </c>
      <c r="BH14" s="19">
        <v>-0.15498585706915369</v>
      </c>
      <c r="BI14" s="18">
        <v>1.9422066184142921</v>
      </c>
      <c r="BJ14" s="19">
        <v>-2.6453926531445223E-3</v>
      </c>
      <c r="BK14" s="18">
        <v>3.3150761084924915E-2</v>
      </c>
      <c r="BL14" s="19">
        <v>-1.1690442426449081E-2</v>
      </c>
      <c r="BM14" s="18">
        <v>0.14649888113797185</v>
      </c>
      <c r="BN14" s="19">
        <v>-2.6453647036272405E-3</v>
      </c>
      <c r="BO14" s="18">
        <v>3.3150410835305545E-2</v>
      </c>
      <c r="BP14" s="19">
        <v>-1.4721901458676289E-2</v>
      </c>
      <c r="BQ14" s="18">
        <v>0.1844876364165674</v>
      </c>
      <c r="BR14" s="19">
        <v>-1.4973801806830672E-2</v>
      </c>
      <c r="BS14" s="18">
        <v>0.18764432782453253</v>
      </c>
      <c r="BT14" s="19">
        <v>-1.6612901626957308E-2</v>
      </c>
      <c r="BU14" s="18">
        <v>0.20818472150362277</v>
      </c>
      <c r="BV14" s="19">
        <v>-2.6454948922483507E-3</v>
      </c>
      <c r="BW14" s="18">
        <v>3.3152042295145456E-2</v>
      </c>
      <c r="BX14" s="19">
        <v>-3.9836174196673346E-2</v>
      </c>
      <c r="BY14" s="18">
        <v>0.49920736407943073</v>
      </c>
      <c r="BZ14" s="19">
        <v>-3.5856215812900882E-2</v>
      </c>
      <c r="CA14" s="18">
        <v>0.4493324809116892</v>
      </c>
      <c r="CB14" s="19">
        <v>-1.335816749164582E-2</v>
      </c>
      <c r="CC14" s="18">
        <v>0.1673979923250995</v>
      </c>
      <c r="CD14" s="19">
        <v>32.683000299999996</v>
      </c>
      <c r="CE14" s="18" t="b">
        <v>1</v>
      </c>
    </row>
    <row r="15" spans="1:83" x14ac:dyDescent="0.25">
      <c r="A15" s="15">
        <v>43962</v>
      </c>
      <c r="B15" s="16">
        <v>15103.200194999999</v>
      </c>
      <c r="C15" s="16">
        <v>9.1270288220883112E-3</v>
      </c>
      <c r="D15" s="17">
        <v>9.5311682671308517E-2</v>
      </c>
      <c r="F15" s="16">
        <v>-1.4698871572495898E-2</v>
      </c>
      <c r="G15" s="16">
        <v>9.1270288220883112E-3</v>
      </c>
      <c r="H15" s="16">
        <v>8.9592894728179693E-3</v>
      </c>
      <c r="I15" s="17">
        <v>9.5311682671308517E-2</v>
      </c>
      <c r="J15" s="17">
        <v>33.2550004</v>
      </c>
      <c r="K15" s="16">
        <v>45.214509014035059</v>
      </c>
      <c r="L15" s="17">
        <v>-11.959508614035059</v>
      </c>
      <c r="M15" s="17">
        <v>9.5311682671308517E-2</v>
      </c>
      <c r="N15" s="16" t="b">
        <v>1</v>
      </c>
      <c r="O15" s="16" t="b">
        <v>1</v>
      </c>
      <c r="P15" s="17">
        <v>-0.15498585706915369</v>
      </c>
      <c r="Q15" s="16">
        <v>-1.1398808899256903</v>
      </c>
      <c r="R15" s="16">
        <v>1.85355469267215</v>
      </c>
      <c r="S15" s="17">
        <v>1.5914759434505219E-3</v>
      </c>
      <c r="T15" s="17">
        <v>-2.6453926531445223E-3</v>
      </c>
      <c r="U15" s="16">
        <v>-1.9033270254726089E-2</v>
      </c>
      <c r="V15" s="16">
        <v>3.1637596222786973E-2</v>
      </c>
      <c r="W15" s="17">
        <v>1.5915756643559884E-3</v>
      </c>
      <c r="X15" s="17">
        <v>-1.1690442426449081E-2</v>
      </c>
      <c r="Y15" s="16">
        <v>-1.9034462867754016E-2</v>
      </c>
      <c r="Z15" s="16">
        <v>0.13981194690099871</v>
      </c>
      <c r="AA15" s="17">
        <v>4.2863747882977331E-2</v>
      </c>
      <c r="AB15" s="17">
        <v>-2.6453647036272405E-3</v>
      </c>
      <c r="AC15" s="16">
        <v>-0.51262936203629439</v>
      </c>
      <c r="AD15" s="16">
        <v>3.1637261960294281E-2</v>
      </c>
      <c r="AE15" s="17">
        <v>9.06511203372788E-3</v>
      </c>
      <c r="AF15" s="17">
        <v>-1.4721901458676289E-2</v>
      </c>
      <c r="AG15" s="16">
        <v>-0.10841428545456146</v>
      </c>
      <c r="AH15" s="16">
        <v>0.17606670731001436</v>
      </c>
      <c r="AI15" s="17">
        <v>1.5917358586429852E-3</v>
      </c>
      <c r="AJ15" s="17">
        <v>-1.4973801806830672E-2</v>
      </c>
      <c r="AK15" s="16">
        <v>-1.9036378712709273E-2</v>
      </c>
      <c r="AL15" s="16">
        <v>0.17907931169364516</v>
      </c>
      <c r="AM15" s="17">
        <v>2.0653575991413892E-2</v>
      </c>
      <c r="AN15" s="17">
        <v>-1.6612901626957308E-2</v>
      </c>
      <c r="AO15" s="16">
        <v>-0.24700661997994214</v>
      </c>
      <c r="AP15" s="16">
        <v>0.19868214011171298</v>
      </c>
      <c r="AQ15" s="17">
        <v>1.3179888306233662E-2</v>
      </c>
      <c r="AR15" s="17">
        <v>-2.6454948922483507E-3</v>
      </c>
      <c r="AS15" s="16">
        <v>-0.15762498773042144</v>
      </c>
      <c r="AT15" s="16">
        <v>3.1638818952229898E-2</v>
      </c>
      <c r="AU15" s="17">
        <v>1.5917473632021156E-3</v>
      </c>
      <c r="AV15" s="17">
        <v>-3.9836174196673346E-2</v>
      </c>
      <c r="AW15" s="16">
        <v>-1.9036516301583293E-2</v>
      </c>
      <c r="AX15" s="16">
        <v>0.47642106845531601</v>
      </c>
      <c r="AY15" s="17">
        <v>1.5913647093750702E-3</v>
      </c>
      <c r="AZ15" s="17">
        <v>-3.5856215812900882E-2</v>
      </c>
      <c r="BA15" s="16">
        <v>-1.903193994984255E-2</v>
      </c>
      <c r="BB15" s="16">
        <v>0.42882272188108816</v>
      </c>
      <c r="BC15" s="17">
        <v>1.5914589179289761E-3</v>
      </c>
      <c r="BD15" s="17">
        <v>-1.335816749164582E-2</v>
      </c>
      <c r="BE15" s="16">
        <v>-1.9033066637854503E-2</v>
      </c>
      <c r="BF15" s="16">
        <v>0.15975711918406127</v>
      </c>
      <c r="BH15" s="19">
        <v>9.5311682671308517E-2</v>
      </c>
      <c r="BI15" s="18">
        <v>-1.1398808899256903</v>
      </c>
      <c r="BJ15" s="19">
        <v>1.5914759434505219E-3</v>
      </c>
      <c r="BK15" s="18">
        <v>-1.9033270254726089E-2</v>
      </c>
      <c r="BL15" s="19">
        <v>1.5915756643559884E-3</v>
      </c>
      <c r="BM15" s="18">
        <v>-1.9034462867754016E-2</v>
      </c>
      <c r="BN15" s="19">
        <v>4.2863747882977331E-2</v>
      </c>
      <c r="BO15" s="18">
        <v>-0.51262936203629439</v>
      </c>
      <c r="BP15" s="19">
        <v>9.06511203372788E-3</v>
      </c>
      <c r="BQ15" s="18">
        <v>-0.10841428545456146</v>
      </c>
      <c r="BR15" s="19">
        <v>1.5917358586429852E-3</v>
      </c>
      <c r="BS15" s="18">
        <v>-1.9036378712709273E-2</v>
      </c>
      <c r="BT15" s="19">
        <v>2.0653575991413892E-2</v>
      </c>
      <c r="BU15" s="18">
        <v>-0.24700661997994214</v>
      </c>
      <c r="BV15" s="19">
        <v>1.3179888306233662E-2</v>
      </c>
      <c r="BW15" s="18">
        <v>-0.15762498773042144</v>
      </c>
      <c r="BX15" s="19">
        <v>1.5917473632021156E-3</v>
      </c>
      <c r="BY15" s="18">
        <v>-1.9036516301583293E-2</v>
      </c>
      <c r="BZ15" s="19">
        <v>1.5913647093750702E-3</v>
      </c>
      <c r="CA15" s="18">
        <v>-1.903193994984255E-2</v>
      </c>
      <c r="CB15" s="19">
        <v>1.5914589179289761E-3</v>
      </c>
      <c r="CC15" s="18">
        <v>-1.9033066637854503E-2</v>
      </c>
      <c r="CD15" s="19">
        <v>33.2550004</v>
      </c>
      <c r="CE15" s="18" t="b">
        <v>1</v>
      </c>
    </row>
    <row r="16" spans="1:83" x14ac:dyDescent="0.25">
      <c r="A16" s="15">
        <v>43959</v>
      </c>
      <c r="B16" s="16">
        <v>14966.599609000001</v>
      </c>
      <c r="C16" s="16">
        <v>8.9592894728179693E-3</v>
      </c>
      <c r="D16" s="17">
        <v>0.29172629743282286</v>
      </c>
      <c r="F16" s="16">
        <v>9.1270288220883112E-3</v>
      </c>
      <c r="G16" s="16">
        <v>8.9592894728179693E-3</v>
      </c>
      <c r="H16" s="16">
        <v>2.0228309928424119E-4</v>
      </c>
      <c r="I16" s="17">
        <v>0.29172629743282286</v>
      </c>
      <c r="J16" s="17">
        <v>34.050000400000002</v>
      </c>
      <c r="K16" s="16">
        <v>45.214509014035059</v>
      </c>
      <c r="L16" s="17">
        <v>-11.164508614035057</v>
      </c>
      <c r="M16" s="17">
        <v>0.29172629743282286</v>
      </c>
      <c r="N16" s="16" t="b">
        <v>1</v>
      </c>
      <c r="O16" s="16" t="b">
        <v>1</v>
      </c>
      <c r="P16" s="17">
        <v>9.5311682671308517E-2</v>
      </c>
      <c r="Q16" s="16">
        <v>-3.256980760629304</v>
      </c>
      <c r="R16" s="16">
        <v>-1.0641081022019998</v>
      </c>
      <c r="S16" s="17">
        <v>4.0751832722028182E-2</v>
      </c>
      <c r="T16" s="17">
        <v>1.5914759434505219E-3</v>
      </c>
      <c r="U16" s="16">
        <v>-0.45497418746279933</v>
      </c>
      <c r="V16" s="16">
        <v>-1.7768046879682919E-2</v>
      </c>
      <c r="W16" s="17">
        <v>4.2867611724490213E-3</v>
      </c>
      <c r="X16" s="17">
        <v>1.5915756643559884E-3</v>
      </c>
      <c r="Y16" s="16">
        <v>-4.785958203611812E-2</v>
      </c>
      <c r="Z16" s="16">
        <v>-1.7769160214591E-2</v>
      </c>
      <c r="AA16" s="17">
        <v>2.8136761843105738E-2</v>
      </c>
      <c r="AB16" s="17">
        <v>4.2863747882977331E-2</v>
      </c>
      <c r="AC16" s="16">
        <v>-0.31413311996840693</v>
      </c>
      <c r="AD16" s="16">
        <v>-0.47855268246932736</v>
      </c>
      <c r="AE16" s="17">
        <v>4.2870673284897722E-3</v>
      </c>
      <c r="AF16" s="17">
        <v>9.06511203372788E-3</v>
      </c>
      <c r="AG16" s="16">
        <v>-4.7863000117872319E-2</v>
      </c>
      <c r="AH16" s="16">
        <v>-0.10120752138774777</v>
      </c>
      <c r="AI16" s="17">
        <v>6.1766729341750308E-2</v>
      </c>
      <c r="AJ16" s="17">
        <v>1.5917358586429852E-3</v>
      </c>
      <c r="AK16" s="16">
        <v>-0.68959518179674317</v>
      </c>
      <c r="AL16" s="16">
        <v>-1.7770948705088097E-2</v>
      </c>
      <c r="AM16" s="17">
        <v>6.8371708610143536E-2</v>
      </c>
      <c r="AN16" s="17">
        <v>2.0653575991413892E-2</v>
      </c>
      <c r="AO16" s="16">
        <v>-0.76333652973424237</v>
      </c>
      <c r="AP16" s="16">
        <v>-0.23058702706676804</v>
      </c>
      <c r="AQ16" s="17">
        <v>1.8026310506875309E-2</v>
      </c>
      <c r="AR16" s="17">
        <v>1.3179888306233662E-2</v>
      </c>
      <c r="AS16" s="16">
        <v>-0.20125489893328005</v>
      </c>
      <c r="AT16" s="16">
        <v>-0.14714697652696565</v>
      </c>
      <c r="AU16" s="17">
        <v>4.2871073565977254E-3</v>
      </c>
      <c r="AV16" s="17">
        <v>1.5917473632021156E-3</v>
      </c>
      <c r="AW16" s="16">
        <v>-4.7863447012028368E-2</v>
      </c>
      <c r="AX16" s="16">
        <v>-1.777107714783761E-2</v>
      </c>
      <c r="AY16" s="17">
        <v>5.7524593295812776E-2</v>
      </c>
      <c r="AZ16" s="17">
        <v>1.5913647093750702E-3</v>
      </c>
      <c r="BA16" s="16">
        <v>-0.64223381736996499</v>
      </c>
      <c r="BB16" s="16">
        <v>-1.7766805005889365E-2</v>
      </c>
      <c r="BC16" s="17">
        <v>4.2874252555701571E-3</v>
      </c>
      <c r="BD16" s="17">
        <v>1.5914589179289761E-3</v>
      </c>
      <c r="BE16" s="16">
        <v>-4.7866996197844479E-2</v>
      </c>
      <c r="BF16" s="16">
        <v>-1.7767856798100966E-2</v>
      </c>
      <c r="BH16" s="19">
        <v>0.29172629743282286</v>
      </c>
      <c r="BI16" s="18">
        <v>-3.256980760629304</v>
      </c>
      <c r="BJ16" s="19">
        <v>4.0751832722028182E-2</v>
      </c>
      <c r="BK16" s="18">
        <v>-0.45497418746279933</v>
      </c>
      <c r="BL16" s="19">
        <v>4.2867611724490213E-3</v>
      </c>
      <c r="BM16" s="18">
        <v>-4.785958203611812E-2</v>
      </c>
      <c r="BN16" s="19">
        <v>2.8136761843105738E-2</v>
      </c>
      <c r="BO16" s="18">
        <v>-0.31413311996840693</v>
      </c>
      <c r="BP16" s="19">
        <v>4.2870673284897722E-3</v>
      </c>
      <c r="BQ16" s="18">
        <v>-4.7863000117872319E-2</v>
      </c>
      <c r="BR16" s="19">
        <v>6.1766729341750308E-2</v>
      </c>
      <c r="BS16" s="18">
        <v>-0.68959518179674317</v>
      </c>
      <c r="BT16" s="19">
        <v>6.8371708610143536E-2</v>
      </c>
      <c r="BU16" s="18">
        <v>-0.76333652973424237</v>
      </c>
      <c r="BV16" s="19">
        <v>1.8026310506875309E-2</v>
      </c>
      <c r="BW16" s="18">
        <v>-0.20125489893328005</v>
      </c>
      <c r="BX16" s="19">
        <v>4.2871073565977254E-3</v>
      </c>
      <c r="BY16" s="18">
        <v>-4.7863447012028368E-2</v>
      </c>
      <c r="BZ16" s="19">
        <v>5.7524593295812776E-2</v>
      </c>
      <c r="CA16" s="18">
        <v>-0.64223381736996499</v>
      </c>
      <c r="CB16" s="19">
        <v>4.2874252555701571E-3</v>
      </c>
      <c r="CC16" s="18">
        <v>-4.7866996197844479E-2</v>
      </c>
      <c r="CD16" s="19">
        <v>34.050000400000002</v>
      </c>
      <c r="CE16" s="18" t="b">
        <v>1</v>
      </c>
    </row>
    <row r="17" spans="1:83" x14ac:dyDescent="0.25">
      <c r="A17" s="15">
        <v>43958</v>
      </c>
      <c r="B17" s="16">
        <v>14833.700194999999</v>
      </c>
      <c r="C17" s="16">
        <v>2.0228309928424119E-4</v>
      </c>
      <c r="D17" s="17">
        <v>-0.23442382345508253</v>
      </c>
      <c r="F17" s="16">
        <v>8.9592894728179693E-3</v>
      </c>
      <c r="G17" s="16">
        <v>2.0228309928424119E-4</v>
      </c>
      <c r="H17" s="16">
        <v>1.2895694256002256E-3</v>
      </c>
      <c r="I17" s="17">
        <v>-0.23442382345508253</v>
      </c>
      <c r="J17" s="17">
        <v>35.044000400000002</v>
      </c>
      <c r="K17" s="16">
        <v>45.214509014035059</v>
      </c>
      <c r="L17" s="17">
        <v>-10.170508614035057</v>
      </c>
      <c r="M17" s="17">
        <v>-0.23442382345508253</v>
      </c>
      <c r="N17" s="16" t="b">
        <v>1</v>
      </c>
      <c r="O17" s="16" t="b">
        <v>1</v>
      </c>
      <c r="P17" s="17">
        <v>0.29172629743282286</v>
      </c>
      <c r="Q17" s="16">
        <v>2.3842095157849506</v>
      </c>
      <c r="R17" s="16">
        <v>-2.967004820981078</v>
      </c>
      <c r="S17" s="17">
        <v>-3.5818737551425602E-3</v>
      </c>
      <c r="T17" s="17">
        <v>4.0751832722028182E-2</v>
      </c>
      <c r="U17" s="16">
        <v>3.6429477881063509E-2</v>
      </c>
      <c r="V17" s="16">
        <v>-0.41446686573710334</v>
      </c>
      <c r="W17" s="17">
        <v>-3.5819131495890924E-3</v>
      </c>
      <c r="X17" s="17">
        <v>4.2867611724490213E-3</v>
      </c>
      <c r="Y17" s="16">
        <v>3.6429878542621308E-2</v>
      </c>
      <c r="Z17" s="16">
        <v>-4.359854143070379E-2</v>
      </c>
      <c r="AA17" s="17">
        <v>-3.582024853674988E-3</v>
      </c>
      <c r="AB17" s="17">
        <v>2.8136761843105738E-2</v>
      </c>
      <c r="AC17" s="16">
        <v>3.6431014629989128E-2</v>
      </c>
      <c r="AD17" s="16">
        <v>-0.28616517869635982</v>
      </c>
      <c r="AE17" s="17">
        <v>-3.0093028263110756E-2</v>
      </c>
      <c r="AF17" s="17">
        <v>4.2870673284897722E-3</v>
      </c>
      <c r="AG17" s="16">
        <v>0.30606140317236841</v>
      </c>
      <c r="AH17" s="16">
        <v>-4.3601655193353489E-2</v>
      </c>
      <c r="AI17" s="17">
        <v>-3.5822543275427178E-3</v>
      </c>
      <c r="AJ17" s="17">
        <v>6.1766729341750308E-2</v>
      </c>
      <c r="AK17" s="16">
        <v>3.6433348495937573E-2</v>
      </c>
      <c r="AL17" s="16">
        <v>-0.62819905283104338</v>
      </c>
      <c r="AM17" s="17">
        <v>-3.7551567646014278E-2</v>
      </c>
      <c r="AN17" s="17">
        <v>6.8371708610143536E-2</v>
      </c>
      <c r="AO17" s="16">
        <v>0.38191854221430838</v>
      </c>
      <c r="AP17" s="16">
        <v>-0.69537505137575972</v>
      </c>
      <c r="AQ17" s="17">
        <v>-4.7954920898685659E-2</v>
      </c>
      <c r="AR17" s="17">
        <v>1.8026310506875309E-2</v>
      </c>
      <c r="AS17" s="16">
        <v>0.48772593608545228</v>
      </c>
      <c r="AT17" s="16">
        <v>-0.18333674628944599</v>
      </c>
      <c r="AU17" s="17">
        <v>-4.7807699933113644E-2</v>
      </c>
      <c r="AV17" s="17">
        <v>4.2871073565977254E-3</v>
      </c>
      <c r="AW17" s="16">
        <v>0.48622862398693556</v>
      </c>
      <c r="AX17" s="16">
        <v>-4.3602062299570234E-2</v>
      </c>
      <c r="AY17" s="17">
        <v>-3.5818343514204738E-3</v>
      </c>
      <c r="AZ17" s="17">
        <v>5.7524593295812776E-2</v>
      </c>
      <c r="BA17" s="16">
        <v>3.6429077125168602E-2</v>
      </c>
      <c r="BB17" s="16">
        <v>-0.58505437163392715</v>
      </c>
      <c r="BC17" s="17">
        <v>-5.3106706276788151E-2</v>
      </c>
      <c r="BD17" s="17">
        <v>4.2874252555701571E-3</v>
      </c>
      <c r="BE17" s="16">
        <v>0.54012221365110358</v>
      </c>
      <c r="BF17" s="16">
        <v>-4.360529549380774E-2</v>
      </c>
      <c r="BH17" s="19">
        <v>-0.23442382345508253</v>
      </c>
      <c r="BI17" s="18">
        <v>2.3842095157849506</v>
      </c>
      <c r="BJ17" s="19">
        <v>-3.5818737551425602E-3</v>
      </c>
      <c r="BK17" s="18">
        <v>3.6429477881063509E-2</v>
      </c>
      <c r="BL17" s="19">
        <v>-3.5819131495890924E-3</v>
      </c>
      <c r="BM17" s="18">
        <v>3.6429878542621308E-2</v>
      </c>
      <c r="BN17" s="19">
        <v>-3.582024853674988E-3</v>
      </c>
      <c r="BO17" s="18">
        <v>3.6431014629989128E-2</v>
      </c>
      <c r="BP17" s="19">
        <v>-3.0093028263110756E-2</v>
      </c>
      <c r="BQ17" s="18">
        <v>0.30606140317236841</v>
      </c>
      <c r="BR17" s="19">
        <v>-3.5822543275427178E-3</v>
      </c>
      <c r="BS17" s="18">
        <v>3.6433348495937573E-2</v>
      </c>
      <c r="BT17" s="19">
        <v>-3.7551567646014278E-2</v>
      </c>
      <c r="BU17" s="18">
        <v>0.38191854221430838</v>
      </c>
      <c r="BV17" s="19">
        <v>-4.7954920898685659E-2</v>
      </c>
      <c r="BW17" s="18">
        <v>0.48772593608545228</v>
      </c>
      <c r="BX17" s="19">
        <v>-4.7807699933113644E-2</v>
      </c>
      <c r="BY17" s="18">
        <v>0.48622862398693556</v>
      </c>
      <c r="BZ17" s="19">
        <v>-3.5818343514204738E-3</v>
      </c>
      <c r="CA17" s="18">
        <v>3.6429077125168602E-2</v>
      </c>
      <c r="CB17" s="19">
        <v>-5.3106706276788151E-2</v>
      </c>
      <c r="CC17" s="18">
        <v>0.54012221365110358</v>
      </c>
      <c r="CD17" s="19">
        <v>35.044000400000002</v>
      </c>
      <c r="CE17" s="18" t="b">
        <v>1</v>
      </c>
    </row>
    <row r="18" spans="1:83" x14ac:dyDescent="0.25">
      <c r="A18" s="15">
        <v>43957</v>
      </c>
      <c r="B18" s="16">
        <v>14830.700194999999</v>
      </c>
      <c r="C18" s="16">
        <v>1.2895694256002256E-3</v>
      </c>
      <c r="D18" s="17">
        <v>-2.1146204477796953E-2</v>
      </c>
      <c r="F18" s="16">
        <v>2.0228309928424119E-4</v>
      </c>
      <c r="G18" s="16">
        <v>1.2895694256002256E-3</v>
      </c>
      <c r="H18" s="16">
        <v>4.5167588335029351E-3</v>
      </c>
      <c r="I18" s="17">
        <v>-2.1146204477796953E-2</v>
      </c>
      <c r="J18" s="17">
        <v>35.830000499999997</v>
      </c>
      <c r="K18" s="16">
        <v>45.214509014035059</v>
      </c>
      <c r="L18" s="17">
        <v>-9.3845085140350619</v>
      </c>
      <c r="M18" s="17">
        <v>-2.1146204477796953E-2</v>
      </c>
      <c r="N18" s="16" t="b">
        <v>1</v>
      </c>
      <c r="O18" s="16" t="b">
        <v>1</v>
      </c>
      <c r="P18" s="17">
        <v>-0.23442382345508253</v>
      </c>
      <c r="Q18" s="16">
        <v>0.19844673596141185</v>
      </c>
      <c r="R18" s="16">
        <v>2.1999523671068744</v>
      </c>
      <c r="S18" s="17">
        <v>-3.8910877398021015E-4</v>
      </c>
      <c r="T18" s="17">
        <v>-3.5818737551425602E-3</v>
      </c>
      <c r="U18" s="16">
        <v>3.6515946023030267E-3</v>
      </c>
      <c r="V18" s="16">
        <v>3.3614124751334094E-2</v>
      </c>
      <c r="W18" s="17">
        <v>-3.8911296934307027E-4</v>
      </c>
      <c r="X18" s="17">
        <v>-3.5819131495890924E-3</v>
      </c>
      <c r="Y18" s="16">
        <v>3.6516339737215071E-3</v>
      </c>
      <c r="Z18" s="16">
        <v>3.3614494448852984E-2</v>
      </c>
      <c r="AA18" s="17">
        <v>-3.8913929979446024E-4</v>
      </c>
      <c r="AB18" s="17">
        <v>-3.582024853674988E-3</v>
      </c>
      <c r="AC18" s="16">
        <v>3.6518810720667545E-3</v>
      </c>
      <c r="AD18" s="16">
        <v>3.3615542736798121E-2</v>
      </c>
      <c r="AE18" s="17">
        <v>-3.3260198391362921E-3</v>
      </c>
      <c r="AF18" s="17">
        <v>-3.0093028263110756E-2</v>
      </c>
      <c r="AG18" s="16">
        <v>3.121306149822406E-2</v>
      </c>
      <c r="AH18" s="16">
        <v>0.28240827994826062</v>
      </c>
      <c r="AI18" s="17">
        <v>-3.8914218522612484E-4</v>
      </c>
      <c r="AJ18" s="17">
        <v>-3.5822543275427178E-3</v>
      </c>
      <c r="AK18" s="16">
        <v>3.6519081504247778E-3</v>
      </c>
      <c r="AL18" s="16">
        <v>3.3617696236263581E-2</v>
      </c>
      <c r="AM18" s="17">
        <v>-3.0322835667519542E-3</v>
      </c>
      <c r="AN18" s="17">
        <v>-3.7551567646014278E-2</v>
      </c>
      <c r="AO18" s="16">
        <v>2.845649094915232E-2</v>
      </c>
      <c r="AP18" s="16">
        <v>0.35240300628938453</v>
      </c>
      <c r="AQ18" s="17">
        <v>-5.3088061077177914E-3</v>
      </c>
      <c r="AR18" s="17">
        <v>-4.7954920898685659E-2</v>
      </c>
      <c r="AS18" s="16">
        <v>4.9820536117238953E-2</v>
      </c>
      <c r="AT18" s="16">
        <v>0.45003336346359346</v>
      </c>
      <c r="AU18" s="17">
        <v>-3.4099239780294166E-3</v>
      </c>
      <c r="AV18" s="17">
        <v>-4.7807699933113644E-2</v>
      </c>
      <c r="AW18" s="16">
        <v>3.200046060402937E-2</v>
      </c>
      <c r="AX18" s="16">
        <v>0.44865176705873844</v>
      </c>
      <c r="AY18" s="17">
        <v>-1.7740851763834208E-3</v>
      </c>
      <c r="AZ18" s="17">
        <v>-3.5818343514204738E-3</v>
      </c>
      <c r="BA18" s="16">
        <v>1.6648917442393607E-2</v>
      </c>
      <c r="BB18" s="16">
        <v>3.3613754966768689E-2</v>
      </c>
      <c r="BC18" s="17">
        <v>-2.7385825814341918E-3</v>
      </c>
      <c r="BD18" s="17">
        <v>-5.3106706276788151E-2</v>
      </c>
      <c r="BE18" s="16">
        <v>2.5700251551857293E-2</v>
      </c>
      <c r="BF18" s="16">
        <v>0.49838033720687769</v>
      </c>
      <c r="BH18" s="19">
        <v>-2.1146204477796953E-2</v>
      </c>
      <c r="BI18" s="18">
        <v>0.19844673596141185</v>
      </c>
      <c r="BJ18" s="19">
        <v>-3.8910877398021015E-4</v>
      </c>
      <c r="BK18" s="18">
        <v>3.6515946023030267E-3</v>
      </c>
      <c r="BL18" s="19">
        <v>-3.8911296934307027E-4</v>
      </c>
      <c r="BM18" s="18">
        <v>3.6516339737215071E-3</v>
      </c>
      <c r="BN18" s="19">
        <v>-3.8913929979446024E-4</v>
      </c>
      <c r="BO18" s="18">
        <v>3.6518810720667545E-3</v>
      </c>
      <c r="BP18" s="19">
        <v>-3.3260198391362921E-3</v>
      </c>
      <c r="BQ18" s="18">
        <v>3.121306149822406E-2</v>
      </c>
      <c r="BR18" s="19">
        <v>-3.8914218522612484E-4</v>
      </c>
      <c r="BS18" s="18">
        <v>3.6519081504247778E-3</v>
      </c>
      <c r="BT18" s="19">
        <v>-3.0322835667519542E-3</v>
      </c>
      <c r="BU18" s="18">
        <v>2.845649094915232E-2</v>
      </c>
      <c r="BV18" s="19">
        <v>-5.3088061077177914E-3</v>
      </c>
      <c r="BW18" s="18">
        <v>4.9820536117238953E-2</v>
      </c>
      <c r="BX18" s="19">
        <v>-3.4099239780294166E-3</v>
      </c>
      <c r="BY18" s="18">
        <v>3.200046060402937E-2</v>
      </c>
      <c r="BZ18" s="19">
        <v>-1.7740851763834208E-3</v>
      </c>
      <c r="CA18" s="18">
        <v>1.6648917442393607E-2</v>
      </c>
      <c r="CB18" s="19">
        <v>-2.7385825814341918E-3</v>
      </c>
      <c r="CC18" s="18">
        <v>2.5700251551857293E-2</v>
      </c>
      <c r="CD18" s="19">
        <v>35.830000499999997</v>
      </c>
      <c r="CE18" s="18" t="b">
        <v>1</v>
      </c>
    </row>
    <row r="19" spans="1:83" x14ac:dyDescent="0.25">
      <c r="A19" s="15">
        <v>43956</v>
      </c>
      <c r="B19" s="16">
        <v>14811.599609000001</v>
      </c>
      <c r="C19" s="16">
        <v>4.5167588335029351E-3</v>
      </c>
      <c r="D19" s="17">
        <v>0.23377028697480759</v>
      </c>
      <c r="F19" s="16">
        <v>1.2895694256002256E-3</v>
      </c>
      <c r="G19" s="16">
        <v>4.5167588335029351E-3</v>
      </c>
      <c r="H19" s="16">
        <v>8.5292501975474666E-3</v>
      </c>
      <c r="I19" s="17">
        <v>0.23377028697480759</v>
      </c>
      <c r="J19" s="17">
        <v>37.010000400000003</v>
      </c>
      <c r="K19" s="16">
        <v>45.214509014035059</v>
      </c>
      <c r="L19" s="17">
        <v>-8.2045086140350563</v>
      </c>
      <c r="M19" s="17">
        <v>0.23377028697480759</v>
      </c>
      <c r="N19" s="16" t="b">
        <v>1</v>
      </c>
      <c r="O19" s="16" t="b">
        <v>1</v>
      </c>
      <c r="P19" s="17">
        <v>-2.1146204477796953E-2</v>
      </c>
      <c r="Q19" s="16">
        <v>-1.917970333190256</v>
      </c>
      <c r="R19" s="16">
        <v>0.17349421679223179</v>
      </c>
      <c r="S19" s="17">
        <v>3.6088494894241986E-3</v>
      </c>
      <c r="T19" s="17">
        <v>-3.8910877398021015E-4</v>
      </c>
      <c r="U19" s="16">
        <v>-2.9608836722736852E-2</v>
      </c>
      <c r="V19" s="16">
        <v>3.1924462879172541E-3</v>
      </c>
      <c r="W19" s="17">
        <v>3.6088050963376506E-3</v>
      </c>
      <c r="X19" s="17">
        <v>-3.8911296934307027E-4</v>
      </c>
      <c r="Y19" s="16">
        <v>-2.9608472499275864E-2</v>
      </c>
      <c r="Z19" s="16">
        <v>3.192480708807979E-3</v>
      </c>
      <c r="AA19" s="17">
        <v>3.6089485401624034E-3</v>
      </c>
      <c r="AB19" s="17">
        <v>-3.8913929979446024E-4</v>
      </c>
      <c r="AC19" s="16">
        <v>-2.9609649385371681E-2</v>
      </c>
      <c r="AD19" s="16">
        <v>3.1926967372232192E-3</v>
      </c>
      <c r="AE19" s="17">
        <v>4.9249058986688923E-2</v>
      </c>
      <c r="AF19" s="17">
        <v>-3.3260198391362921E-3</v>
      </c>
      <c r="AG19" s="16">
        <v>-0.40406432868940989</v>
      </c>
      <c r="AH19" s="16">
        <v>2.7288358420645201E-2</v>
      </c>
      <c r="AI19" s="17">
        <v>2.1912741931488986E-2</v>
      </c>
      <c r="AJ19" s="17">
        <v>-3.8914218522612484E-4</v>
      </c>
      <c r="AK19" s="16">
        <v>-0.17978327993402857</v>
      </c>
      <c r="AL19" s="16">
        <v>3.1927204107721667E-3</v>
      </c>
      <c r="AM19" s="17">
        <v>5.4628504603161543E-2</v>
      </c>
      <c r="AN19" s="17">
        <v>-3.0322835667519542E-3</v>
      </c>
      <c r="AO19" s="16">
        <v>-0.44820003658849261</v>
      </c>
      <c r="AP19" s="16">
        <v>2.4878396643613354E-2</v>
      </c>
      <c r="AQ19" s="17">
        <v>3.609258504372076E-3</v>
      </c>
      <c r="AR19" s="17">
        <v>-5.3088061077177914E-3</v>
      </c>
      <c r="AS19" s="16">
        <v>-2.9612192489399981E-2</v>
      </c>
      <c r="AT19" s="16">
        <v>4.3556145441012536E-2</v>
      </c>
      <c r="AU19" s="17">
        <v>2.633635457388734E-2</v>
      </c>
      <c r="AV19" s="17">
        <v>-3.4099239780294166E-3</v>
      </c>
      <c r="AW19" s="16">
        <v>-0.21607684796374024</v>
      </c>
      <c r="AX19" s="16">
        <v>2.7976750650947034E-2</v>
      </c>
      <c r="AY19" s="17">
        <v>4.6652164569905376E-2</v>
      </c>
      <c r="AZ19" s="17">
        <v>-1.7740851763834208E-3</v>
      </c>
      <c r="BA19" s="16">
        <v>-0.38275808607716971</v>
      </c>
      <c r="BB19" s="16">
        <v>1.4555497111669678E-2</v>
      </c>
      <c r="BC19" s="17">
        <v>2.0555600679378824E-2</v>
      </c>
      <c r="BD19" s="17">
        <v>-2.7385825814341918E-3</v>
      </c>
      <c r="BE19" s="16">
        <v>-0.16864860284062841</v>
      </c>
      <c r="BF19" s="16">
        <v>2.2468724379623189E-2</v>
      </c>
      <c r="BH19" s="19">
        <v>0.23377028697480759</v>
      </c>
      <c r="BI19" s="18">
        <v>-1.917970333190256</v>
      </c>
      <c r="BJ19" s="19">
        <v>3.6088494894241986E-3</v>
      </c>
      <c r="BK19" s="18">
        <v>-2.9608836722736852E-2</v>
      </c>
      <c r="BL19" s="19">
        <v>3.6088050963376506E-3</v>
      </c>
      <c r="BM19" s="18">
        <v>-2.9608472499275864E-2</v>
      </c>
      <c r="BN19" s="19">
        <v>3.6089485401624034E-3</v>
      </c>
      <c r="BO19" s="18">
        <v>-2.9609649385371681E-2</v>
      </c>
      <c r="BP19" s="19">
        <v>4.9249058986688923E-2</v>
      </c>
      <c r="BQ19" s="18">
        <v>-0.40406432868940989</v>
      </c>
      <c r="BR19" s="19">
        <v>2.1912741931488986E-2</v>
      </c>
      <c r="BS19" s="18">
        <v>-0.17978327993402857</v>
      </c>
      <c r="BT19" s="19">
        <v>5.4628504603161543E-2</v>
      </c>
      <c r="BU19" s="18">
        <v>-0.44820003658849261</v>
      </c>
      <c r="BV19" s="19">
        <v>3.609258504372076E-3</v>
      </c>
      <c r="BW19" s="18">
        <v>-2.9612192489399981E-2</v>
      </c>
      <c r="BX19" s="19">
        <v>2.633635457388734E-2</v>
      </c>
      <c r="BY19" s="18">
        <v>-0.21607684796374024</v>
      </c>
      <c r="BZ19" s="19">
        <v>4.6652164569905376E-2</v>
      </c>
      <c r="CA19" s="18">
        <v>-0.38275808607716971</v>
      </c>
      <c r="CB19" s="19">
        <v>2.0555600679378824E-2</v>
      </c>
      <c r="CC19" s="18">
        <v>-0.16864860284062841</v>
      </c>
      <c r="CD19" s="19">
        <v>37.010000400000003</v>
      </c>
      <c r="CE19" s="18" t="b">
        <v>1</v>
      </c>
    </row>
    <row r="20" spans="1:83" x14ac:dyDescent="0.25">
      <c r="A20" s="15">
        <v>43955</v>
      </c>
      <c r="B20" s="16">
        <v>14745</v>
      </c>
      <c r="C20" s="16">
        <v>8.5292501975474666E-3</v>
      </c>
      <c r="D20" s="17">
        <v>-0.15081174378948553</v>
      </c>
      <c r="F20" s="16">
        <v>4.5167588335029351E-3</v>
      </c>
      <c r="G20" s="16">
        <v>8.5292501975474666E-3</v>
      </c>
      <c r="H20" s="16">
        <v>-1.0852015661224153E-2</v>
      </c>
      <c r="I20" s="17">
        <v>-0.15081174378948553</v>
      </c>
      <c r="J20" s="17">
        <v>37.796000499999998</v>
      </c>
      <c r="K20" s="16">
        <v>45.214509014035059</v>
      </c>
      <c r="L20" s="17">
        <v>-7.4185085140350608</v>
      </c>
      <c r="M20" s="17">
        <v>-0.15081174378948553</v>
      </c>
      <c r="N20" s="16" t="b">
        <v>1</v>
      </c>
      <c r="O20" s="16" t="b">
        <v>1</v>
      </c>
      <c r="P20" s="17">
        <v>0.23377028697480759</v>
      </c>
      <c r="Q20" s="16">
        <v>1.1187982053187726</v>
      </c>
      <c r="R20" s="16">
        <v>-1.7342268642510297</v>
      </c>
      <c r="S20" s="17">
        <v>-3.4534087849418436E-3</v>
      </c>
      <c r="T20" s="17">
        <v>3.6088494894241986E-3</v>
      </c>
      <c r="U20" s="16">
        <v>2.5619142473534542E-2</v>
      </c>
      <c r="V20" s="16">
        <v>-2.6772280663164498E-2</v>
      </c>
      <c r="W20" s="17">
        <v>-3.4532711014385658E-3</v>
      </c>
      <c r="X20" s="17">
        <v>3.6088050963376506E-3</v>
      </c>
      <c r="Y20" s="16">
        <v>2.5618121067293234E-2</v>
      </c>
      <c r="Z20" s="16">
        <v>-2.6771951332673977E-2</v>
      </c>
      <c r="AA20" s="17">
        <v>-1.9611588317032309E-2</v>
      </c>
      <c r="AB20" s="17">
        <v>3.6089485401624034E-3</v>
      </c>
      <c r="AC20" s="16">
        <v>0.14548873490365472</v>
      </c>
      <c r="AD20" s="16">
        <v>-2.6773015471909193E-2</v>
      </c>
      <c r="AE20" s="17">
        <v>-2.0688179906048758E-2</v>
      </c>
      <c r="AF20" s="17">
        <v>4.9249058986688923E-2</v>
      </c>
      <c r="AG20" s="16">
        <v>0.15347543877291178</v>
      </c>
      <c r="AH20" s="16">
        <v>-0.36535456340096673</v>
      </c>
      <c r="AI20" s="17">
        <v>-3.4533069211431914E-3</v>
      </c>
      <c r="AJ20" s="17">
        <v>2.1912741931488986E-2</v>
      </c>
      <c r="AK20" s="16">
        <v>2.5618386796076968E-2</v>
      </c>
      <c r="AL20" s="16">
        <v>-0.16255986258460411</v>
      </c>
      <c r="AM20" s="17">
        <v>-4.0557135635876235E-2</v>
      </c>
      <c r="AN20" s="17">
        <v>5.4628504603161543E-2</v>
      </c>
      <c r="AO20" s="16">
        <v>0.30087345601962262</v>
      </c>
      <c r="AP20" s="16">
        <v>-0.40526202650755744</v>
      </c>
      <c r="AQ20" s="17">
        <v>-2.2304570133900411E-2</v>
      </c>
      <c r="AR20" s="17">
        <v>3.609258504372076E-3</v>
      </c>
      <c r="AS20" s="16">
        <v>0.16546664344023235</v>
      </c>
      <c r="AT20" s="16">
        <v>-2.6775314944037697E-2</v>
      </c>
      <c r="AU20" s="17">
        <v>-3.4533926186746367E-3</v>
      </c>
      <c r="AV20" s="17">
        <v>2.633635457388734E-2</v>
      </c>
      <c r="AW20" s="16">
        <v>2.5619022543943628E-2</v>
      </c>
      <c r="AX20" s="16">
        <v>-0.19537647063502944</v>
      </c>
      <c r="AY20" s="17">
        <v>-3.0383161021022721E-2</v>
      </c>
      <c r="AZ20" s="17">
        <v>4.6652164569905376E-2</v>
      </c>
      <c r="BA20" s="16">
        <v>0.22539773871775526</v>
      </c>
      <c r="BB20" s="16">
        <v>-0.34608948006000784</v>
      </c>
      <c r="BC20" s="17">
        <v>-3.4537293494067284E-3</v>
      </c>
      <c r="BD20" s="17">
        <v>2.0555600679378824E-2</v>
      </c>
      <c r="BE20" s="16">
        <v>2.5621520583746588E-2</v>
      </c>
      <c r="BF20" s="16">
        <v>-0.15249189865107668</v>
      </c>
      <c r="BH20" s="19">
        <v>-0.15081174378948553</v>
      </c>
      <c r="BI20" s="18">
        <v>1.1187982053187726</v>
      </c>
      <c r="BJ20" s="19">
        <v>-3.4534087849418436E-3</v>
      </c>
      <c r="BK20" s="18">
        <v>2.5619142473534542E-2</v>
      </c>
      <c r="BL20" s="19">
        <v>-3.4532711014385658E-3</v>
      </c>
      <c r="BM20" s="18">
        <v>2.5618121067293234E-2</v>
      </c>
      <c r="BN20" s="19">
        <v>-1.9611588317032309E-2</v>
      </c>
      <c r="BO20" s="18">
        <v>0.14548873490365472</v>
      </c>
      <c r="BP20" s="19">
        <v>-2.0688179906048758E-2</v>
      </c>
      <c r="BQ20" s="18">
        <v>0.15347543877291178</v>
      </c>
      <c r="BR20" s="19">
        <v>-3.4533069211431914E-3</v>
      </c>
      <c r="BS20" s="18">
        <v>2.5618386796076968E-2</v>
      </c>
      <c r="BT20" s="19">
        <v>-4.0557135635876235E-2</v>
      </c>
      <c r="BU20" s="18">
        <v>0.30087345601962262</v>
      </c>
      <c r="BV20" s="19">
        <v>-2.2304570133900411E-2</v>
      </c>
      <c r="BW20" s="18">
        <v>0.16546664344023235</v>
      </c>
      <c r="BX20" s="19">
        <v>-3.4533926186746367E-3</v>
      </c>
      <c r="BY20" s="18">
        <v>2.5619022543943628E-2</v>
      </c>
      <c r="BZ20" s="19">
        <v>-3.0383161021022721E-2</v>
      </c>
      <c r="CA20" s="18">
        <v>0.22539773871775526</v>
      </c>
      <c r="CB20" s="19">
        <v>-3.4537293494067284E-3</v>
      </c>
      <c r="CC20" s="18">
        <v>2.5621520583746588E-2</v>
      </c>
      <c r="CD20" s="19">
        <v>37.796000499999998</v>
      </c>
      <c r="CE20" s="18" t="b">
        <v>1</v>
      </c>
    </row>
    <row r="21" spans="1:83" x14ac:dyDescent="0.25">
      <c r="A21" s="15">
        <v>43952</v>
      </c>
      <c r="B21" s="16">
        <v>14620.299805000001</v>
      </c>
      <c r="C21" s="16">
        <v>-1.0852015661224153E-2</v>
      </c>
      <c r="D21" s="17">
        <v>-0.15819044224917889</v>
      </c>
      <c r="F21" s="16">
        <v>8.5292501975474666E-3</v>
      </c>
      <c r="G21" s="16">
        <v>-1.0852015661224153E-2</v>
      </c>
      <c r="H21" s="16">
        <v>-2.9379858648651246E-2</v>
      </c>
      <c r="I21" s="17">
        <v>-0.15819044224917889</v>
      </c>
      <c r="J21" s="17">
        <v>37.892000799999991</v>
      </c>
      <c r="K21" s="16">
        <v>45.214509014035059</v>
      </c>
      <c r="L21" s="17">
        <v>-7.3225082140350679</v>
      </c>
      <c r="M21" s="17">
        <v>-0.15819044224917889</v>
      </c>
      <c r="N21" s="16" t="b">
        <v>1</v>
      </c>
      <c r="O21" s="16" t="b">
        <v>1</v>
      </c>
      <c r="P21" s="17">
        <v>-0.15081174378948553</v>
      </c>
      <c r="Q21" s="16">
        <v>1.1583508127514524</v>
      </c>
      <c r="R21" s="16">
        <v>1.1043202326714598</v>
      </c>
      <c r="S21" s="17">
        <v>-2.4350381749567275E-3</v>
      </c>
      <c r="T21" s="17">
        <v>-3.4534087849418436E-3</v>
      </c>
      <c r="U21" s="16">
        <v>1.7830587037609598E-2</v>
      </c>
      <c r="V21" s="16">
        <v>2.5287614194157513E-2</v>
      </c>
      <c r="W21" s="17">
        <v>-2.434916385736674E-3</v>
      </c>
      <c r="X21" s="17">
        <v>-3.4532711014385658E-3</v>
      </c>
      <c r="Y21" s="16">
        <v>1.7829695235045375E-2</v>
      </c>
      <c r="Z21" s="16">
        <v>2.5286606005573826E-2</v>
      </c>
      <c r="AA21" s="17">
        <v>-2.4349354257541199E-3</v>
      </c>
      <c r="AB21" s="17">
        <v>-1.9611588317032309E-2</v>
      </c>
      <c r="AC21" s="16">
        <v>1.7829834655729519E-2</v>
      </c>
      <c r="AD21" s="16">
        <v>0.14360601654174326</v>
      </c>
      <c r="AE21" s="17">
        <v>-2.4350595179123964E-3</v>
      </c>
      <c r="AF21" s="17">
        <v>-2.0688179906048758E-2</v>
      </c>
      <c r="AG21" s="16">
        <v>1.7830743321577795E-2</v>
      </c>
      <c r="AH21" s="16">
        <v>0.15148936729547727</v>
      </c>
      <c r="AI21" s="17">
        <v>-2.4350351032987961E-3</v>
      </c>
      <c r="AJ21" s="17">
        <v>-3.4533069211431914E-3</v>
      </c>
      <c r="AK21" s="16">
        <v>1.7830564545369163E-2</v>
      </c>
      <c r="AL21" s="16">
        <v>2.5286868295655171E-2</v>
      </c>
      <c r="AM21" s="17">
        <v>-2.2773682925267318E-2</v>
      </c>
      <c r="AN21" s="17">
        <v>-4.0557135635876235E-2</v>
      </c>
      <c r="AO21" s="16">
        <v>0.16676048028410009</v>
      </c>
      <c r="AP21" s="16">
        <v>0.29697995883143807</v>
      </c>
      <c r="AQ21" s="17">
        <v>-7.90261940704437E-2</v>
      </c>
      <c r="AR21" s="17">
        <v>-2.2304570133900411E-2</v>
      </c>
      <c r="AS21" s="16">
        <v>0.57866995520475339</v>
      </c>
      <c r="AT21" s="16">
        <v>0.16332539801600701</v>
      </c>
      <c r="AU21" s="17">
        <v>-2.4350827829411996E-3</v>
      </c>
      <c r="AV21" s="17">
        <v>-3.4533926186746367E-3</v>
      </c>
      <c r="AW21" s="16">
        <v>1.7830913679942308E-2</v>
      </c>
      <c r="AX21" s="16">
        <v>2.5287495816533102E-2</v>
      </c>
      <c r="AY21" s="17">
        <v>-2.1266942193614767E-2</v>
      </c>
      <c r="AZ21" s="17">
        <v>-3.0383161021022721E-2</v>
      </c>
      <c r="BA21" s="16">
        <v>0.1557273589001531</v>
      </c>
      <c r="BB21" s="16">
        <v>0.22248094614478897</v>
      </c>
      <c r="BC21" s="17">
        <v>-2.0513555669253079E-2</v>
      </c>
      <c r="BD21" s="17">
        <v>-3.4537293494067284E-3</v>
      </c>
      <c r="BE21" s="16">
        <v>0.15021067988717129</v>
      </c>
      <c r="BF21" s="16">
        <v>2.528996153008476E-2</v>
      </c>
      <c r="BH21" s="19">
        <v>-0.15819044224917889</v>
      </c>
      <c r="BI21" s="18">
        <v>1.1583508127514524</v>
      </c>
      <c r="BJ21" s="19">
        <v>-2.4350381749567275E-3</v>
      </c>
      <c r="BK21" s="18">
        <v>1.7830587037609598E-2</v>
      </c>
      <c r="BL21" s="19">
        <v>-2.434916385736674E-3</v>
      </c>
      <c r="BM21" s="18">
        <v>1.7829695235045375E-2</v>
      </c>
      <c r="BN21" s="19">
        <v>-2.4349354257541199E-3</v>
      </c>
      <c r="BO21" s="18">
        <v>1.7829834655729519E-2</v>
      </c>
      <c r="BP21" s="19">
        <v>-2.4350595179123964E-3</v>
      </c>
      <c r="BQ21" s="18">
        <v>1.7830743321577795E-2</v>
      </c>
      <c r="BR21" s="19">
        <v>-2.4350351032987961E-3</v>
      </c>
      <c r="BS21" s="18">
        <v>1.7830564545369163E-2</v>
      </c>
      <c r="BT21" s="19">
        <v>-2.2773682925267318E-2</v>
      </c>
      <c r="BU21" s="18">
        <v>0.16676048028410009</v>
      </c>
      <c r="BV21" s="19">
        <v>-7.90261940704437E-2</v>
      </c>
      <c r="BW21" s="18">
        <v>0.57866995520475339</v>
      </c>
      <c r="BX21" s="19">
        <v>-2.4350827829411996E-3</v>
      </c>
      <c r="BY21" s="18">
        <v>1.7830913679942308E-2</v>
      </c>
      <c r="BZ21" s="19">
        <v>-2.1266942193614767E-2</v>
      </c>
      <c r="CA21" s="18">
        <v>0.1557273589001531</v>
      </c>
      <c r="CB21" s="19">
        <v>-2.0513555669253079E-2</v>
      </c>
      <c r="CC21" s="18">
        <v>0.15021067988717129</v>
      </c>
      <c r="CD21" s="19">
        <v>37.892000799999991</v>
      </c>
      <c r="CE21" s="18" t="b">
        <v>1</v>
      </c>
    </row>
    <row r="22" spans="1:83" x14ac:dyDescent="0.25">
      <c r="A22" s="15">
        <v>43951</v>
      </c>
      <c r="B22" s="16">
        <v>14780.700194999999</v>
      </c>
      <c r="C22" s="16">
        <v>-2.9379858648651246E-2</v>
      </c>
      <c r="D22" s="17">
        <v>-0.11695043928921223</v>
      </c>
      <c r="F22" s="16">
        <v>-1.0852015661224153E-2</v>
      </c>
      <c r="G22" s="16">
        <v>-2.9379858648651246E-2</v>
      </c>
      <c r="H22" s="16">
        <v>2.904386379946032E-2</v>
      </c>
      <c r="I22" s="17">
        <v>-0.11695043928921223</v>
      </c>
      <c r="J22" s="17">
        <v>38.488000700000001</v>
      </c>
      <c r="K22" s="16">
        <v>45.214509014035059</v>
      </c>
      <c r="L22" s="17">
        <v>-6.7265083140350583</v>
      </c>
      <c r="M22" s="17">
        <v>-0.11695043928921223</v>
      </c>
      <c r="N22" s="16" t="b">
        <v>1</v>
      </c>
      <c r="O22" s="16" t="b">
        <v>1</v>
      </c>
      <c r="P22" s="17">
        <v>-0.15819044224917889</v>
      </c>
      <c r="Q22" s="16">
        <v>0.78666810220893835</v>
      </c>
      <c r="R22" s="16">
        <v>1.0640693249899846</v>
      </c>
      <c r="S22" s="17">
        <v>-2.0812126079932354E-3</v>
      </c>
      <c r="T22" s="17">
        <v>-2.4350381749567275E-3</v>
      </c>
      <c r="U22" s="16">
        <v>1.3999293910941084E-2</v>
      </c>
      <c r="V22" s="16">
        <v>1.6379304528839182E-2</v>
      </c>
      <c r="W22" s="17">
        <v>-6.257889059890118E-3</v>
      </c>
      <c r="X22" s="17">
        <v>-2.434916385736674E-3</v>
      </c>
      <c r="Y22" s="16">
        <v>4.2093742789659917E-2</v>
      </c>
      <c r="Z22" s="16">
        <v>1.6378485312637935E-2</v>
      </c>
      <c r="AA22" s="17">
        <v>-1.461115374105099E-2</v>
      </c>
      <c r="AB22" s="17">
        <v>-2.4349354257541199E-3</v>
      </c>
      <c r="AC22" s="16">
        <v>9.8282047116823923E-2</v>
      </c>
      <c r="AD22" s="16">
        <v>1.6378613385473584E-2</v>
      </c>
      <c r="AE22" s="17">
        <v>-2.081331569868099E-3</v>
      </c>
      <c r="AF22" s="17">
        <v>-2.4350595179123964E-3</v>
      </c>
      <c r="AG22" s="16">
        <v>1.4000094108981408E-2</v>
      </c>
      <c r="AH22" s="16">
        <v>1.6379448092407937E-2</v>
      </c>
      <c r="AI22" s="17">
        <v>-1.544661453000408E-2</v>
      </c>
      <c r="AJ22" s="17">
        <v>-2.4350351032987961E-3</v>
      </c>
      <c r="AK22" s="16">
        <v>0.10390178105976718</v>
      </c>
      <c r="AL22" s="16">
        <v>1.6379283867306568E-2</v>
      </c>
      <c r="AM22" s="17">
        <v>-1.4519914710862706E-2</v>
      </c>
      <c r="AN22" s="17">
        <v>-2.2773682925267318E-2</v>
      </c>
      <c r="AO22" s="16">
        <v>9.7668327021697934E-2</v>
      </c>
      <c r="AP22" s="16">
        <v>0.15318736753800885</v>
      </c>
      <c r="AQ22" s="17">
        <v>-2.2600957416418328E-2</v>
      </c>
      <c r="AR22" s="17">
        <v>-7.90261940704437E-2</v>
      </c>
      <c r="AS22" s="16">
        <v>0.15202552796669019</v>
      </c>
      <c r="AT22" s="16">
        <v>0.53157035144138753</v>
      </c>
      <c r="AU22" s="17">
        <v>-1.0334566524224502E-2</v>
      </c>
      <c r="AV22" s="17">
        <v>-2.4350827829411996E-3</v>
      </c>
      <c r="AW22" s="16">
        <v>6.9515547647144516E-2</v>
      </c>
      <c r="AX22" s="16">
        <v>1.6379604584817607E-2</v>
      </c>
      <c r="AY22" s="17">
        <v>-2.4755316678171657E-2</v>
      </c>
      <c r="AZ22" s="17">
        <v>-2.1266942193614767E-2</v>
      </c>
      <c r="BA22" s="16">
        <v>0.1665168434522924</v>
      </c>
      <c r="BB22" s="16">
        <v>0.14305226347945271</v>
      </c>
      <c r="BC22" s="17">
        <v>-4.2614824507283683E-3</v>
      </c>
      <c r="BD22" s="17">
        <v>-2.0513555669253079E-2</v>
      </c>
      <c r="BE22" s="16">
        <v>2.8664897134938864E-2</v>
      </c>
      <c r="BF22" s="16">
        <v>0.13798460275965185</v>
      </c>
      <c r="BH22" s="19">
        <v>-0.11695043928921223</v>
      </c>
      <c r="BI22" s="18">
        <v>0.78666810220893835</v>
      </c>
      <c r="BJ22" s="19">
        <v>-2.0812126079932354E-3</v>
      </c>
      <c r="BK22" s="18">
        <v>1.3999293910941084E-2</v>
      </c>
      <c r="BL22" s="19">
        <v>-6.257889059890118E-3</v>
      </c>
      <c r="BM22" s="18">
        <v>4.2093742789659917E-2</v>
      </c>
      <c r="BN22" s="19">
        <v>-1.461115374105099E-2</v>
      </c>
      <c r="BO22" s="18">
        <v>9.8282047116823923E-2</v>
      </c>
      <c r="BP22" s="19">
        <v>-2.081331569868099E-3</v>
      </c>
      <c r="BQ22" s="18">
        <v>1.4000094108981408E-2</v>
      </c>
      <c r="BR22" s="19">
        <v>-1.544661453000408E-2</v>
      </c>
      <c r="BS22" s="18">
        <v>0.10390178105976718</v>
      </c>
      <c r="BT22" s="19">
        <v>-1.4519914710862706E-2</v>
      </c>
      <c r="BU22" s="18">
        <v>9.7668327021697934E-2</v>
      </c>
      <c r="BV22" s="19">
        <v>-2.2600957416418328E-2</v>
      </c>
      <c r="BW22" s="18">
        <v>0.15202552796669019</v>
      </c>
      <c r="BX22" s="19">
        <v>-1.0334566524224502E-2</v>
      </c>
      <c r="BY22" s="18">
        <v>6.9515547647144516E-2</v>
      </c>
      <c r="BZ22" s="19">
        <v>-2.4755316678171657E-2</v>
      </c>
      <c r="CA22" s="18">
        <v>0.1665168434522924</v>
      </c>
      <c r="CB22" s="19">
        <v>-4.2614824507283683E-3</v>
      </c>
      <c r="CC22" s="18">
        <v>2.8664897134938864E-2</v>
      </c>
      <c r="CD22" s="19">
        <v>38.488000700000001</v>
      </c>
      <c r="CE22" s="18" t="b">
        <v>1</v>
      </c>
    </row>
    <row r="23" spans="1:83" x14ac:dyDescent="0.25">
      <c r="A23" s="15">
        <v>43950</v>
      </c>
      <c r="B23" s="16">
        <v>15228.099609000001</v>
      </c>
      <c r="C23" s="16">
        <v>2.904386379946032E-2</v>
      </c>
      <c r="D23" s="17">
        <v>6.6089130705222487E-3</v>
      </c>
      <c r="F23" s="16">
        <v>-2.9379858648651246E-2</v>
      </c>
      <c r="G23" s="16">
        <v>2.904386379946032E-2</v>
      </c>
      <c r="H23" s="16">
        <v>1.0667882350970269E-2</v>
      </c>
      <c r="I23" s="17">
        <v>6.6089130705222487E-3</v>
      </c>
      <c r="J23" s="17">
        <v>39.449000699999999</v>
      </c>
      <c r="K23" s="16">
        <v>45.214509014035059</v>
      </c>
      <c r="L23" s="17">
        <v>-5.7655083140350598</v>
      </c>
      <c r="M23" s="17">
        <v>6.6089130705222487E-3</v>
      </c>
      <c r="N23" s="16" t="b">
        <v>1</v>
      </c>
      <c r="O23" s="16" t="b">
        <v>1</v>
      </c>
      <c r="P23" s="17">
        <v>-0.11695043928921223</v>
      </c>
      <c r="Q23" s="16">
        <v>-3.8103743254830999E-2</v>
      </c>
      <c r="R23" s="16">
        <v>0.67427873005200556</v>
      </c>
      <c r="S23" s="17">
        <v>8.937230388307014E-5</v>
      </c>
      <c r="T23" s="17">
        <v>-2.0812126079932354E-3</v>
      </c>
      <c r="U23" s="16">
        <v>-5.1527676108230878E-4</v>
      </c>
      <c r="V23" s="16">
        <v>1.1999248594659589E-2</v>
      </c>
      <c r="W23" s="17">
        <v>8.9372641890552197E-5</v>
      </c>
      <c r="X23" s="17">
        <v>-6.257889059890118E-3</v>
      </c>
      <c r="Y23" s="16">
        <v>-5.1527870986725675E-4</v>
      </c>
      <c r="Z23" s="16">
        <v>3.607991140310552E-2</v>
      </c>
      <c r="AA23" s="17">
        <v>8.9373622720029892E-5</v>
      </c>
      <c r="AB23" s="17">
        <v>-1.461115374105099E-2</v>
      </c>
      <c r="AC23" s="16">
        <v>-5.1528436484776503E-4</v>
      </c>
      <c r="AD23" s="16">
        <v>8.4240728371673942E-2</v>
      </c>
      <c r="AE23" s="17">
        <v>7.7778522529771551E-4</v>
      </c>
      <c r="AF23" s="17">
        <v>-2.081331569868099E-3</v>
      </c>
      <c r="AG23" s="16">
        <v>-4.4843271829876109E-3</v>
      </c>
      <c r="AH23" s="16">
        <v>1.1999934470338168E-2</v>
      </c>
      <c r="AI23" s="17">
        <v>1.4845565839900461E-3</v>
      </c>
      <c r="AJ23" s="17">
        <v>-1.544661453000408E-2</v>
      </c>
      <c r="AK23" s="16">
        <v>-8.5592233276500992E-3</v>
      </c>
      <c r="AL23" s="16">
        <v>8.9057584496433279E-2</v>
      </c>
      <c r="AM23" s="17">
        <v>8.9381489120113447E-5</v>
      </c>
      <c r="AN23" s="17">
        <v>-1.4519914710862706E-2</v>
      </c>
      <c r="AO23" s="16">
        <v>-5.1532971864284827E-4</v>
      </c>
      <c r="AP23" s="16">
        <v>8.3714688984558902E-2</v>
      </c>
      <c r="AQ23" s="17">
        <v>8.122242888256425E-4</v>
      </c>
      <c r="AR23" s="17">
        <v>-2.2600957416418328E-2</v>
      </c>
      <c r="AS23" s="16">
        <v>-4.6828858900854553E-3</v>
      </c>
      <c r="AT23" s="16">
        <v>0.13030600788951222</v>
      </c>
      <c r="AU23" s="17">
        <v>2.998102294521794E-3</v>
      </c>
      <c r="AV23" s="17">
        <v>-1.0334566524224502E-2</v>
      </c>
      <c r="AW23" s="16">
        <v>-1.7285583705392994E-2</v>
      </c>
      <c r="AX23" s="16">
        <v>5.9584029217364776E-2</v>
      </c>
      <c r="AY23" s="17">
        <v>8.9372420664605916E-5</v>
      </c>
      <c r="AZ23" s="17">
        <v>-2.4755316678171657E-2</v>
      </c>
      <c r="BA23" s="16">
        <v>-5.1527743438722418E-4</v>
      </c>
      <c r="BB23" s="16">
        <v>0.14272698412456947</v>
      </c>
      <c r="BC23" s="17">
        <v>8.9372199608673595E-5</v>
      </c>
      <c r="BD23" s="17">
        <v>-4.2614824507283683E-3</v>
      </c>
      <c r="BE23" s="16">
        <v>-5.1527615988740849E-4</v>
      </c>
      <c r="BF23" s="16">
        <v>2.4569612499788909E-2</v>
      </c>
      <c r="BH23" s="19">
        <v>6.6089130705222487E-3</v>
      </c>
      <c r="BI23" s="18">
        <v>-3.8103743254830999E-2</v>
      </c>
      <c r="BJ23" s="19">
        <v>8.937230388307014E-5</v>
      </c>
      <c r="BK23" s="18">
        <v>-5.1527676108230878E-4</v>
      </c>
      <c r="BL23" s="19">
        <v>8.9372641890552197E-5</v>
      </c>
      <c r="BM23" s="18">
        <v>-5.1527870986725675E-4</v>
      </c>
      <c r="BN23" s="19">
        <v>8.9373622720029892E-5</v>
      </c>
      <c r="BO23" s="18">
        <v>-5.1528436484776503E-4</v>
      </c>
      <c r="BP23" s="19">
        <v>7.7778522529771551E-4</v>
      </c>
      <c r="BQ23" s="18">
        <v>-4.4843271829876109E-3</v>
      </c>
      <c r="BR23" s="19">
        <v>1.4845565839900461E-3</v>
      </c>
      <c r="BS23" s="18">
        <v>-8.5592233276500992E-3</v>
      </c>
      <c r="BT23" s="19">
        <v>8.9381489120113447E-5</v>
      </c>
      <c r="BU23" s="18">
        <v>-5.1532971864284827E-4</v>
      </c>
      <c r="BV23" s="19">
        <v>8.122242888256425E-4</v>
      </c>
      <c r="BW23" s="18">
        <v>-4.6828858900854553E-3</v>
      </c>
      <c r="BX23" s="19">
        <v>2.998102294521794E-3</v>
      </c>
      <c r="BY23" s="18">
        <v>-1.7285583705392994E-2</v>
      </c>
      <c r="BZ23" s="19">
        <v>8.9372420664605916E-5</v>
      </c>
      <c r="CA23" s="18">
        <v>-5.1527743438722418E-4</v>
      </c>
      <c r="CB23" s="19">
        <v>8.9372199608673595E-5</v>
      </c>
      <c r="CC23" s="18">
        <v>-5.1527615988740849E-4</v>
      </c>
      <c r="CD23" s="19">
        <v>39.449000699999999</v>
      </c>
      <c r="CE23" s="18" t="b">
        <v>1</v>
      </c>
    </row>
    <row r="24" spans="1:83" x14ac:dyDescent="0.25">
      <c r="A24" s="15">
        <v>43949</v>
      </c>
      <c r="B24" s="16">
        <v>14798.299805000001</v>
      </c>
      <c r="C24" s="16">
        <v>1.0667882350970269E-2</v>
      </c>
      <c r="D24" s="17">
        <v>-0.16266929442062975</v>
      </c>
      <c r="F24" s="16">
        <v>2.904386379946032E-2</v>
      </c>
      <c r="G24" s="16">
        <v>1.0667882350970269E-2</v>
      </c>
      <c r="H24" s="16">
        <v>1.5373998778727917E-2</v>
      </c>
      <c r="I24" s="17">
        <v>-0.16266929442062975</v>
      </c>
      <c r="J24" s="17">
        <v>39.868000500000008</v>
      </c>
      <c r="K24" s="16">
        <v>45.214509014035059</v>
      </c>
      <c r="L24" s="17">
        <v>-5.346508514035051</v>
      </c>
      <c r="M24" s="17">
        <v>-0.16266929442062975</v>
      </c>
      <c r="N24" s="16" t="b">
        <v>1</v>
      </c>
      <c r="O24" s="16" t="b">
        <v>1</v>
      </c>
      <c r="P24" s="17">
        <v>6.6089130705222487E-3</v>
      </c>
      <c r="Q24" s="16">
        <v>0.86971276759197136</v>
      </c>
      <c r="R24" s="16">
        <v>-3.5334610000064735E-2</v>
      </c>
      <c r="S24" s="17">
        <v>-2.3627441199868299E-3</v>
      </c>
      <c r="T24" s="17">
        <v>8.937230388307014E-5</v>
      </c>
      <c r="U24" s="16">
        <v>1.263243155399584E-2</v>
      </c>
      <c r="V24" s="16">
        <v>-4.7782978362976235E-4</v>
      </c>
      <c r="W24" s="17">
        <v>-2.3627544575136358E-3</v>
      </c>
      <c r="X24" s="17">
        <v>8.9372641890552197E-5</v>
      </c>
      <c r="Y24" s="16">
        <v>1.2632486823670921E-2</v>
      </c>
      <c r="Z24" s="16">
        <v>-4.7783159078964297E-4</v>
      </c>
      <c r="AA24" s="17">
        <v>-2.3628370573706733E-3</v>
      </c>
      <c r="AB24" s="17">
        <v>8.9373622720029892E-5</v>
      </c>
      <c r="AC24" s="16">
        <v>1.2632928444509832E-2</v>
      </c>
      <c r="AD24" s="16">
        <v>-4.7783683480279632E-4</v>
      </c>
      <c r="AE24" s="17">
        <v>-6.7563955073636547E-3</v>
      </c>
      <c r="AF24" s="17">
        <v>7.7778522529771551E-4</v>
      </c>
      <c r="AG24" s="16">
        <v>3.612312610430795E-2</v>
      </c>
      <c r="AH24" s="16">
        <v>-4.158435329144906E-3</v>
      </c>
      <c r="AI24" s="17">
        <v>-2.6888049640044299E-2</v>
      </c>
      <c r="AJ24" s="17">
        <v>1.4845565839900461E-3</v>
      </c>
      <c r="AK24" s="16">
        <v>0.14375718632629395</v>
      </c>
      <c r="AL24" s="16">
        <v>-7.937194415869573E-3</v>
      </c>
      <c r="AM24" s="17">
        <v>-3.1281771812395991E-2</v>
      </c>
      <c r="AN24" s="17">
        <v>8.9381489120113447E-5</v>
      </c>
      <c r="AO24" s="16">
        <v>0.16724825932907683</v>
      </c>
      <c r="AP24" s="16">
        <v>-4.778788925778178E-4</v>
      </c>
      <c r="AQ24" s="17">
        <v>-2.3628627349207838E-3</v>
      </c>
      <c r="AR24" s="17">
        <v>8.122242888256425E-4</v>
      </c>
      <c r="AS24" s="16">
        <v>1.2633065729750117E-2</v>
      </c>
      <c r="AT24" s="16">
        <v>-4.3425640755123621E-3</v>
      </c>
      <c r="AU24" s="17">
        <v>-4.6071523721334766E-2</v>
      </c>
      <c r="AV24" s="17">
        <v>2.998102294521794E-3</v>
      </c>
      <c r="AW24" s="16">
        <v>0.24632179383068414</v>
      </c>
      <c r="AX24" s="16">
        <v>-1.6029379443608792E-2</v>
      </c>
      <c r="AY24" s="17">
        <v>-2.6762421446872998E-2</v>
      </c>
      <c r="AZ24" s="17">
        <v>8.9372420664605916E-5</v>
      </c>
      <c r="BA24" s="16">
        <v>0.14308551412190074</v>
      </c>
      <c r="BB24" s="16">
        <v>-4.7783040800323764E-4</v>
      </c>
      <c r="BC24" s="17">
        <v>-1.545793392282597E-2</v>
      </c>
      <c r="BD24" s="17">
        <v>8.9372199608673595E-5</v>
      </c>
      <c r="BE24" s="16">
        <v>8.2645975327780286E-2</v>
      </c>
      <c r="BF24" s="16">
        <v>-4.7782922612581342E-4</v>
      </c>
      <c r="BH24" s="19">
        <v>-0.16266929442062975</v>
      </c>
      <c r="BI24" s="18">
        <v>0.86971276759197136</v>
      </c>
      <c r="BJ24" s="19">
        <v>-2.3627441199868299E-3</v>
      </c>
      <c r="BK24" s="18">
        <v>1.263243155399584E-2</v>
      </c>
      <c r="BL24" s="19">
        <v>-2.3627544575136358E-3</v>
      </c>
      <c r="BM24" s="18">
        <v>1.2632486823670921E-2</v>
      </c>
      <c r="BN24" s="19">
        <v>-2.3628370573706733E-3</v>
      </c>
      <c r="BO24" s="18">
        <v>1.2632928444509832E-2</v>
      </c>
      <c r="BP24" s="19">
        <v>-6.7563955073636547E-3</v>
      </c>
      <c r="BQ24" s="18">
        <v>3.612312610430795E-2</v>
      </c>
      <c r="BR24" s="19">
        <v>-2.6888049640044299E-2</v>
      </c>
      <c r="BS24" s="18">
        <v>0.14375718632629395</v>
      </c>
      <c r="BT24" s="19">
        <v>-3.1281771812395991E-2</v>
      </c>
      <c r="BU24" s="18">
        <v>0.16724825932907683</v>
      </c>
      <c r="BV24" s="19">
        <v>-2.3628627349207838E-3</v>
      </c>
      <c r="BW24" s="18">
        <v>1.2633065729750117E-2</v>
      </c>
      <c r="BX24" s="19">
        <v>-4.6071523721334766E-2</v>
      </c>
      <c r="BY24" s="18">
        <v>0.24632179383068414</v>
      </c>
      <c r="BZ24" s="19">
        <v>-2.6762421446872998E-2</v>
      </c>
      <c r="CA24" s="18">
        <v>0.14308551412190074</v>
      </c>
      <c r="CB24" s="19">
        <v>-1.545793392282597E-2</v>
      </c>
      <c r="CC24" s="18">
        <v>8.2645975327780286E-2</v>
      </c>
      <c r="CD24" s="19">
        <v>39.868000500000008</v>
      </c>
      <c r="CE24" s="18" t="b">
        <v>1</v>
      </c>
    </row>
    <row r="25" spans="1:83" x14ac:dyDescent="0.25">
      <c r="A25" s="15">
        <v>43948</v>
      </c>
      <c r="B25" s="16">
        <v>14642.099609000001</v>
      </c>
      <c r="C25" s="16">
        <v>1.5373998778727917E-2</v>
      </c>
      <c r="D25" s="17">
        <v>-0.43920171571274597</v>
      </c>
      <c r="F25" s="16">
        <v>1.0667882350970269E-2</v>
      </c>
      <c r="G25" s="16">
        <v>1.5373998778727917E-2</v>
      </c>
      <c r="H25" s="16">
        <v>1.1879839917270655E-2</v>
      </c>
      <c r="I25" s="17">
        <v>-0.43920171571274597</v>
      </c>
      <c r="J25" s="17">
        <v>40.656000200000001</v>
      </c>
      <c r="K25" s="16">
        <v>45.214509014035059</v>
      </c>
      <c r="L25" s="17">
        <v>-4.5585088140350578</v>
      </c>
      <c r="M25" s="17">
        <v>-0.43920171571274597</v>
      </c>
      <c r="N25" s="16" t="b">
        <v>1</v>
      </c>
      <c r="O25" s="16" t="b">
        <v>1</v>
      </c>
      <c r="P25" s="17">
        <v>-0.16266929442062975</v>
      </c>
      <c r="Q25" s="16">
        <v>2.0021048922158724</v>
      </c>
      <c r="R25" s="16">
        <v>0.74152941238930459</v>
      </c>
      <c r="S25" s="17">
        <v>-6.3264485000512896E-3</v>
      </c>
      <c r="T25" s="17">
        <v>-2.3627441199868299E-3</v>
      </c>
      <c r="U25" s="16">
        <v>2.8839171249022674E-2</v>
      </c>
      <c r="V25" s="16">
        <v>1.0770589896269471E-2</v>
      </c>
      <c r="W25" s="17">
        <v>-6.3268426066481207E-3</v>
      </c>
      <c r="X25" s="17">
        <v>-2.3627544575136358E-3</v>
      </c>
      <c r="Y25" s="16">
        <v>2.8840967787417997E-2</v>
      </c>
      <c r="Z25" s="16">
        <v>1.077063701997653E-2</v>
      </c>
      <c r="AA25" s="17">
        <v>-6.3268942419939245E-3</v>
      </c>
      <c r="AB25" s="17">
        <v>-2.3628370573706733E-3</v>
      </c>
      <c r="AC25" s="16">
        <v>2.884120316759696E-2</v>
      </c>
      <c r="AD25" s="16">
        <v>1.0771013552152873E-2</v>
      </c>
      <c r="AE25" s="17">
        <v>-6.3269162402149609E-3</v>
      </c>
      <c r="AF25" s="17">
        <v>-6.7563955073636547E-3</v>
      </c>
      <c r="AG25" s="16">
        <v>2.8841303446681447E-2</v>
      </c>
      <c r="AH25" s="16">
        <v>3.0799088471424086E-2</v>
      </c>
      <c r="AI25" s="17">
        <v>-6.3269952521189804E-3</v>
      </c>
      <c r="AJ25" s="17">
        <v>-2.6888049640044299E-2</v>
      </c>
      <c r="AK25" s="16">
        <v>2.8841663623142336E-2</v>
      </c>
      <c r="AL25" s="16">
        <v>0.12256941127635411</v>
      </c>
      <c r="AM25" s="17">
        <v>-6.1225075935876117E-2</v>
      </c>
      <c r="AN25" s="17">
        <v>-3.1281771812395991E-2</v>
      </c>
      <c r="AO25" s="16">
        <v>0.279095048293657</v>
      </c>
      <c r="AP25" s="16">
        <v>0.14259823252544054</v>
      </c>
      <c r="AQ25" s="17">
        <v>-0.13413561915042096</v>
      </c>
      <c r="AR25" s="17">
        <v>-2.3628627349207838E-3</v>
      </c>
      <c r="AS25" s="16">
        <v>0.61145840217324365</v>
      </c>
      <c r="AT25" s="16">
        <v>1.0771130603491375E-2</v>
      </c>
      <c r="AU25" s="17">
        <v>-0.1995542343921578</v>
      </c>
      <c r="AV25" s="17">
        <v>-4.6071523721334766E-2</v>
      </c>
      <c r="AW25" s="16">
        <v>0.90966973635466919</v>
      </c>
      <c r="AX25" s="16">
        <v>0.21001744695972976</v>
      </c>
      <c r="AY25" s="17">
        <v>-6.3262697982867152E-3</v>
      </c>
      <c r="AZ25" s="17">
        <v>-2.6762421446872998E-2</v>
      </c>
      <c r="BA25" s="16">
        <v>2.8838356635453779E-2</v>
      </c>
      <c r="BB25" s="16">
        <v>0.12199673405049143</v>
      </c>
      <c r="BC25" s="17">
        <v>-6.3264195949767855E-3</v>
      </c>
      <c r="BD25" s="17">
        <v>-1.545793392282597E-2</v>
      </c>
      <c r="BE25" s="16">
        <v>2.8839039484985778E-2</v>
      </c>
      <c r="BF25" s="16">
        <v>7.0465128033973701E-2</v>
      </c>
      <c r="BH25" s="19">
        <v>-0.43920171571274597</v>
      </c>
      <c r="BI25" s="18">
        <v>2.0021048922158724</v>
      </c>
      <c r="BJ25" s="19">
        <v>-6.3264485000512896E-3</v>
      </c>
      <c r="BK25" s="18">
        <v>2.8839171249022674E-2</v>
      </c>
      <c r="BL25" s="19">
        <v>-6.3268426066481207E-3</v>
      </c>
      <c r="BM25" s="18">
        <v>2.8840967787417997E-2</v>
      </c>
      <c r="BN25" s="19">
        <v>-6.3268942419939245E-3</v>
      </c>
      <c r="BO25" s="18">
        <v>2.884120316759696E-2</v>
      </c>
      <c r="BP25" s="19">
        <v>-6.3269162402149609E-3</v>
      </c>
      <c r="BQ25" s="18">
        <v>2.8841303446681447E-2</v>
      </c>
      <c r="BR25" s="19">
        <v>-6.3269952521189804E-3</v>
      </c>
      <c r="BS25" s="18">
        <v>2.8841663623142336E-2</v>
      </c>
      <c r="BT25" s="19">
        <v>-6.1225075935876117E-2</v>
      </c>
      <c r="BU25" s="18">
        <v>0.279095048293657</v>
      </c>
      <c r="BV25" s="19">
        <v>-0.13413561915042096</v>
      </c>
      <c r="BW25" s="18">
        <v>0.61145840217324365</v>
      </c>
      <c r="BX25" s="19">
        <v>-0.1995542343921578</v>
      </c>
      <c r="BY25" s="18">
        <v>0.90966973635466919</v>
      </c>
      <c r="BZ25" s="19">
        <v>-6.3262697982867152E-3</v>
      </c>
      <c r="CA25" s="18">
        <v>2.8838356635453779E-2</v>
      </c>
      <c r="CB25" s="19">
        <v>-6.3264195949767855E-3</v>
      </c>
      <c r="CC25" s="18">
        <v>2.8839039484985778E-2</v>
      </c>
      <c r="CD25" s="19">
        <v>40.656000200000001</v>
      </c>
      <c r="CE25" s="18" t="b">
        <v>1</v>
      </c>
    </row>
    <row r="26" spans="1:83" x14ac:dyDescent="0.25">
      <c r="A26" s="15">
        <v>43945</v>
      </c>
      <c r="B26" s="16">
        <v>14420.400390999999</v>
      </c>
      <c r="C26" s="16">
        <v>1.1879839917270655E-2</v>
      </c>
      <c r="D26" s="17">
        <v>-2.0552382688038051E-2</v>
      </c>
      <c r="F26" s="16">
        <v>1.5373998778727917E-2</v>
      </c>
      <c r="G26" s="16">
        <v>1.1879839917270655E-2</v>
      </c>
      <c r="H26" s="16">
        <v>-2.5965891780394849E-3</v>
      </c>
      <c r="I26" s="17">
        <v>-2.0552382688038051E-2</v>
      </c>
      <c r="J26" s="17">
        <v>41.230000000000004</v>
      </c>
      <c r="K26" s="16">
        <v>45.214509014035059</v>
      </c>
      <c r="L26" s="17">
        <v>-3.984509014035055</v>
      </c>
      <c r="M26" s="17">
        <v>-2.0552382688038051E-2</v>
      </c>
      <c r="N26" s="16" t="b">
        <v>1</v>
      </c>
      <c r="O26" s="16" t="b">
        <v>1</v>
      </c>
      <c r="P26" s="17">
        <v>-0.43920171571274597</v>
      </c>
      <c r="Q26" s="16">
        <v>8.1891154080385622E-2</v>
      </c>
      <c r="R26" s="16">
        <v>1.750003195237098</v>
      </c>
      <c r="S26" s="17">
        <v>-3.9553487503764956E-4</v>
      </c>
      <c r="T26" s="17">
        <v>-6.3264485000512896E-3</v>
      </c>
      <c r="U26" s="16">
        <v>1.5760122749527436E-3</v>
      </c>
      <c r="V26" s="16">
        <v>2.5207791075282916E-2</v>
      </c>
      <c r="W26" s="17">
        <v>-1.4570747688227757E-3</v>
      </c>
      <c r="X26" s="17">
        <v>-6.3268426066481207E-3</v>
      </c>
      <c r="Y26" s="16">
        <v>5.8057275504973934E-3</v>
      </c>
      <c r="Z26" s="16">
        <v>2.5209361396570481E-2</v>
      </c>
      <c r="AA26" s="17">
        <v>-3.9555882986564843E-4</v>
      </c>
      <c r="AB26" s="17">
        <v>-6.3268942419939245E-3</v>
      </c>
      <c r="AC26" s="16">
        <v>1.5761077231808349E-3</v>
      </c>
      <c r="AD26" s="16">
        <v>2.5209567138071279E-2</v>
      </c>
      <c r="AE26" s="17">
        <v>-3.9556462087361418E-4</v>
      </c>
      <c r="AF26" s="17">
        <v>-6.3269162402149609E-3</v>
      </c>
      <c r="AG26" s="16">
        <v>1.5761307975042747E-3</v>
      </c>
      <c r="AH26" s="16">
        <v>2.520965479018129E-2</v>
      </c>
      <c r="AI26" s="17">
        <v>-2.5817265097796758E-3</v>
      </c>
      <c r="AJ26" s="17">
        <v>-6.3269952521189804E-3</v>
      </c>
      <c r="AK26" s="16">
        <v>1.028691254999038E-2</v>
      </c>
      <c r="AL26" s="16">
        <v>2.5209969613825073E-2</v>
      </c>
      <c r="AM26" s="17">
        <v>-2.6997364525625095E-3</v>
      </c>
      <c r="AN26" s="17">
        <v>-6.1225075935876117E-2</v>
      </c>
      <c r="AO26" s="16">
        <v>1.0757124230754341E-2</v>
      </c>
      <c r="AP26" s="16">
        <v>0.24395186695147911</v>
      </c>
      <c r="AQ26" s="17">
        <v>-2.0094052010291336E-3</v>
      </c>
      <c r="AR26" s="17">
        <v>-0.13413561915042096</v>
      </c>
      <c r="AS26" s="16">
        <v>8.0064931363495045E-3</v>
      </c>
      <c r="AT26" s="16">
        <v>0.53446458360802551</v>
      </c>
      <c r="AU26" s="17">
        <v>-2.493548067182477E-3</v>
      </c>
      <c r="AV26" s="17">
        <v>-0.1995542343921578</v>
      </c>
      <c r="AW26" s="16">
        <v>9.9355647506182681E-3</v>
      </c>
      <c r="AX26" s="16">
        <v>0.79512564572441691</v>
      </c>
      <c r="AY26" s="17">
        <v>-3.5751277338171845E-3</v>
      </c>
      <c r="AZ26" s="17">
        <v>-6.3262697982867152E-3</v>
      </c>
      <c r="BA26" s="16">
        <v>1.424512868172129E-2</v>
      </c>
      <c r="BB26" s="16">
        <v>2.5207079036491147E-2</v>
      </c>
      <c r="BC26" s="17">
        <v>-4.5491056290673619E-3</v>
      </c>
      <c r="BD26" s="17">
        <v>-6.3264195949767855E-3</v>
      </c>
      <c r="BE26" s="16">
        <v>1.8125952384816513E-2</v>
      </c>
      <c r="BF26" s="16">
        <v>2.5207675902753003E-2</v>
      </c>
      <c r="BH26" s="19">
        <v>-2.0552382688038051E-2</v>
      </c>
      <c r="BI26" s="18">
        <v>8.1891154080385622E-2</v>
      </c>
      <c r="BJ26" s="19">
        <v>-3.9553487503764956E-4</v>
      </c>
      <c r="BK26" s="18">
        <v>1.5760122749527436E-3</v>
      </c>
      <c r="BL26" s="19">
        <v>-1.4570747688227757E-3</v>
      </c>
      <c r="BM26" s="18">
        <v>5.8057275504973934E-3</v>
      </c>
      <c r="BN26" s="19">
        <v>-3.9555882986564843E-4</v>
      </c>
      <c r="BO26" s="18">
        <v>1.5761077231808349E-3</v>
      </c>
      <c r="BP26" s="19">
        <v>-3.9556462087361418E-4</v>
      </c>
      <c r="BQ26" s="18">
        <v>1.5761307975042747E-3</v>
      </c>
      <c r="BR26" s="19">
        <v>-2.5817265097796758E-3</v>
      </c>
      <c r="BS26" s="18">
        <v>1.028691254999038E-2</v>
      </c>
      <c r="BT26" s="19">
        <v>-2.6997364525625095E-3</v>
      </c>
      <c r="BU26" s="18">
        <v>1.0757124230754341E-2</v>
      </c>
      <c r="BV26" s="19">
        <v>-2.0094052010291336E-3</v>
      </c>
      <c r="BW26" s="18">
        <v>8.0064931363495045E-3</v>
      </c>
      <c r="BX26" s="19">
        <v>-2.493548067182477E-3</v>
      </c>
      <c r="BY26" s="18">
        <v>9.9355647506182681E-3</v>
      </c>
      <c r="BZ26" s="19">
        <v>-3.5751277338171845E-3</v>
      </c>
      <c r="CA26" s="18">
        <v>1.424512868172129E-2</v>
      </c>
      <c r="CB26" s="19">
        <v>-4.5491056290673619E-3</v>
      </c>
      <c r="CC26" s="18">
        <v>1.8125952384816513E-2</v>
      </c>
      <c r="CD26" s="19">
        <v>41.230000000000004</v>
      </c>
      <c r="CE26" s="18" t="b">
        <v>1</v>
      </c>
    </row>
    <row r="27" spans="1:83" x14ac:dyDescent="0.25">
      <c r="A27" s="15">
        <v>43944</v>
      </c>
      <c r="B27" s="16">
        <v>14251.099609000001</v>
      </c>
      <c r="C27" s="16">
        <v>-2.5965891780394849E-3</v>
      </c>
      <c r="D27" s="17">
        <v>-0.44359970150981098</v>
      </c>
      <c r="F27" s="16">
        <v>1.1879839917270655E-2</v>
      </c>
      <c r="G27" s="16">
        <v>-2.5965891780394849E-3</v>
      </c>
      <c r="H27" s="16">
        <v>2.4971169199914333E-2</v>
      </c>
      <c r="I27" s="17">
        <v>-0.44359970150981098</v>
      </c>
      <c r="J27" s="17">
        <v>41.42699970000001</v>
      </c>
      <c r="K27" s="16">
        <v>45.214509014035059</v>
      </c>
      <c r="L27" s="17">
        <v>-3.7875093140350486</v>
      </c>
      <c r="M27" s="17">
        <v>-0.44359970150981098</v>
      </c>
      <c r="N27" s="16" t="b">
        <v>1</v>
      </c>
      <c r="O27" s="16" t="b">
        <v>1</v>
      </c>
      <c r="P27" s="17">
        <v>-2.0552382688038051E-2</v>
      </c>
      <c r="Q27" s="16">
        <v>1.6801380011715765</v>
      </c>
      <c r="R27" s="16">
        <v>7.7842340856556808E-2</v>
      </c>
      <c r="S27" s="17">
        <v>-8.1406529490503053E-3</v>
      </c>
      <c r="T27" s="17">
        <v>-3.9553487503764956E-4</v>
      </c>
      <c r="U27" s="16">
        <v>3.0832798866854919E-2</v>
      </c>
      <c r="V27" s="16">
        <v>1.4980920232307868E-3</v>
      </c>
      <c r="W27" s="17">
        <v>-8.1397416950628222E-3</v>
      </c>
      <c r="X27" s="17">
        <v>-1.4570747688227757E-3</v>
      </c>
      <c r="Y27" s="16">
        <v>3.0829347483889873E-2</v>
      </c>
      <c r="Z27" s="16">
        <v>5.5186842581617284E-3</v>
      </c>
      <c r="AA27" s="17">
        <v>-0.15415521598755705</v>
      </c>
      <c r="AB27" s="17">
        <v>-3.9555882986564843E-4</v>
      </c>
      <c r="AC27" s="16">
        <v>0.58386431635995695</v>
      </c>
      <c r="AD27" s="16">
        <v>1.4981827523649486E-3</v>
      </c>
      <c r="AE27" s="17">
        <v>-8.140031331253848E-3</v>
      </c>
      <c r="AF27" s="17">
        <v>-3.9556462087361418E-4</v>
      </c>
      <c r="AG27" s="16">
        <v>3.0830444483661065E-2</v>
      </c>
      <c r="AH27" s="16">
        <v>1.4982046858615565E-3</v>
      </c>
      <c r="AI27" s="17">
        <v>-8.1400112426490544E-3</v>
      </c>
      <c r="AJ27" s="17">
        <v>-2.5817265097796758E-3</v>
      </c>
      <c r="AK27" s="16">
        <v>3.0830368397883303E-2</v>
      </c>
      <c r="AL27" s="16">
        <v>9.7783132020817197E-3</v>
      </c>
      <c r="AM27" s="17">
        <v>-8.1402878364131015E-3</v>
      </c>
      <c r="AN27" s="17">
        <v>-2.6997364525625095E-3</v>
      </c>
      <c r="AO27" s="16">
        <v>3.0831415999340837E-2</v>
      </c>
      <c r="AP27" s="16">
        <v>1.0225276959520446E-2</v>
      </c>
      <c r="AQ27" s="17">
        <v>-4.9725657794808205E-2</v>
      </c>
      <c r="AR27" s="17">
        <v>-2.0094052010291336E-3</v>
      </c>
      <c r="AS27" s="16">
        <v>0.18833639204435559</v>
      </c>
      <c r="AT27" s="16">
        <v>7.6106409145683127E-3</v>
      </c>
      <c r="AU27" s="17">
        <v>-0.11971727008879195</v>
      </c>
      <c r="AV27" s="17">
        <v>-2.493548067182477E-3</v>
      </c>
      <c r="AW27" s="16">
        <v>0.45343027551214904</v>
      </c>
      <c r="AX27" s="16">
        <v>9.4443365294477246E-3</v>
      </c>
      <c r="AY27" s="17">
        <v>-7.1160182191305141E-2</v>
      </c>
      <c r="AZ27" s="17">
        <v>-3.5751277338171845E-3</v>
      </c>
      <c r="BA27" s="16">
        <v>0.26951985283799923</v>
      </c>
      <c r="BB27" s="16">
        <v>1.3540829590697603E-2</v>
      </c>
      <c r="BC27" s="17">
        <v>-8.140650392919108E-3</v>
      </c>
      <c r="BD27" s="17">
        <v>-4.5491056290673619E-3</v>
      </c>
      <c r="BE27" s="16">
        <v>3.08327891854842E-2</v>
      </c>
      <c r="BF27" s="16">
        <v>1.7229779940621904E-2</v>
      </c>
      <c r="BH27" s="19">
        <v>-0.44359970150981098</v>
      </c>
      <c r="BI27" s="18">
        <v>1.6801380011715765</v>
      </c>
      <c r="BJ27" s="19">
        <v>-8.1406529490503053E-3</v>
      </c>
      <c r="BK27" s="18">
        <v>3.0832798866854919E-2</v>
      </c>
      <c r="BL27" s="19">
        <v>-8.1397416950628222E-3</v>
      </c>
      <c r="BM27" s="18">
        <v>3.0829347483889873E-2</v>
      </c>
      <c r="BN27" s="19">
        <v>-0.15415521598755705</v>
      </c>
      <c r="BO27" s="18">
        <v>0.58386431635995695</v>
      </c>
      <c r="BP27" s="19">
        <v>-8.140031331253848E-3</v>
      </c>
      <c r="BQ27" s="18">
        <v>3.0830444483661065E-2</v>
      </c>
      <c r="BR27" s="19">
        <v>-8.1400112426490544E-3</v>
      </c>
      <c r="BS27" s="18">
        <v>3.0830368397883303E-2</v>
      </c>
      <c r="BT27" s="19">
        <v>-8.1402878364131015E-3</v>
      </c>
      <c r="BU27" s="18">
        <v>3.0831415999340837E-2</v>
      </c>
      <c r="BV27" s="19">
        <v>-4.9725657794808205E-2</v>
      </c>
      <c r="BW27" s="18">
        <v>0.18833639204435559</v>
      </c>
      <c r="BX27" s="19">
        <v>-0.11971727008879195</v>
      </c>
      <c r="BY27" s="18">
        <v>0.45343027551214904</v>
      </c>
      <c r="BZ27" s="19">
        <v>-7.1160182191305141E-2</v>
      </c>
      <c r="CA27" s="18">
        <v>0.26951985283799923</v>
      </c>
      <c r="CB27" s="19">
        <v>-8.140650392919108E-3</v>
      </c>
      <c r="CC27" s="18">
        <v>3.08327891854842E-2</v>
      </c>
      <c r="CD27" s="19">
        <v>41.42699970000001</v>
      </c>
      <c r="CE27" s="18" t="b">
        <v>1</v>
      </c>
    </row>
    <row r="28" spans="1:83" x14ac:dyDescent="0.25">
      <c r="A28" s="15">
        <v>43943</v>
      </c>
      <c r="B28" s="16">
        <v>14288.200194999999</v>
      </c>
      <c r="C28" s="16">
        <v>2.4971169199914333E-2</v>
      </c>
      <c r="D28" s="17">
        <v>7.0537303773952384E-2</v>
      </c>
      <c r="F28" s="16">
        <v>-2.5965891780394849E-3</v>
      </c>
      <c r="G28" s="16">
        <v>2.4971169199914333E-2</v>
      </c>
      <c r="H28" s="16">
        <v>-3.1150323670921017E-2</v>
      </c>
      <c r="I28" s="17">
        <v>7.0537303773952384E-2</v>
      </c>
      <c r="J28" s="17">
        <v>41.898999799999999</v>
      </c>
      <c r="K28" s="16">
        <v>45.214509014035059</v>
      </c>
      <c r="L28" s="17">
        <v>-3.3155092140350604</v>
      </c>
      <c r="M28" s="17">
        <v>7.0537303773952384E-2</v>
      </c>
      <c r="N28" s="16" t="b">
        <v>1</v>
      </c>
      <c r="O28" s="16" t="b">
        <v>1</v>
      </c>
      <c r="P28" s="17">
        <v>-0.44359970150981098</v>
      </c>
      <c r="Q28" s="16">
        <v>-0.23386708059572917</v>
      </c>
      <c r="R28" s="16">
        <v>1.4707588976989807</v>
      </c>
      <c r="S28" s="17">
        <v>9.3619015445122074E-4</v>
      </c>
      <c r="T28" s="17">
        <v>-8.1406529490503053E-3</v>
      </c>
      <c r="U28" s="16">
        <v>-3.1039470831719287E-3</v>
      </c>
      <c r="V28" s="16">
        <v>2.6990409860837974E-2</v>
      </c>
      <c r="W28" s="17">
        <v>6.2544682571715783E-3</v>
      </c>
      <c r="X28" s="17">
        <v>-8.1397416950628222E-3</v>
      </c>
      <c r="Y28" s="16">
        <v>-2.0736747135542175E-2</v>
      </c>
      <c r="Z28" s="16">
        <v>2.6987388589846149E-2</v>
      </c>
      <c r="AA28" s="17">
        <v>9.3617849514414364E-4</v>
      </c>
      <c r="AB28" s="17">
        <v>-0.15415521598755705</v>
      </c>
      <c r="AC28" s="16">
        <v>-3.1039084266318855E-3</v>
      </c>
      <c r="AD28" s="16">
        <v>0.51110303899831022</v>
      </c>
      <c r="AE28" s="17">
        <v>1.3162351004172328E-2</v>
      </c>
      <c r="AF28" s="17">
        <v>-8.140031331253848E-3</v>
      </c>
      <c r="AG28" s="16">
        <v>-4.3639896032696981E-2</v>
      </c>
      <c r="AH28" s="16">
        <v>2.6988348881306211E-2</v>
      </c>
      <c r="AI28" s="17">
        <v>2.1608973534223353E-2</v>
      </c>
      <c r="AJ28" s="17">
        <v>-8.1400112426490544E-3</v>
      </c>
      <c r="AK28" s="16">
        <v>-7.1644750858557288E-2</v>
      </c>
      <c r="AL28" s="16">
        <v>2.6988282277351922E-2</v>
      </c>
      <c r="AM28" s="17">
        <v>6.1397199446457428E-3</v>
      </c>
      <c r="AN28" s="17">
        <v>-8.1402878364131015E-3</v>
      </c>
      <c r="AO28" s="16">
        <v>-2.0356298048067791E-2</v>
      </c>
      <c r="AP28" s="16">
        <v>2.6989199326525163E-2</v>
      </c>
      <c r="AQ28" s="17">
        <v>9.3626009210135536E-4</v>
      </c>
      <c r="AR28" s="17">
        <v>-4.9725657794808205E-2</v>
      </c>
      <c r="AS28" s="16">
        <v>-3.1041789620953578E-3</v>
      </c>
      <c r="AT28" s="16">
        <v>0.16486587659264093</v>
      </c>
      <c r="AU28" s="17">
        <v>9.7533360602356078E-3</v>
      </c>
      <c r="AV28" s="17">
        <v>-0.11971727008879195</v>
      </c>
      <c r="AW28" s="16">
        <v>-3.233727557529157E-2</v>
      </c>
      <c r="AX28" s="16">
        <v>0.39692371205851362</v>
      </c>
      <c r="AY28" s="17">
        <v>5.8401204160221654E-3</v>
      </c>
      <c r="AZ28" s="17">
        <v>-7.1160182191305141E-2</v>
      </c>
      <c r="BA28" s="16">
        <v>-1.9362973050395759E-2</v>
      </c>
      <c r="BB28" s="16">
        <v>0.23593223972768582</v>
      </c>
      <c r="BC28" s="17">
        <v>4.9697058157848186E-3</v>
      </c>
      <c r="BD28" s="17">
        <v>-8.140650392919108E-3</v>
      </c>
      <c r="BE28" s="16">
        <v>-1.6477105423278193E-2</v>
      </c>
      <c r="BF28" s="16">
        <v>2.6990401385961437E-2</v>
      </c>
      <c r="BH28" s="19">
        <v>7.0537303773952384E-2</v>
      </c>
      <c r="BI28" s="18">
        <v>-0.23386708059572917</v>
      </c>
      <c r="BJ28" s="19">
        <v>9.3619015445122074E-4</v>
      </c>
      <c r="BK28" s="18">
        <v>-3.1039470831719287E-3</v>
      </c>
      <c r="BL28" s="19">
        <v>6.2544682571715783E-3</v>
      </c>
      <c r="BM28" s="18">
        <v>-2.0736747135542175E-2</v>
      </c>
      <c r="BN28" s="19">
        <v>9.3617849514414364E-4</v>
      </c>
      <c r="BO28" s="18">
        <v>-3.1039084266318855E-3</v>
      </c>
      <c r="BP28" s="19">
        <v>1.3162351004172328E-2</v>
      </c>
      <c r="BQ28" s="18">
        <v>-4.3639896032696981E-2</v>
      </c>
      <c r="BR28" s="19">
        <v>2.1608973534223353E-2</v>
      </c>
      <c r="BS28" s="18">
        <v>-7.1644750858557288E-2</v>
      </c>
      <c r="BT28" s="19">
        <v>6.1397199446457428E-3</v>
      </c>
      <c r="BU28" s="18">
        <v>-2.0356298048067791E-2</v>
      </c>
      <c r="BV28" s="19">
        <v>9.3626009210135536E-4</v>
      </c>
      <c r="BW28" s="18">
        <v>-3.1041789620953578E-3</v>
      </c>
      <c r="BX28" s="19">
        <v>9.7533360602356078E-3</v>
      </c>
      <c r="BY28" s="18">
        <v>-3.233727557529157E-2</v>
      </c>
      <c r="BZ28" s="19">
        <v>5.8401204160221654E-3</v>
      </c>
      <c r="CA28" s="18">
        <v>-1.9362973050395759E-2</v>
      </c>
      <c r="CB28" s="19">
        <v>4.9697058157848186E-3</v>
      </c>
      <c r="CC28" s="18">
        <v>-1.6477105423278193E-2</v>
      </c>
      <c r="CD28" s="19">
        <v>41.898999799999999</v>
      </c>
      <c r="CE28" s="18" t="b">
        <v>1</v>
      </c>
    </row>
    <row r="29" spans="1:83" x14ac:dyDescent="0.25">
      <c r="A29" s="15">
        <v>43942</v>
      </c>
      <c r="B29" s="16">
        <v>13940.099609000001</v>
      </c>
      <c r="C29" s="16">
        <v>-3.1150323670921017E-2</v>
      </c>
      <c r="D29" s="17">
        <v>6.1557356500998139E-2</v>
      </c>
      <c r="F29" s="16">
        <v>2.4971169199914333E-2</v>
      </c>
      <c r="G29" s="16">
        <v>-3.1150323670921017E-2</v>
      </c>
      <c r="H29" s="16">
        <v>1.9776887879946956E-3</v>
      </c>
      <c r="I29" s="17">
        <v>6.1557356500998139E-2</v>
      </c>
      <c r="J29" s="17">
        <v>41.881999999999998</v>
      </c>
      <c r="K29" s="16">
        <v>45.214509014035059</v>
      </c>
      <c r="L29" s="17">
        <v>-3.3325090140350611</v>
      </c>
      <c r="M29" s="17">
        <v>6.1557356500998139E-2</v>
      </c>
      <c r="N29" s="16" t="b">
        <v>1</v>
      </c>
      <c r="O29" s="16" t="b">
        <v>1</v>
      </c>
      <c r="P29" s="17">
        <v>7.0537303773952384E-2</v>
      </c>
      <c r="Q29" s="16">
        <v>-0.20514044541974608</v>
      </c>
      <c r="R29" s="16">
        <v>-0.23506620065242564</v>
      </c>
      <c r="S29" s="17">
        <v>9.3990532947466456E-4</v>
      </c>
      <c r="T29" s="17">
        <v>9.3619015445122074E-4</v>
      </c>
      <c r="U29" s="16">
        <v>-3.1322429828139135E-3</v>
      </c>
      <c r="V29" s="16">
        <v>-3.119862128559569E-3</v>
      </c>
      <c r="W29" s="17">
        <v>9.399022068945043E-4</v>
      </c>
      <c r="X29" s="17">
        <v>6.2544682571715783E-3</v>
      </c>
      <c r="Y29" s="16">
        <v>-3.1322325767873826E-3</v>
      </c>
      <c r="Z29" s="16">
        <v>-2.0843071845020444E-2</v>
      </c>
      <c r="AA29" s="17">
        <v>9.3990944887703521E-4</v>
      </c>
      <c r="AB29" s="17">
        <v>9.3617849514414364E-4</v>
      </c>
      <c r="AC29" s="16">
        <v>-3.132256710759446E-3</v>
      </c>
      <c r="AD29" s="16">
        <v>-3.1198232738136374E-3</v>
      </c>
      <c r="AE29" s="17">
        <v>1.4405125428120927E-2</v>
      </c>
      <c r="AF29" s="17">
        <v>1.3162351004172328E-2</v>
      </c>
      <c r="AG29" s="16">
        <v>-4.8005210337518658E-2</v>
      </c>
      <c r="AH29" s="16">
        <v>-4.3863653367297722E-2</v>
      </c>
      <c r="AI29" s="17">
        <v>9.4013157234317229E-4</v>
      </c>
      <c r="AJ29" s="17">
        <v>2.1608973534223353E-2</v>
      </c>
      <c r="AK29" s="16">
        <v>-3.1329969392125769E-3</v>
      </c>
      <c r="AL29" s="16">
        <v>-7.2012099086844389E-2</v>
      </c>
      <c r="AM29" s="17">
        <v>9.4000512138063682E-4</v>
      </c>
      <c r="AN29" s="17">
        <v>6.1397199446457428E-3</v>
      </c>
      <c r="AO29" s="16">
        <v>-3.1325755402400938E-3</v>
      </c>
      <c r="AP29" s="16">
        <v>-2.0460672059182783E-2</v>
      </c>
      <c r="AQ29" s="17">
        <v>9.4002607497799728E-4</v>
      </c>
      <c r="AR29" s="17">
        <v>9.3626009210135536E-4</v>
      </c>
      <c r="AS29" s="16">
        <v>-3.132645368292174E-3</v>
      </c>
      <c r="AT29" s="16">
        <v>-3.1200951964090633E-3</v>
      </c>
      <c r="AU29" s="17">
        <v>2.7321142378851016E-2</v>
      </c>
      <c r="AV29" s="17">
        <v>9.7533360602356078E-3</v>
      </c>
      <c r="AW29" s="16">
        <v>-9.1047953251256322E-2</v>
      </c>
      <c r="AX29" s="16">
        <v>-3.2503080337648371E-2</v>
      </c>
      <c r="AY29" s="17">
        <v>9.3997355234824015E-4</v>
      </c>
      <c r="AZ29" s="17">
        <v>5.8401204160221654E-3</v>
      </c>
      <c r="BA29" s="16">
        <v>-3.1324703361550678E-3</v>
      </c>
      <c r="BB29" s="16">
        <v>-1.9462253929444055E-2</v>
      </c>
      <c r="BC29" s="17">
        <v>1.3251235387729895E-2</v>
      </c>
      <c r="BD29" s="17">
        <v>4.9697058157848186E-3</v>
      </c>
      <c r="BE29" s="16">
        <v>-4.4159861376710262E-2</v>
      </c>
      <c r="BF29" s="16">
        <v>-1.6561589428205375E-2</v>
      </c>
      <c r="BH29" s="19">
        <v>6.1557356500998139E-2</v>
      </c>
      <c r="BI29" s="18">
        <v>-0.20514044541974608</v>
      </c>
      <c r="BJ29" s="19">
        <v>9.3990532947466456E-4</v>
      </c>
      <c r="BK29" s="18">
        <v>-3.1322429828139135E-3</v>
      </c>
      <c r="BL29" s="19">
        <v>9.399022068945043E-4</v>
      </c>
      <c r="BM29" s="18">
        <v>-3.1322325767873826E-3</v>
      </c>
      <c r="BN29" s="19">
        <v>9.3990944887703521E-4</v>
      </c>
      <c r="BO29" s="18">
        <v>-3.132256710759446E-3</v>
      </c>
      <c r="BP29" s="19">
        <v>1.4405125428120927E-2</v>
      </c>
      <c r="BQ29" s="18">
        <v>-4.8005210337518658E-2</v>
      </c>
      <c r="BR29" s="19">
        <v>9.4013157234317229E-4</v>
      </c>
      <c r="BS29" s="18">
        <v>-3.1329969392125769E-3</v>
      </c>
      <c r="BT29" s="19">
        <v>9.4000512138063682E-4</v>
      </c>
      <c r="BU29" s="18">
        <v>-3.1325755402400938E-3</v>
      </c>
      <c r="BV29" s="19">
        <v>9.4002607497799728E-4</v>
      </c>
      <c r="BW29" s="18">
        <v>-3.132645368292174E-3</v>
      </c>
      <c r="BX29" s="19">
        <v>2.7321142378851016E-2</v>
      </c>
      <c r="BY29" s="18">
        <v>-9.1047953251256322E-2</v>
      </c>
      <c r="BZ29" s="19">
        <v>9.3997355234824015E-4</v>
      </c>
      <c r="CA29" s="18">
        <v>-3.1324703361550678E-3</v>
      </c>
      <c r="CB29" s="19">
        <v>1.3251235387729895E-2</v>
      </c>
      <c r="CC29" s="18">
        <v>-4.4159861376710262E-2</v>
      </c>
      <c r="CD29" s="19">
        <v>41.881999999999998</v>
      </c>
      <c r="CE29" s="18" t="b">
        <v>1</v>
      </c>
    </row>
    <row r="30" spans="1:83" x14ac:dyDescent="0.25">
      <c r="A30" s="15">
        <v>43941</v>
      </c>
      <c r="B30" s="16">
        <v>14388.299805000001</v>
      </c>
      <c r="C30" s="16">
        <v>1.9776887879946956E-3</v>
      </c>
      <c r="D30" s="17">
        <v>0.33201583579648286</v>
      </c>
      <c r="F30" s="16">
        <v>-3.1150323670921017E-2</v>
      </c>
      <c r="G30" s="16">
        <v>1.9776887879946956E-3</v>
      </c>
      <c r="H30" s="16">
        <v>3.3138402111040632E-2</v>
      </c>
      <c r="I30" s="17">
        <v>0.33201583579648286</v>
      </c>
      <c r="J30" s="17">
        <v>42.178999699999999</v>
      </c>
      <c r="K30" s="16">
        <v>45.214509014035059</v>
      </c>
      <c r="L30" s="17">
        <v>-3.0355093140350604</v>
      </c>
      <c r="M30" s="17">
        <v>0.33201583579648286</v>
      </c>
      <c r="N30" s="16" t="b">
        <v>1</v>
      </c>
      <c r="O30" s="16" t="b">
        <v>1</v>
      </c>
      <c r="P30" s="17">
        <v>6.1557356500998139E-2</v>
      </c>
      <c r="Q30" s="16">
        <v>-1.007837161967359</v>
      </c>
      <c r="R30" s="16">
        <v>-0.18685792900615653</v>
      </c>
      <c r="S30" s="17">
        <v>3.3249417438323624E-2</v>
      </c>
      <c r="T30" s="17">
        <v>9.3990532947466456E-4</v>
      </c>
      <c r="U30" s="16">
        <v>-0.10092891632027112</v>
      </c>
      <c r="V30" s="16">
        <v>-2.8530913819315366E-3</v>
      </c>
      <c r="W30" s="17">
        <v>1.5092006869835773E-2</v>
      </c>
      <c r="X30" s="17">
        <v>9.399022068945043E-4</v>
      </c>
      <c r="Y30" s="16">
        <v>-4.5811927420867607E-2</v>
      </c>
      <c r="Z30" s="16">
        <v>-2.8530819033103761E-3</v>
      </c>
      <c r="AA30" s="17">
        <v>5.5835721330073926E-3</v>
      </c>
      <c r="AB30" s="17">
        <v>9.3990944887703521E-4</v>
      </c>
      <c r="AC30" s="16">
        <v>-1.6948985215330548E-2</v>
      </c>
      <c r="AD30" s="16">
        <v>-2.8531038864158006E-3</v>
      </c>
      <c r="AE30" s="17">
        <v>4.1155622936773023E-2</v>
      </c>
      <c r="AF30" s="17">
        <v>1.4405125428120927E-2</v>
      </c>
      <c r="AG30" s="16">
        <v>-0.12492827674948948</v>
      </c>
      <c r="AH30" s="16">
        <v>-4.3726892406904361E-2</v>
      </c>
      <c r="AI30" s="17">
        <v>3.065883282689813E-2</v>
      </c>
      <c r="AJ30" s="17">
        <v>9.4013157234317229E-4</v>
      </c>
      <c r="AK30" s="16">
        <v>-9.3065172603493132E-2</v>
      </c>
      <c r="AL30" s="16">
        <v>-2.8537781442661255E-3</v>
      </c>
      <c r="AM30" s="17">
        <v>4.8965542750142421E-2</v>
      </c>
      <c r="AN30" s="17">
        <v>9.4000512138063682E-4</v>
      </c>
      <c r="AO30" s="16">
        <v>-0.14863536108483924</v>
      </c>
      <c r="AP30" s="16">
        <v>-2.8533943011915808E-3</v>
      </c>
      <c r="AQ30" s="17">
        <v>4.1156119388505157E-2</v>
      </c>
      <c r="AR30" s="17">
        <v>9.4002607497799728E-4</v>
      </c>
      <c r="AS30" s="16">
        <v>-0.12492978373334634</v>
      </c>
      <c r="AT30" s="16">
        <v>-2.8534579060315308E-3</v>
      </c>
      <c r="AU30" s="17">
        <v>4.8962695649570925E-2</v>
      </c>
      <c r="AV30" s="17">
        <v>2.7321142378851016E-2</v>
      </c>
      <c r="AW30" s="16">
        <v>-0.14862671868453647</v>
      </c>
      <c r="AX30" s="16">
        <v>-8.2933582161080266E-2</v>
      </c>
      <c r="AY30" s="17">
        <v>5.5845793814444837E-3</v>
      </c>
      <c r="AZ30" s="17">
        <v>9.3997355234824015E-4</v>
      </c>
      <c r="BA30" s="16">
        <v>-1.6952042727342888E-2</v>
      </c>
      <c r="BB30" s="16">
        <v>-2.8532984730997055E-3</v>
      </c>
      <c r="BC30" s="17">
        <v>6.160744642198155E-2</v>
      </c>
      <c r="BD30" s="17">
        <v>1.3251235387729895E-2</v>
      </c>
      <c r="BE30" s="16">
        <v>-0.18700997742784095</v>
      </c>
      <c r="BF30" s="16">
        <v>-4.0224248441925091E-2</v>
      </c>
      <c r="BH30" s="19">
        <v>0.33201583579648286</v>
      </c>
      <c r="BI30" s="18">
        <v>-1.007837161967359</v>
      </c>
      <c r="BJ30" s="19">
        <v>3.3249417438323624E-2</v>
      </c>
      <c r="BK30" s="18">
        <v>-0.10092891632027112</v>
      </c>
      <c r="BL30" s="19">
        <v>1.5092006869835773E-2</v>
      </c>
      <c r="BM30" s="18">
        <v>-4.5811927420867607E-2</v>
      </c>
      <c r="BN30" s="19">
        <v>5.5835721330073926E-3</v>
      </c>
      <c r="BO30" s="18">
        <v>-1.6948985215330548E-2</v>
      </c>
      <c r="BP30" s="19">
        <v>4.1155622936773023E-2</v>
      </c>
      <c r="BQ30" s="18">
        <v>-0.12492827674948948</v>
      </c>
      <c r="BR30" s="19">
        <v>3.065883282689813E-2</v>
      </c>
      <c r="BS30" s="18">
        <v>-9.3065172603493132E-2</v>
      </c>
      <c r="BT30" s="19">
        <v>4.8965542750142421E-2</v>
      </c>
      <c r="BU30" s="18">
        <v>-0.14863536108483924</v>
      </c>
      <c r="BV30" s="19">
        <v>4.1156119388505157E-2</v>
      </c>
      <c r="BW30" s="18">
        <v>-0.12492978373334634</v>
      </c>
      <c r="BX30" s="19">
        <v>4.8962695649570925E-2</v>
      </c>
      <c r="BY30" s="18">
        <v>-0.14862671868453647</v>
      </c>
      <c r="BZ30" s="19">
        <v>5.5845793814444837E-3</v>
      </c>
      <c r="CA30" s="18">
        <v>-1.6952042727342888E-2</v>
      </c>
      <c r="CB30" s="19">
        <v>6.160744642198155E-2</v>
      </c>
      <c r="CC30" s="18">
        <v>-0.18700997742784095</v>
      </c>
      <c r="CD30" s="19">
        <v>42.178999699999999</v>
      </c>
      <c r="CE30" s="18" t="b">
        <v>1</v>
      </c>
    </row>
    <row r="31" spans="1:83" x14ac:dyDescent="0.25">
      <c r="A31" s="15">
        <v>43938</v>
      </c>
      <c r="B31" s="16">
        <v>14359.900390999999</v>
      </c>
      <c r="C31" s="16">
        <v>3.3138402111040632E-2</v>
      </c>
      <c r="D31" s="17">
        <v>-1.0891216807067394E-2</v>
      </c>
      <c r="F31" s="16">
        <v>1.9776887879946956E-3</v>
      </c>
      <c r="G31" s="16">
        <v>3.3138402111040632E-2</v>
      </c>
      <c r="H31" s="16">
        <v>-4.2482631253185207E-3</v>
      </c>
      <c r="I31" s="17">
        <v>-1.0891216807067394E-2</v>
      </c>
      <c r="J31" s="17">
        <v>43.4549995</v>
      </c>
      <c r="K31" s="16">
        <v>45.214509014035059</v>
      </c>
      <c r="L31" s="17">
        <v>-1.7595095140350594</v>
      </c>
      <c r="M31" s="17">
        <v>-1.0891216807067394E-2</v>
      </c>
      <c r="N31" s="16" t="b">
        <v>1</v>
      </c>
      <c r="O31" s="16" t="b">
        <v>1</v>
      </c>
      <c r="P31" s="17">
        <v>0.33201583579648286</v>
      </c>
      <c r="Q31" s="16">
        <v>1.9163199591453621E-2</v>
      </c>
      <c r="R31" s="16">
        <v>-0.58418502189421362</v>
      </c>
      <c r="S31" s="17">
        <v>-2.0033672346562136E-4</v>
      </c>
      <c r="T31" s="17">
        <v>3.3249417438323624E-2</v>
      </c>
      <c r="U31" s="16">
        <v>3.5249437094837154E-4</v>
      </c>
      <c r="V31" s="16">
        <v>-5.8502666318853626E-2</v>
      </c>
      <c r="W31" s="17">
        <v>-2.0035314346432759E-4</v>
      </c>
      <c r="X31" s="17">
        <v>1.5092006869835773E-2</v>
      </c>
      <c r="Y31" s="16">
        <v>3.5252326209231556E-4</v>
      </c>
      <c r="Z31" s="16">
        <v>-2.6554529673358519E-2</v>
      </c>
      <c r="AA31" s="17">
        <v>-2.0034335113167491E-4</v>
      </c>
      <c r="AB31" s="17">
        <v>5.5835721330073926E-3</v>
      </c>
      <c r="AC31" s="16">
        <v>3.525060323898486E-4</v>
      </c>
      <c r="AD31" s="16">
        <v>-9.8243482903275382E-3</v>
      </c>
      <c r="AE31" s="17">
        <v>-2.0035101760917378E-4</v>
      </c>
      <c r="AF31" s="17">
        <v>4.1155622936773023E-2</v>
      </c>
      <c r="AG31" s="16">
        <v>3.52519521629947E-4</v>
      </c>
      <c r="AH31" s="16">
        <v>-7.2413710113291646E-2</v>
      </c>
      <c r="AI31" s="17">
        <v>-7.0773547212972065E-4</v>
      </c>
      <c r="AJ31" s="17">
        <v>3.065883282689813E-2</v>
      </c>
      <c r="AK31" s="16">
        <v>1.245267296632338E-3</v>
      </c>
      <c r="AL31" s="16">
        <v>-5.3944508048137656E-2</v>
      </c>
      <c r="AM31" s="17">
        <v>-2.0267887700229793E-3</v>
      </c>
      <c r="AN31" s="17">
        <v>4.8965542750142421E-2</v>
      </c>
      <c r="AO31" s="16">
        <v>3.5661541237948478E-3</v>
      </c>
      <c r="AP31" s="16">
        <v>-8.6155338328766012E-2</v>
      </c>
      <c r="AQ31" s="17">
        <v>-2.0038085440039833E-4</v>
      </c>
      <c r="AR31" s="17">
        <v>4.1156119388505157E-2</v>
      </c>
      <c r="AS31" s="16">
        <v>3.5257201974797485E-4</v>
      </c>
      <c r="AT31" s="16">
        <v>-7.2414583624837589E-2</v>
      </c>
      <c r="AU31" s="17">
        <v>-2.3785872900414697E-3</v>
      </c>
      <c r="AV31" s="17">
        <v>4.8962695649570925E-2</v>
      </c>
      <c r="AW31" s="16">
        <v>4.1851469667908356E-3</v>
      </c>
      <c r="AX31" s="16">
        <v>-8.6150328828223058E-2</v>
      </c>
      <c r="AY31" s="17">
        <v>-2.2423216333695172E-3</v>
      </c>
      <c r="AZ31" s="17">
        <v>5.5845793814444837E-3</v>
      </c>
      <c r="BA31" s="16">
        <v>3.9453862474402995E-3</v>
      </c>
      <c r="BB31" s="16">
        <v>-9.8261205535355965E-3</v>
      </c>
      <c r="BC31" s="17">
        <v>-2.5340185514325002E-3</v>
      </c>
      <c r="BD31" s="17">
        <v>6.160744642198155E-2</v>
      </c>
      <c r="BE31" s="16">
        <v>4.4586297499868239E-3</v>
      </c>
      <c r="BF31" s="16">
        <v>-0.10839888811488171</v>
      </c>
      <c r="BH31" s="19">
        <v>-1.0891216807067394E-2</v>
      </c>
      <c r="BI31" s="18">
        <v>1.9163199591453621E-2</v>
      </c>
      <c r="BJ31" s="19">
        <v>-2.0033672346562136E-4</v>
      </c>
      <c r="BK31" s="18">
        <v>3.5249437094837154E-4</v>
      </c>
      <c r="BL31" s="19">
        <v>-2.0035314346432759E-4</v>
      </c>
      <c r="BM31" s="18">
        <v>3.5252326209231556E-4</v>
      </c>
      <c r="BN31" s="19">
        <v>-2.0034335113167491E-4</v>
      </c>
      <c r="BO31" s="18">
        <v>3.525060323898486E-4</v>
      </c>
      <c r="BP31" s="19">
        <v>-2.0035101760917378E-4</v>
      </c>
      <c r="BQ31" s="18">
        <v>3.52519521629947E-4</v>
      </c>
      <c r="BR31" s="19">
        <v>-7.0773547212972065E-4</v>
      </c>
      <c r="BS31" s="18">
        <v>1.245267296632338E-3</v>
      </c>
      <c r="BT31" s="19">
        <v>-2.0267887700229793E-3</v>
      </c>
      <c r="BU31" s="18">
        <v>3.5661541237948478E-3</v>
      </c>
      <c r="BV31" s="19">
        <v>-2.0038085440039833E-4</v>
      </c>
      <c r="BW31" s="18">
        <v>3.5257201974797485E-4</v>
      </c>
      <c r="BX31" s="19">
        <v>-2.3785872900414697E-3</v>
      </c>
      <c r="BY31" s="18">
        <v>4.1851469667908356E-3</v>
      </c>
      <c r="BZ31" s="19">
        <v>-2.2423216333695172E-3</v>
      </c>
      <c r="CA31" s="18">
        <v>3.9453862474402995E-3</v>
      </c>
      <c r="CB31" s="19">
        <v>-2.5340185514325002E-3</v>
      </c>
      <c r="CC31" s="18">
        <v>4.4586297499868239E-3</v>
      </c>
      <c r="CD31" s="19">
        <v>43.4549995</v>
      </c>
      <c r="CE31" s="18" t="b">
        <v>1</v>
      </c>
    </row>
    <row r="32" spans="1:83" x14ac:dyDescent="0.25">
      <c r="A32" s="15">
        <v>43937</v>
      </c>
      <c r="B32" s="16">
        <v>13899.299805000001</v>
      </c>
      <c r="C32" s="16">
        <v>-4.2482631253185207E-3</v>
      </c>
      <c r="D32" s="17">
        <v>-1.8410735170949589E-2</v>
      </c>
      <c r="F32" s="16">
        <v>3.3138402111040632E-2</v>
      </c>
      <c r="G32" s="16">
        <v>-4.2482631253185207E-3</v>
      </c>
      <c r="H32" s="16">
        <v>-2.1026256366684357E-2</v>
      </c>
      <c r="I32" s="17">
        <v>-1.8410735170949589E-2</v>
      </c>
      <c r="J32" s="17">
        <v>45.149999499999993</v>
      </c>
      <c r="K32" s="16">
        <v>45.214509014035059</v>
      </c>
      <c r="L32" s="17">
        <v>-6.4509514035066218E-2</v>
      </c>
      <c r="M32" s="17">
        <v>-1.8410735170949589E-2</v>
      </c>
      <c r="N32" s="16" t="b">
        <v>1</v>
      </c>
      <c r="O32" s="16" t="b">
        <v>1</v>
      </c>
      <c r="P32" s="17">
        <v>-1.0891216807067394E-2</v>
      </c>
      <c r="Q32" s="16">
        <v>1.1876675789062598E-3</v>
      </c>
      <c r="R32" s="16">
        <v>7.0258710347446312E-4</v>
      </c>
      <c r="S32" s="17">
        <v>-1.7813606538020022E-3</v>
      </c>
      <c r="T32" s="17">
        <v>-2.0033672346562136E-4</v>
      </c>
      <c r="U32" s="16">
        <v>1.14914710097955E-4</v>
      </c>
      <c r="V32" s="16">
        <v>1.292362467414468E-5</v>
      </c>
      <c r="W32" s="17">
        <v>-2.5983841384834668E-4</v>
      </c>
      <c r="X32" s="17">
        <v>-2.0035314346432759E-4</v>
      </c>
      <c r="Y32" s="16">
        <v>1.6762049804999263E-5</v>
      </c>
      <c r="Z32" s="16">
        <v>1.2924683920281675E-5</v>
      </c>
      <c r="AA32" s="17">
        <v>-2.5984904172533335E-4</v>
      </c>
      <c r="AB32" s="17">
        <v>-2.0034335113167491E-4</v>
      </c>
      <c r="AC32" s="16">
        <v>1.6762735404178898E-5</v>
      </c>
      <c r="AD32" s="16">
        <v>1.2924052221660983E-5</v>
      </c>
      <c r="AE32" s="17">
        <v>-1.5987603277906658E-3</v>
      </c>
      <c r="AF32" s="17">
        <v>-2.0035101760917378E-4</v>
      </c>
      <c r="AG32" s="16">
        <v>1.0313525180431902E-4</v>
      </c>
      <c r="AH32" s="16">
        <v>1.2924546782398794E-5</v>
      </c>
      <c r="AI32" s="17">
        <v>-2.8142849398185982E-3</v>
      </c>
      <c r="AJ32" s="17">
        <v>-7.0773547212972065E-4</v>
      </c>
      <c r="AK32" s="16">
        <v>1.8154815382390334E-4</v>
      </c>
      <c r="AL32" s="16">
        <v>4.5655671372466433E-5</v>
      </c>
      <c r="AM32" s="17">
        <v>-2.5985842192130233E-4</v>
      </c>
      <c r="AN32" s="17">
        <v>-2.0267887700229793E-3</v>
      </c>
      <c r="AO32" s="16">
        <v>1.6763340516062411E-5</v>
      </c>
      <c r="AP32" s="16">
        <v>1.3074715860591197E-4</v>
      </c>
      <c r="AQ32" s="17">
        <v>-3.3576868270774659E-3</v>
      </c>
      <c r="AR32" s="17">
        <v>-2.0038085440039833E-4</v>
      </c>
      <c r="AS32" s="16">
        <v>2.1660274549671073E-4</v>
      </c>
      <c r="AT32" s="16">
        <v>1.2926471539301056E-5</v>
      </c>
      <c r="AU32" s="17">
        <v>-5.643426022473759E-3</v>
      </c>
      <c r="AV32" s="17">
        <v>-2.3785872900414697E-3</v>
      </c>
      <c r="AW32" s="16">
        <v>3.6405467020262885E-4</v>
      </c>
      <c r="AX32" s="16">
        <v>1.5344151017056032E-4</v>
      </c>
      <c r="AY32" s="17">
        <v>-1.9692996135975758E-3</v>
      </c>
      <c r="AZ32" s="17">
        <v>-2.2423216333695172E-3</v>
      </c>
      <c r="BA32" s="16">
        <v>1.2703856106262331E-4</v>
      </c>
      <c r="BB32" s="16">
        <v>1.4465107887898349E-4</v>
      </c>
      <c r="BC32" s="17">
        <v>-4.6637090889452179E-4</v>
      </c>
      <c r="BD32" s="17">
        <v>-2.5340185514325002E-3</v>
      </c>
      <c r="BE32" s="16">
        <v>3.0085360692877741E-5</v>
      </c>
      <c r="BF32" s="16">
        <v>1.6346830530875305E-4</v>
      </c>
      <c r="BH32" s="19">
        <v>-1.8410735170949589E-2</v>
      </c>
      <c r="BI32" s="18">
        <v>1.1876675789062598E-3</v>
      </c>
      <c r="BJ32" s="19">
        <v>-1.7813606538020022E-3</v>
      </c>
      <c r="BK32" s="18">
        <v>1.14914710097955E-4</v>
      </c>
      <c r="BL32" s="19">
        <v>-2.5983841384834668E-4</v>
      </c>
      <c r="BM32" s="18">
        <v>1.6762049804999263E-5</v>
      </c>
      <c r="BN32" s="19">
        <v>-2.5984904172533335E-4</v>
      </c>
      <c r="BO32" s="18">
        <v>1.6762735404178898E-5</v>
      </c>
      <c r="BP32" s="19">
        <v>-1.5987603277906658E-3</v>
      </c>
      <c r="BQ32" s="18">
        <v>1.0313525180431902E-4</v>
      </c>
      <c r="BR32" s="19">
        <v>-2.8142849398185982E-3</v>
      </c>
      <c r="BS32" s="18">
        <v>1.8154815382390334E-4</v>
      </c>
      <c r="BT32" s="19">
        <v>-2.5985842192130233E-4</v>
      </c>
      <c r="BU32" s="18">
        <v>1.6763340516062411E-5</v>
      </c>
      <c r="BV32" s="19">
        <v>-3.3576868270774659E-3</v>
      </c>
      <c r="BW32" s="18">
        <v>2.1660274549671073E-4</v>
      </c>
      <c r="BX32" s="19">
        <v>-5.643426022473759E-3</v>
      </c>
      <c r="BY32" s="18">
        <v>3.6405467020262885E-4</v>
      </c>
      <c r="BZ32" s="19">
        <v>-1.9692996135975758E-3</v>
      </c>
      <c r="CA32" s="18">
        <v>1.2703856106262331E-4</v>
      </c>
      <c r="CB32" s="19">
        <v>-4.6637090889452179E-4</v>
      </c>
      <c r="CC32" s="18">
        <v>3.0085360692877741E-5</v>
      </c>
      <c r="CD32" s="19">
        <v>45.149999499999993</v>
      </c>
      <c r="CE32" s="18" t="b">
        <v>1</v>
      </c>
    </row>
    <row r="33" spans="1:83" x14ac:dyDescent="0.25">
      <c r="A33" s="15">
        <v>43936</v>
      </c>
      <c r="B33" s="16">
        <v>13958.599609000001</v>
      </c>
      <c r="C33" s="16">
        <v>-2.1026256366684357E-2</v>
      </c>
      <c r="D33" s="17">
        <v>-0.32017184949169558</v>
      </c>
      <c r="F33" s="16">
        <v>-4.2482631253185207E-3</v>
      </c>
      <c r="G33" s="16">
        <v>-2.1026256366684357E-2</v>
      </c>
      <c r="H33" s="16">
        <v>1.2965422809946055E-2</v>
      </c>
      <c r="I33" s="17">
        <v>-0.32017184949169558</v>
      </c>
      <c r="J33" s="17">
        <v>46.419999600000004</v>
      </c>
      <c r="K33" s="16">
        <v>45.214509014035059</v>
      </c>
      <c r="L33" s="17">
        <v>1.2054905859649452</v>
      </c>
      <c r="M33" s="17">
        <v>-0.32017184949169558</v>
      </c>
      <c r="N33" s="16" t="b">
        <v>1</v>
      </c>
      <c r="O33" s="16" t="b">
        <v>1</v>
      </c>
      <c r="P33" s="17">
        <v>-1.8410735170949589E-2</v>
      </c>
      <c r="Q33" s="16">
        <v>-0.38596415045322435</v>
      </c>
      <c r="R33" s="16">
        <v>-2.2193967929273445E-2</v>
      </c>
      <c r="S33" s="17">
        <v>-4.8918311083505656E-3</v>
      </c>
      <c r="T33" s="17">
        <v>-1.7813606538020022E-3</v>
      </c>
      <c r="U33" s="16">
        <v>-5.8970563492470708E-3</v>
      </c>
      <c r="V33" s="16">
        <v>-2.1474134983666734E-3</v>
      </c>
      <c r="W33" s="17">
        <v>-4.8918098363505596E-3</v>
      </c>
      <c r="X33" s="17">
        <v>-2.5983841384834668E-4</v>
      </c>
      <c r="Y33" s="16">
        <v>-5.8970307060513183E-3</v>
      </c>
      <c r="Z33" s="16">
        <v>-3.1323276176624539E-4</v>
      </c>
      <c r="AA33" s="17">
        <v>-9.3827200684367715E-2</v>
      </c>
      <c r="AB33" s="17">
        <v>-2.5984904172533335E-4</v>
      </c>
      <c r="AC33" s="16">
        <v>-0.11310780713244895</v>
      </c>
      <c r="AD33" s="16">
        <v>-3.1324557357190159E-4</v>
      </c>
      <c r="AE33" s="17">
        <v>-4.8918912088724287E-3</v>
      </c>
      <c r="AF33" s="17">
        <v>-1.5987603277906658E-3</v>
      </c>
      <c r="AG33" s="16">
        <v>-5.8971287998603877E-3</v>
      </c>
      <c r="AH33" s="16">
        <v>-1.9272905243658774E-3</v>
      </c>
      <c r="AI33" s="17">
        <v>-3.5025274044739395E-2</v>
      </c>
      <c r="AJ33" s="17">
        <v>-2.8142849398185982E-3</v>
      </c>
      <c r="AK33" s="16">
        <v>-4.222263813177568E-2</v>
      </c>
      <c r="AL33" s="16">
        <v>-3.3925940011742422E-3</v>
      </c>
      <c r="AM33" s="17">
        <v>-4.8921556490696301E-3</v>
      </c>
      <c r="AN33" s="17">
        <v>-2.5985842192130233E-4</v>
      </c>
      <c r="AO33" s="16">
        <v>-5.897447580028665E-3</v>
      </c>
      <c r="AP33" s="16">
        <v>-3.1325688130983672E-4</v>
      </c>
      <c r="AQ33" s="17">
        <v>-6.8141290110918559E-2</v>
      </c>
      <c r="AR33" s="17">
        <v>-3.3576868270774659E-3</v>
      </c>
      <c r="AS33" s="16">
        <v>-8.2143683744218543E-2</v>
      </c>
      <c r="AT33" s="16">
        <v>-4.0476598606603922E-3</v>
      </c>
      <c r="AU33" s="17">
        <v>-9.3825945811898862E-2</v>
      </c>
      <c r="AV33" s="17">
        <v>-5.643426022473759E-3</v>
      </c>
      <c r="AW33" s="16">
        <v>-0.11310629439550116</v>
      </c>
      <c r="AX33" s="16">
        <v>-6.803096942681712E-3</v>
      </c>
      <c r="AY33" s="17">
        <v>-4.8921747672897725E-3</v>
      </c>
      <c r="AZ33" s="17">
        <v>-1.9692996135975758E-3</v>
      </c>
      <c r="BA33" s="16">
        <v>-5.8974706268630668E-3</v>
      </c>
      <c r="BB33" s="16">
        <v>-2.3739721451362817E-3</v>
      </c>
      <c r="BC33" s="17">
        <v>-4.892276269837903E-3</v>
      </c>
      <c r="BD33" s="17">
        <v>-4.6637090889452179E-4</v>
      </c>
      <c r="BE33" s="16">
        <v>-5.8975929872292897E-3</v>
      </c>
      <c r="BF33" s="16">
        <v>-5.622057402402611E-4</v>
      </c>
      <c r="BH33" s="19">
        <v>-0.32017184949169558</v>
      </c>
      <c r="BI33" s="18">
        <v>-0.38596415045322435</v>
      </c>
      <c r="BJ33" s="19">
        <v>-4.8918311083505656E-3</v>
      </c>
      <c r="BK33" s="18">
        <v>-5.8970563492470708E-3</v>
      </c>
      <c r="BL33" s="19">
        <v>-4.8918098363505596E-3</v>
      </c>
      <c r="BM33" s="18">
        <v>-5.8970307060513183E-3</v>
      </c>
      <c r="BN33" s="19">
        <v>-9.3827200684367715E-2</v>
      </c>
      <c r="BO33" s="18">
        <v>-0.11310780713244895</v>
      </c>
      <c r="BP33" s="19">
        <v>-4.8918912088724287E-3</v>
      </c>
      <c r="BQ33" s="18">
        <v>-5.8971287998603877E-3</v>
      </c>
      <c r="BR33" s="19">
        <v>-3.5025274044739395E-2</v>
      </c>
      <c r="BS33" s="18">
        <v>-4.222263813177568E-2</v>
      </c>
      <c r="BT33" s="19">
        <v>-4.8921556490696301E-3</v>
      </c>
      <c r="BU33" s="18">
        <v>-5.897447580028665E-3</v>
      </c>
      <c r="BV33" s="19">
        <v>-6.8141290110918559E-2</v>
      </c>
      <c r="BW33" s="18">
        <v>-8.2143683744218543E-2</v>
      </c>
      <c r="BX33" s="19">
        <v>-9.3825945811898862E-2</v>
      </c>
      <c r="BY33" s="18">
        <v>-0.11310629439550116</v>
      </c>
      <c r="BZ33" s="19">
        <v>-4.8921747672897725E-3</v>
      </c>
      <c r="CA33" s="18">
        <v>-5.8974706268630668E-3</v>
      </c>
      <c r="CB33" s="19">
        <v>-4.892276269837903E-3</v>
      </c>
      <c r="CC33" s="18">
        <v>-5.8975929872292897E-3</v>
      </c>
      <c r="CD33" s="19">
        <v>46.419999600000004</v>
      </c>
      <c r="CE33" s="18" t="b">
        <v>1</v>
      </c>
    </row>
    <row r="34" spans="1:83" x14ac:dyDescent="0.25">
      <c r="A34" s="15">
        <v>43935</v>
      </c>
      <c r="B34" s="16">
        <v>14258.400390999999</v>
      </c>
      <c r="C34" s="16">
        <v>1.2965422809946055E-2</v>
      </c>
      <c r="D34" s="17">
        <v>0.10925812500395946</v>
      </c>
      <c r="F34" s="16">
        <v>-2.1026256366684357E-2</v>
      </c>
      <c r="G34" s="16">
        <v>1.2965422809946055E-2</v>
      </c>
      <c r="H34" s="16">
        <v>-6.4023280464834062E-3</v>
      </c>
      <c r="I34" s="17">
        <v>0.10925812500395946</v>
      </c>
      <c r="J34" s="17">
        <v>48.352000000000004</v>
      </c>
      <c r="K34" s="16">
        <v>45.214509014035059</v>
      </c>
      <c r="L34" s="17">
        <v>3.1374909859649449</v>
      </c>
      <c r="M34" s="17">
        <v>0.10925812500395946</v>
      </c>
      <c r="N34" s="16" t="b">
        <v>1</v>
      </c>
      <c r="O34" s="16" t="b">
        <v>1</v>
      </c>
      <c r="P34" s="17">
        <v>-0.32017184949169558</v>
      </c>
      <c r="Q34" s="16">
        <v>0.34279638234335397</v>
      </c>
      <c r="R34" s="16">
        <v>-1.0045362917399199</v>
      </c>
      <c r="S34" s="17">
        <v>1.6972291644065604E-3</v>
      </c>
      <c r="T34" s="17">
        <v>-4.8918311083505656E-3</v>
      </c>
      <c r="U34" s="16">
        <v>5.3250412044423987E-3</v>
      </c>
      <c r="V34" s="16">
        <v>-1.5348076007312805E-2</v>
      </c>
      <c r="W34" s="17">
        <v>1.6972061336973533E-3</v>
      </c>
      <c r="X34" s="17">
        <v>-4.8918098363505596E-3</v>
      </c>
      <c r="Y34" s="16">
        <v>5.3249689457998605E-3</v>
      </c>
      <c r="Z34" s="16">
        <v>-1.5348009266604533E-2</v>
      </c>
      <c r="AA34" s="17">
        <v>1.4704015034069231E-2</v>
      </c>
      <c r="AB34" s="17">
        <v>-9.3827200684367715E-2</v>
      </c>
      <c r="AC34" s="16">
        <v>4.6133714626885244E-2</v>
      </c>
      <c r="AD34" s="16">
        <v>-0.29438199638552759</v>
      </c>
      <c r="AE34" s="17">
        <v>1.5571135654968777E-2</v>
      </c>
      <c r="AF34" s="17">
        <v>-4.8918912088724287E-3</v>
      </c>
      <c r="AG34" s="16">
        <v>4.8854297758701898E-2</v>
      </c>
      <c r="AH34" s="16">
        <v>-1.5348264572158403E-2</v>
      </c>
      <c r="AI34" s="17">
        <v>1.6972907917348272E-3</v>
      </c>
      <c r="AJ34" s="17">
        <v>-3.5025274044739395E-2</v>
      </c>
      <c r="AK34" s="16">
        <v>5.3252345596293245E-3</v>
      </c>
      <c r="AL34" s="16">
        <v>-0.1098914815963218</v>
      </c>
      <c r="AM34" s="17">
        <v>2.2879510431230682E-2</v>
      </c>
      <c r="AN34" s="17">
        <v>-4.8921556490696301E-3</v>
      </c>
      <c r="AO34" s="16">
        <v>7.1784257741277196E-2</v>
      </c>
      <c r="AP34" s="16">
        <v>-1.5349094250893449E-2</v>
      </c>
      <c r="AQ34" s="17">
        <v>1.5354289175923748E-2</v>
      </c>
      <c r="AR34" s="17">
        <v>-6.8141290110918559E-2</v>
      </c>
      <c r="AS34" s="16">
        <v>4.8173943885359879E-2</v>
      </c>
      <c r="AT34" s="16">
        <v>-0.21379268349502922</v>
      </c>
      <c r="AU34" s="17">
        <v>1.5354369866903977E-2</v>
      </c>
      <c r="AV34" s="17">
        <v>-9.3825945811898862E-2</v>
      </c>
      <c r="AW34" s="16">
        <v>4.8174197052583002E-2</v>
      </c>
      <c r="AX34" s="16">
        <v>-0.29437805923446803</v>
      </c>
      <c r="AY34" s="17">
        <v>1.8605836542548403E-2</v>
      </c>
      <c r="AZ34" s="17">
        <v>-4.8921747672897725E-3</v>
      </c>
      <c r="BA34" s="16">
        <v>5.8375644438582792E-2</v>
      </c>
      <c r="BB34" s="16">
        <v>-1.5349154234136813E-2</v>
      </c>
      <c r="BC34" s="17">
        <v>1.6972422084757979E-3</v>
      </c>
      <c r="BD34" s="17">
        <v>-4.892276269837903E-3</v>
      </c>
      <c r="BE34" s="16">
        <v>5.3250821300920518E-3</v>
      </c>
      <c r="BF34" s="16">
        <v>-1.5349472697466626E-2</v>
      </c>
      <c r="BH34" s="19">
        <v>0.10925812500395946</v>
      </c>
      <c r="BI34" s="18">
        <v>0.34279638234335397</v>
      </c>
      <c r="BJ34" s="19">
        <v>1.6972291644065604E-3</v>
      </c>
      <c r="BK34" s="18">
        <v>5.3250412044423987E-3</v>
      </c>
      <c r="BL34" s="19">
        <v>1.6972061336973533E-3</v>
      </c>
      <c r="BM34" s="18">
        <v>5.3249689457998605E-3</v>
      </c>
      <c r="BN34" s="19">
        <v>1.4704015034069231E-2</v>
      </c>
      <c r="BO34" s="18">
        <v>4.6133714626885244E-2</v>
      </c>
      <c r="BP34" s="19">
        <v>1.5571135654968777E-2</v>
      </c>
      <c r="BQ34" s="18">
        <v>4.8854297758701898E-2</v>
      </c>
      <c r="BR34" s="19">
        <v>1.6972907917348272E-3</v>
      </c>
      <c r="BS34" s="18">
        <v>5.3252345596293245E-3</v>
      </c>
      <c r="BT34" s="19">
        <v>2.2879510431230682E-2</v>
      </c>
      <c r="BU34" s="18">
        <v>7.1784257741277196E-2</v>
      </c>
      <c r="BV34" s="19">
        <v>1.5354289175923748E-2</v>
      </c>
      <c r="BW34" s="18">
        <v>4.8173943885359879E-2</v>
      </c>
      <c r="BX34" s="19">
        <v>1.5354369866903977E-2</v>
      </c>
      <c r="BY34" s="18">
        <v>4.8174197052583002E-2</v>
      </c>
      <c r="BZ34" s="19">
        <v>1.8605836542548403E-2</v>
      </c>
      <c r="CA34" s="18">
        <v>5.8375644438582792E-2</v>
      </c>
      <c r="CB34" s="19">
        <v>1.6972422084757979E-3</v>
      </c>
      <c r="CC34" s="18">
        <v>5.3250821300920518E-3</v>
      </c>
      <c r="CD34" s="19">
        <v>48.352000000000004</v>
      </c>
      <c r="CE34" s="18" t="b">
        <v>1</v>
      </c>
    </row>
    <row r="35" spans="1:83" x14ac:dyDescent="0.25">
      <c r="A35" s="15">
        <v>43934</v>
      </c>
      <c r="B35" s="16">
        <v>14075.900390999999</v>
      </c>
      <c r="C35" s="16">
        <v>-6.4023280464834062E-3</v>
      </c>
      <c r="D35" s="17">
        <v>-0.32851240194092196</v>
      </c>
      <c r="F35" s="16">
        <v>1.2965422809946055E-2</v>
      </c>
      <c r="G35" s="16">
        <v>-6.4023280464834062E-3</v>
      </c>
      <c r="H35" s="16">
        <v>1.729890853793448E-2</v>
      </c>
      <c r="I35" s="17">
        <v>-0.32851240194092196</v>
      </c>
      <c r="J35" s="17">
        <v>50.789000299999998</v>
      </c>
      <c r="K35" s="16">
        <v>45.214509014035059</v>
      </c>
      <c r="L35" s="17">
        <v>5.5744912859649389</v>
      </c>
      <c r="M35" s="17">
        <v>-0.32851240194092196</v>
      </c>
      <c r="N35" s="16" t="b">
        <v>1</v>
      </c>
      <c r="O35" s="16" t="b">
        <v>1</v>
      </c>
      <c r="P35" s="17">
        <v>0.10925812500395946</v>
      </c>
      <c r="Q35" s="16">
        <v>-1.831289521951081</v>
      </c>
      <c r="R35" s="16">
        <v>0.60905846575543998</v>
      </c>
      <c r="S35" s="17">
        <v>-4.2681083364169078E-2</v>
      </c>
      <c r="T35" s="17">
        <v>1.6972291644065604E-3</v>
      </c>
      <c r="U35" s="16">
        <v>-0.23792532728910365</v>
      </c>
      <c r="V35" s="16">
        <v>9.4611891872699253E-3</v>
      </c>
      <c r="W35" s="17">
        <v>-6.1817702594409536E-3</v>
      </c>
      <c r="X35" s="17">
        <v>1.6972061336973533E-3</v>
      </c>
      <c r="Y35" s="16">
        <v>-3.4460224443090819E-2</v>
      </c>
      <c r="Z35" s="16">
        <v>9.4610608027821414E-3</v>
      </c>
      <c r="AA35" s="17">
        <v>-6.1824379942844046E-3</v>
      </c>
      <c r="AB35" s="17">
        <v>1.4704015034069231E-2</v>
      </c>
      <c r="AC35" s="16">
        <v>-3.4463946725156971E-2</v>
      </c>
      <c r="AD35" s="16">
        <v>8.1967403676116379E-2</v>
      </c>
      <c r="AE35" s="17">
        <v>-5.4089375490141513E-2</v>
      </c>
      <c r="AF35" s="17">
        <v>1.5571135654968777E-2</v>
      </c>
      <c r="AG35" s="16">
        <v>-0.3015207523330794</v>
      </c>
      <c r="AH35" s="16">
        <v>8.6801160021201404E-2</v>
      </c>
      <c r="AI35" s="17">
        <v>-3.3556303863284336E-2</v>
      </c>
      <c r="AJ35" s="17">
        <v>1.6972907917348272E-3</v>
      </c>
      <c r="AK35" s="16">
        <v>-0.18705932347507015</v>
      </c>
      <c r="AL35" s="16">
        <v>9.4615327282743262E-3</v>
      </c>
      <c r="AM35" s="17">
        <v>-6.1818944325704164E-3</v>
      </c>
      <c r="AN35" s="17">
        <v>2.2879510431230682E-2</v>
      </c>
      <c r="AO35" s="16">
        <v>-3.4460916645118959E-2</v>
      </c>
      <c r="AP35" s="16">
        <v>0.12754163152603937</v>
      </c>
      <c r="AQ35" s="17">
        <v>-5.3111181019270426E-2</v>
      </c>
      <c r="AR35" s="17">
        <v>1.5354289175923748E-2</v>
      </c>
      <c r="AS35" s="16">
        <v>-0.29606781577922947</v>
      </c>
      <c r="AT35" s="16">
        <v>8.5592351213372719E-2</v>
      </c>
      <c r="AU35" s="17">
        <v>-0.10047556734432933</v>
      </c>
      <c r="AV35" s="17">
        <v>1.5354369866903977E-2</v>
      </c>
      <c r="AW35" s="16">
        <v>-0.56010017461334727</v>
      </c>
      <c r="AX35" s="16">
        <v>8.5592801024538853E-2</v>
      </c>
      <c r="AY35" s="17">
        <v>-1.9870423292422858E-2</v>
      </c>
      <c r="AZ35" s="17">
        <v>1.8605836542548403E-2</v>
      </c>
      <c r="BA35" s="16">
        <v>-0.11076750149204598</v>
      </c>
      <c r="BB35" s="16">
        <v>0.1037180736745241</v>
      </c>
      <c r="BC35" s="17">
        <v>-6.1823648810083627E-3</v>
      </c>
      <c r="BD35" s="17">
        <v>1.6972422084757979E-3</v>
      </c>
      <c r="BE35" s="16">
        <v>-3.4463539155836782E-2</v>
      </c>
      <c r="BF35" s="16">
        <v>9.4612619013202236E-3</v>
      </c>
      <c r="BH35" s="19">
        <v>-0.32851240194092196</v>
      </c>
      <c r="BI35" s="18">
        <v>-1.831289521951081</v>
      </c>
      <c r="BJ35" s="19">
        <v>-4.2681083364169078E-2</v>
      </c>
      <c r="BK35" s="18">
        <v>-0.23792532728910365</v>
      </c>
      <c r="BL35" s="19">
        <v>-6.1817702594409536E-3</v>
      </c>
      <c r="BM35" s="18">
        <v>-3.4460224443090819E-2</v>
      </c>
      <c r="BN35" s="19">
        <v>-6.1824379942844046E-3</v>
      </c>
      <c r="BO35" s="18">
        <v>-3.4463946725156971E-2</v>
      </c>
      <c r="BP35" s="19">
        <v>-5.4089375490141513E-2</v>
      </c>
      <c r="BQ35" s="18">
        <v>-0.3015207523330794</v>
      </c>
      <c r="BR35" s="19">
        <v>-3.3556303863284336E-2</v>
      </c>
      <c r="BS35" s="18">
        <v>-0.18705932347507015</v>
      </c>
      <c r="BT35" s="19">
        <v>-6.1818944325704164E-3</v>
      </c>
      <c r="BU35" s="18">
        <v>-3.4460916645118959E-2</v>
      </c>
      <c r="BV35" s="19">
        <v>-5.3111181019270426E-2</v>
      </c>
      <c r="BW35" s="18">
        <v>-0.29606781577922947</v>
      </c>
      <c r="BX35" s="19">
        <v>-0.10047556734432933</v>
      </c>
      <c r="BY35" s="18">
        <v>-0.56010017461334727</v>
      </c>
      <c r="BZ35" s="19">
        <v>-1.9870423292422858E-2</v>
      </c>
      <c r="CA35" s="18">
        <v>-0.11076750149204598</v>
      </c>
      <c r="CB35" s="19">
        <v>-6.1823648810083627E-3</v>
      </c>
      <c r="CC35" s="18">
        <v>-3.4463539155836782E-2</v>
      </c>
      <c r="CD35" s="19">
        <v>50.789000299999998</v>
      </c>
      <c r="CE35" s="18" t="b">
        <v>1</v>
      </c>
    </row>
    <row r="36" spans="1:83" x14ac:dyDescent="0.25">
      <c r="A36" s="15">
        <v>43930</v>
      </c>
      <c r="B36" s="16">
        <v>14166.599609000001</v>
      </c>
      <c r="C36" s="16">
        <v>1.729890853793448E-2</v>
      </c>
      <c r="D36" s="17">
        <v>8.9164984819944948E-2</v>
      </c>
      <c r="F36" s="16">
        <v>-6.4023280464834062E-3</v>
      </c>
      <c r="G36" s="16">
        <v>1.729890853793448E-2</v>
      </c>
      <c r="H36" s="16">
        <v>2.2888078899761091E-2</v>
      </c>
      <c r="I36" s="17">
        <v>8.9164984819944948E-2</v>
      </c>
      <c r="J36" s="17">
        <v>52.722000499999993</v>
      </c>
      <c r="K36" s="16">
        <v>45.214509014035059</v>
      </c>
      <c r="L36" s="17">
        <v>7.507491485964934</v>
      </c>
      <c r="M36" s="17">
        <v>8.9164984819944948E-2</v>
      </c>
      <c r="N36" s="16" t="b">
        <v>1</v>
      </c>
      <c r="O36" s="16" t="b">
        <v>1</v>
      </c>
      <c r="P36" s="17">
        <v>-0.32851240194092196</v>
      </c>
      <c r="Q36" s="16">
        <v>0.66940536438192932</v>
      </c>
      <c r="R36" s="16">
        <v>-2.4663040606053617</v>
      </c>
      <c r="S36" s="17">
        <v>1.3995175667343648E-3</v>
      </c>
      <c r="T36" s="17">
        <v>-4.2681083364169078E-2</v>
      </c>
      <c r="U36" s="16">
        <v>1.0506866216716605E-2</v>
      </c>
      <c r="V36" s="16">
        <v>-0.32042786996825895</v>
      </c>
      <c r="W36" s="17">
        <v>9.7581869367338089E-3</v>
      </c>
      <c r="X36" s="17">
        <v>-6.1817702594409536E-3</v>
      </c>
      <c r="Y36" s="16">
        <v>7.3259505345983314E-2</v>
      </c>
      <c r="Z36" s="16">
        <v>-4.6409587590944198E-2</v>
      </c>
      <c r="AA36" s="17">
        <v>1.1306443595853824E-2</v>
      </c>
      <c r="AB36" s="17">
        <v>-6.1824379942844046E-3</v>
      </c>
      <c r="AC36" s="16">
        <v>8.4883029032415333E-2</v>
      </c>
      <c r="AD36" s="16">
        <v>-4.641460060459629E-2</v>
      </c>
      <c r="AE36" s="17">
        <v>1.3995958575004331E-3</v>
      </c>
      <c r="AF36" s="17">
        <v>-5.4089375490141513E-2</v>
      </c>
      <c r="AG36" s="16">
        <v>1.0507453983976293E-2</v>
      </c>
      <c r="AH36" s="16">
        <v>-0.4060755259733978</v>
      </c>
      <c r="AI36" s="17">
        <v>1.8582250289662171E-2</v>
      </c>
      <c r="AJ36" s="17">
        <v>-3.3556303863284336E-2</v>
      </c>
      <c r="AK36" s="16">
        <v>0.13950608583970817</v>
      </c>
      <c r="AL36" s="16">
        <v>-0.25192366555405937</v>
      </c>
      <c r="AM36" s="17">
        <v>1.754303456471628E-2</v>
      </c>
      <c r="AN36" s="17">
        <v>-6.1818944325704164E-3</v>
      </c>
      <c r="AO36" s="16">
        <v>0.13170418263259603</v>
      </c>
      <c r="AP36" s="16">
        <v>-4.641051981965643E-2</v>
      </c>
      <c r="AQ36" s="17">
        <v>1.1151989711088302E-2</v>
      </c>
      <c r="AR36" s="17">
        <v>-5.3111181019270426E-2</v>
      </c>
      <c r="AS36" s="16">
        <v>8.372346780756397E-2</v>
      </c>
      <c r="AT36" s="16">
        <v>-0.39873173931171513</v>
      </c>
      <c r="AU36" s="17">
        <v>1.3367409267039266E-2</v>
      </c>
      <c r="AV36" s="17">
        <v>-0.10047556734432933</v>
      </c>
      <c r="AW36" s="16">
        <v>0.10035571126170605</v>
      </c>
      <c r="AX36" s="16">
        <v>-0.75431946638504876</v>
      </c>
      <c r="AY36" s="17">
        <v>3.2570272732499578E-3</v>
      </c>
      <c r="AZ36" s="17">
        <v>-1.9870423292422858E-2</v>
      </c>
      <c r="BA36" s="16">
        <v>2.4452104523479644E-2</v>
      </c>
      <c r="BB36" s="16">
        <v>-0.14917703369038393</v>
      </c>
      <c r="BC36" s="17">
        <v>1.3995297573664355E-3</v>
      </c>
      <c r="BD36" s="17">
        <v>-6.1823648810083627E-3</v>
      </c>
      <c r="BE36" s="16">
        <v>1.0506957737783084E-2</v>
      </c>
      <c r="BF36" s="16">
        <v>-4.6414051707298898E-2</v>
      </c>
      <c r="BH36" s="19">
        <v>8.9164984819944948E-2</v>
      </c>
      <c r="BI36" s="18">
        <v>0.66940536438192932</v>
      </c>
      <c r="BJ36" s="19">
        <v>1.3995175667343648E-3</v>
      </c>
      <c r="BK36" s="18">
        <v>1.0506866216716605E-2</v>
      </c>
      <c r="BL36" s="19">
        <v>9.7581869367338089E-3</v>
      </c>
      <c r="BM36" s="18">
        <v>7.3259505345983314E-2</v>
      </c>
      <c r="BN36" s="19">
        <v>1.1306443595853824E-2</v>
      </c>
      <c r="BO36" s="18">
        <v>8.4883029032415333E-2</v>
      </c>
      <c r="BP36" s="19">
        <v>1.3995958575004331E-3</v>
      </c>
      <c r="BQ36" s="18">
        <v>1.0507453983976293E-2</v>
      </c>
      <c r="BR36" s="19">
        <v>1.8582250289662171E-2</v>
      </c>
      <c r="BS36" s="18">
        <v>0.13950608583970817</v>
      </c>
      <c r="BT36" s="19">
        <v>1.754303456471628E-2</v>
      </c>
      <c r="BU36" s="18">
        <v>0.13170418263259603</v>
      </c>
      <c r="BV36" s="19">
        <v>1.1151989711088302E-2</v>
      </c>
      <c r="BW36" s="18">
        <v>8.372346780756397E-2</v>
      </c>
      <c r="BX36" s="19">
        <v>1.3367409267039266E-2</v>
      </c>
      <c r="BY36" s="18">
        <v>0.10035571126170605</v>
      </c>
      <c r="BZ36" s="19">
        <v>3.2570272732499578E-3</v>
      </c>
      <c r="CA36" s="18">
        <v>2.4452104523479644E-2</v>
      </c>
      <c r="CB36" s="19">
        <v>1.3995297573664355E-3</v>
      </c>
      <c r="CC36" s="18">
        <v>1.0506957737783084E-2</v>
      </c>
      <c r="CD36" s="19">
        <v>52.722000499999993</v>
      </c>
      <c r="CE36" s="18" t="b">
        <v>1</v>
      </c>
    </row>
    <row r="37" spans="1:83" x14ac:dyDescent="0.25">
      <c r="A37" s="15">
        <v>43929</v>
      </c>
      <c r="B37" s="16">
        <v>13925.700194999999</v>
      </c>
      <c r="C37" s="16">
        <v>2.2888078899761091E-2</v>
      </c>
      <c r="D37" s="17">
        <v>-7.3048542439937594E-2</v>
      </c>
      <c r="F37" s="16">
        <v>1.729890853793448E-2</v>
      </c>
      <c r="G37" s="16">
        <v>2.2888078899761091E-2</v>
      </c>
      <c r="H37" s="16">
        <v>1.5743313464585205E-3</v>
      </c>
      <c r="I37" s="17">
        <v>-7.3048542439937594E-2</v>
      </c>
      <c r="J37" s="17">
        <v>54.782000800000006</v>
      </c>
      <c r="K37" s="16">
        <v>45.214509014035059</v>
      </c>
      <c r="L37" s="17">
        <v>9.5674917859649469</v>
      </c>
      <c r="M37" s="17">
        <v>-7.3048542439937594E-2</v>
      </c>
      <c r="N37" s="16" t="b">
        <v>1</v>
      </c>
      <c r="O37" s="16" t="b">
        <v>1</v>
      </c>
      <c r="P37" s="17">
        <v>8.9164984819944948E-2</v>
      </c>
      <c r="Q37" s="16">
        <v>-0.69889132977081481</v>
      </c>
      <c r="R37" s="16">
        <v>0.85308525986051242</v>
      </c>
      <c r="S37" s="17">
        <v>-1.2297182185778876E-3</v>
      </c>
      <c r="T37" s="17">
        <v>1.3995175667343648E-3</v>
      </c>
      <c r="U37" s="16">
        <v>-1.1765318955295387E-2</v>
      </c>
      <c r="V37" s="16">
        <v>1.3389872824044685E-2</v>
      </c>
      <c r="W37" s="17">
        <v>-1.2297746236059619E-3</v>
      </c>
      <c r="X37" s="17">
        <v>9.7581869367338089E-3</v>
      </c>
      <c r="Y37" s="16">
        <v>-1.1765858609938175E-2</v>
      </c>
      <c r="Z37" s="16">
        <v>9.3361373363111164E-2</v>
      </c>
      <c r="AA37" s="17">
        <v>-2.263750268659717E-3</v>
      </c>
      <c r="AB37" s="17">
        <v>1.1306443595853824E-2</v>
      </c>
      <c r="AC37" s="16">
        <v>-2.1658412100877784E-2</v>
      </c>
      <c r="AD37" s="16">
        <v>0.10817430623180743</v>
      </c>
      <c r="AE37" s="17">
        <v>-1.229785376597761E-3</v>
      </c>
      <c r="AF37" s="17">
        <v>1.3995958575004331E-3</v>
      </c>
      <c r="AG37" s="16">
        <v>-1.1765961489098887E-2</v>
      </c>
      <c r="AH37" s="16">
        <v>1.3390621870305959E-2</v>
      </c>
      <c r="AI37" s="17">
        <v>-1.2298226270798164E-3</v>
      </c>
      <c r="AJ37" s="17">
        <v>1.8582250289662171E-2</v>
      </c>
      <c r="AK37" s="16">
        <v>-1.1766317882779976E-2</v>
      </c>
      <c r="AL37" s="16">
        <v>0.17778552701108757</v>
      </c>
      <c r="AM37" s="17">
        <v>-2.1440254072444168E-2</v>
      </c>
      <c r="AN37" s="17">
        <v>1.754303456471628E-2</v>
      </c>
      <c r="AO37" s="16">
        <v>-0.20512945472711108</v>
      </c>
      <c r="AP37" s="16">
        <v>0.16784283909882217</v>
      </c>
      <c r="AQ37" s="17">
        <v>-1.346516961481333E-2</v>
      </c>
      <c r="AR37" s="17">
        <v>1.1151989711088302E-2</v>
      </c>
      <c r="AS37" s="16">
        <v>-0.1288278996863513</v>
      </c>
      <c r="AT37" s="16">
        <v>0.10669656995800293</v>
      </c>
      <c r="AU37" s="17">
        <v>-1.9137176105298935E-2</v>
      </c>
      <c r="AV37" s="17">
        <v>1.3367409267039266E-2</v>
      </c>
      <c r="AW37" s="16">
        <v>-0.18309477519401221</v>
      </c>
      <c r="AX37" s="16">
        <v>0.12789257836202989</v>
      </c>
      <c r="AY37" s="17">
        <v>-1.0593265496713111E-2</v>
      </c>
      <c r="AZ37" s="17">
        <v>3.2570272732499578E-3</v>
      </c>
      <c r="BA37" s="16">
        <v>-0.10135098062634858</v>
      </c>
      <c r="BB37" s="16">
        <v>3.1161581683482781E-2</v>
      </c>
      <c r="BC37" s="17">
        <v>-1.2298260361468369E-3</v>
      </c>
      <c r="BD37" s="17">
        <v>1.3995297573664355E-3</v>
      </c>
      <c r="BE37" s="16">
        <v>-1.1766350499000692E-2</v>
      </c>
      <c r="BF37" s="16">
        <v>1.3389989457816887E-2</v>
      </c>
      <c r="BH37" s="19">
        <v>-7.3048542439937594E-2</v>
      </c>
      <c r="BI37" s="18">
        <v>-0.69889132977081481</v>
      </c>
      <c r="BJ37" s="19">
        <v>-1.2297182185778876E-3</v>
      </c>
      <c r="BK37" s="18">
        <v>-1.1765318955295387E-2</v>
      </c>
      <c r="BL37" s="19">
        <v>-1.2297746236059619E-3</v>
      </c>
      <c r="BM37" s="18">
        <v>-1.1765858609938175E-2</v>
      </c>
      <c r="BN37" s="19">
        <v>-2.263750268659717E-3</v>
      </c>
      <c r="BO37" s="18">
        <v>-2.1658412100877784E-2</v>
      </c>
      <c r="BP37" s="19">
        <v>-1.229785376597761E-3</v>
      </c>
      <c r="BQ37" s="18">
        <v>-1.1765961489098887E-2</v>
      </c>
      <c r="BR37" s="19">
        <v>-1.2298226270798164E-3</v>
      </c>
      <c r="BS37" s="18">
        <v>-1.1766317882779976E-2</v>
      </c>
      <c r="BT37" s="19">
        <v>-2.1440254072444168E-2</v>
      </c>
      <c r="BU37" s="18">
        <v>-0.20512945472711108</v>
      </c>
      <c r="BV37" s="19">
        <v>-1.346516961481333E-2</v>
      </c>
      <c r="BW37" s="18">
        <v>-0.1288278996863513</v>
      </c>
      <c r="BX37" s="19">
        <v>-1.9137176105298935E-2</v>
      </c>
      <c r="BY37" s="18">
        <v>-0.18309477519401221</v>
      </c>
      <c r="BZ37" s="19">
        <v>-1.0593265496713111E-2</v>
      </c>
      <c r="CA37" s="18">
        <v>-0.10135098062634858</v>
      </c>
      <c r="CB37" s="19">
        <v>-1.2298260361468369E-3</v>
      </c>
      <c r="CC37" s="18">
        <v>-1.1766350499000692E-2</v>
      </c>
      <c r="CD37" s="19">
        <v>54.782000800000006</v>
      </c>
      <c r="CE37" s="18" t="b">
        <v>1</v>
      </c>
    </row>
    <row r="38" spans="1:83" x14ac:dyDescent="0.25">
      <c r="A38" s="15">
        <v>43928</v>
      </c>
      <c r="B38" s="16">
        <v>13614.099609000001</v>
      </c>
      <c r="C38" s="16">
        <v>1.5743313464585205E-3</v>
      </c>
      <c r="D38" s="17">
        <v>-0.50390593466969824</v>
      </c>
      <c r="F38" s="16">
        <v>2.2888078899761091E-2</v>
      </c>
      <c r="G38" s="16">
        <v>1.5743313464585205E-3</v>
      </c>
      <c r="H38" s="16">
        <v>5.0578545857092143E-2</v>
      </c>
      <c r="I38" s="17">
        <v>-0.50390593466969824</v>
      </c>
      <c r="J38" s="17">
        <v>56.279000499999995</v>
      </c>
      <c r="K38" s="16">
        <v>45.214509014035059</v>
      </c>
      <c r="L38" s="17">
        <v>11.064491485964936</v>
      </c>
      <c r="M38" s="17">
        <v>-0.50390593466969824</v>
      </c>
      <c r="N38" s="16" t="b">
        <v>1</v>
      </c>
      <c r="O38" s="16" t="b">
        <v>1</v>
      </c>
      <c r="P38" s="17">
        <v>-7.3048542439937594E-2</v>
      </c>
      <c r="Q38" s="16">
        <v>-5.5754629238800799</v>
      </c>
      <c r="R38" s="16">
        <v>-0.80824497588883781</v>
      </c>
      <c r="S38" s="17">
        <v>-7.172374970462434E-3</v>
      </c>
      <c r="T38" s="17">
        <v>-1.2297182185778876E-3</v>
      </c>
      <c r="U38" s="16">
        <v>-7.9358681794829605E-2</v>
      </c>
      <c r="V38" s="16">
        <v>-1.3606206759591006E-2</v>
      </c>
      <c r="W38" s="17">
        <v>-7.1723386329397574E-3</v>
      </c>
      <c r="X38" s="17">
        <v>-1.2297746236059619E-3</v>
      </c>
      <c r="Y38" s="16">
        <v>-7.9358279738619336E-2</v>
      </c>
      <c r="Z38" s="16">
        <v>-1.3606830852543899E-2</v>
      </c>
      <c r="AA38" s="17">
        <v>-7.1723618513524681E-3</v>
      </c>
      <c r="AB38" s="17">
        <v>-2.263750268659717E-3</v>
      </c>
      <c r="AC38" s="16">
        <v>-7.9358536638549096E-2</v>
      </c>
      <c r="AD38" s="16">
        <v>-2.5047245573936276E-2</v>
      </c>
      <c r="AE38" s="17">
        <v>-2.3250662403076824E-2</v>
      </c>
      <c r="AF38" s="17">
        <v>-1.229785376597761E-3</v>
      </c>
      <c r="AG38" s="16">
        <v>-0.25725675620188854</v>
      </c>
      <c r="AH38" s="16">
        <v>-1.3606949828930109E-2</v>
      </c>
      <c r="AI38" s="17">
        <v>-0.21216640851528945</v>
      </c>
      <c r="AJ38" s="17">
        <v>-1.2298226270798164E-3</v>
      </c>
      <c r="AK38" s="16">
        <v>-2.3475134206251789</v>
      </c>
      <c r="AL38" s="16">
        <v>-1.360736198657166E-2</v>
      </c>
      <c r="AM38" s="17">
        <v>-7.1727615209948624E-3</v>
      </c>
      <c r="AN38" s="17">
        <v>-2.1440254072444168E-2</v>
      </c>
      <c r="AO38" s="16">
        <v>-7.9362958779904555E-2</v>
      </c>
      <c r="AP38" s="16">
        <v>-0.23722550864148353</v>
      </c>
      <c r="AQ38" s="17">
        <v>-7.915768142660988E-2</v>
      </c>
      <c r="AR38" s="17">
        <v>-1.346516961481333E-2</v>
      </c>
      <c r="AS38" s="16">
        <v>-0.87583949219344981</v>
      </c>
      <c r="AT38" s="16">
        <v>-0.14898525456017583</v>
      </c>
      <c r="AU38" s="17">
        <v>-7.1728361990186446E-3</v>
      </c>
      <c r="AV38" s="17">
        <v>-1.9137176105298935E-2</v>
      </c>
      <c r="AW38" s="16">
        <v>-7.9363785054262892E-2</v>
      </c>
      <c r="AX38" s="16">
        <v>-0.21174312208249169</v>
      </c>
      <c r="AY38" s="17">
        <v>-7.7159060828370499E-2</v>
      </c>
      <c r="AZ38" s="17">
        <v>-1.0593265496713111E-2</v>
      </c>
      <c r="BA38" s="16">
        <v>-0.85372577160055596</v>
      </c>
      <c r="BB38" s="16">
        <v>-0.11720909589694833</v>
      </c>
      <c r="BC38" s="17">
        <v>-7.6309448321582957E-2</v>
      </c>
      <c r="BD38" s="17">
        <v>-1.2298260361468369E-3</v>
      </c>
      <c r="BE38" s="16">
        <v>-0.84432524125283592</v>
      </c>
      <c r="BF38" s="16">
        <v>-1.3607399706164683E-2</v>
      </c>
      <c r="BH38" s="19">
        <v>-0.50390593466969824</v>
      </c>
      <c r="BI38" s="18">
        <v>-5.5754629238800799</v>
      </c>
      <c r="BJ38" s="19">
        <v>-7.172374970462434E-3</v>
      </c>
      <c r="BK38" s="18">
        <v>-7.9358681794829605E-2</v>
      </c>
      <c r="BL38" s="19">
        <v>-7.1723386329397574E-3</v>
      </c>
      <c r="BM38" s="18">
        <v>-7.9358279738619336E-2</v>
      </c>
      <c r="BN38" s="19">
        <v>-7.1723618513524681E-3</v>
      </c>
      <c r="BO38" s="18">
        <v>-7.9358536638549096E-2</v>
      </c>
      <c r="BP38" s="19">
        <v>-2.3250662403076824E-2</v>
      </c>
      <c r="BQ38" s="18">
        <v>-0.25725675620188854</v>
      </c>
      <c r="BR38" s="19">
        <v>-0.21216640851528945</v>
      </c>
      <c r="BS38" s="18">
        <v>-2.3475134206251789</v>
      </c>
      <c r="BT38" s="19">
        <v>-7.1727615209948624E-3</v>
      </c>
      <c r="BU38" s="18">
        <v>-7.9362958779904555E-2</v>
      </c>
      <c r="BV38" s="19">
        <v>-7.915768142660988E-2</v>
      </c>
      <c r="BW38" s="18">
        <v>-0.87583949219344981</v>
      </c>
      <c r="BX38" s="19">
        <v>-7.1728361990186446E-3</v>
      </c>
      <c r="BY38" s="18">
        <v>-7.9363785054262892E-2</v>
      </c>
      <c r="BZ38" s="19">
        <v>-7.7159060828370499E-2</v>
      </c>
      <c r="CA38" s="18">
        <v>-0.85372577160055596</v>
      </c>
      <c r="CB38" s="19">
        <v>-7.6309448321582957E-2</v>
      </c>
      <c r="CC38" s="18">
        <v>-0.84432524125283592</v>
      </c>
      <c r="CD38" s="19">
        <v>56.279000499999995</v>
      </c>
      <c r="CE38" s="18" t="b">
        <v>1</v>
      </c>
    </row>
    <row r="39" spans="1:83" x14ac:dyDescent="0.25">
      <c r="A39" s="15">
        <v>43927</v>
      </c>
      <c r="B39" s="16">
        <v>13592.700194999999</v>
      </c>
      <c r="C39" s="16">
        <v>5.0578545857092143E-2</v>
      </c>
      <c r="D39" s="17">
        <v>-2.5256967595355076E-2</v>
      </c>
      <c r="F39" s="16">
        <v>1.5743313464585205E-3</v>
      </c>
      <c r="G39" s="16">
        <v>5.0578545857092143E-2</v>
      </c>
      <c r="H39" s="16">
        <v>-1.2177617796472343E-2</v>
      </c>
      <c r="I39" s="17">
        <v>-2.5256967595355076E-2</v>
      </c>
      <c r="J39" s="17">
        <v>57.914000299999998</v>
      </c>
      <c r="K39" s="16">
        <v>45.214509014035059</v>
      </c>
      <c r="L39" s="17">
        <v>12.699491285964939</v>
      </c>
      <c r="M39" s="17">
        <v>-2.5256967595355076E-2</v>
      </c>
      <c r="N39" s="16" t="b">
        <v>1</v>
      </c>
      <c r="O39" s="16" t="b">
        <v>1</v>
      </c>
      <c r="P39" s="17">
        <v>-0.50390593466969824</v>
      </c>
      <c r="Q39" s="16">
        <v>-0.32075063988711061</v>
      </c>
      <c r="R39" s="16">
        <v>-6.3993490262838506</v>
      </c>
      <c r="S39" s="17">
        <v>-1.9875074046811075E-3</v>
      </c>
      <c r="T39" s="17">
        <v>-7.172374970462434E-3</v>
      </c>
      <c r="U39" s="16">
        <v>-2.5240332966538517E-2</v>
      </c>
      <c r="V39" s="16">
        <v>-9.1085513437060714E-2</v>
      </c>
      <c r="W39" s="17">
        <v>-4.5687447281879439E-4</v>
      </c>
      <c r="X39" s="17">
        <v>-7.1723386329397574E-3</v>
      </c>
      <c r="Y39" s="16">
        <v>-5.8020733863421046E-3</v>
      </c>
      <c r="Z39" s="16">
        <v>-9.1085051969008138E-2</v>
      </c>
      <c r="AA39" s="17">
        <v>-4.4339116250188826E-3</v>
      </c>
      <c r="AB39" s="17">
        <v>-7.1723618513524681E-3</v>
      </c>
      <c r="AC39" s="16">
        <v>-5.6308422044665941E-2</v>
      </c>
      <c r="AD39" s="16">
        <v>-9.1085346831038028E-2</v>
      </c>
      <c r="AE39" s="17">
        <v>-4.5690593554150019E-4</v>
      </c>
      <c r="AF39" s="17">
        <v>-2.3250662403076824E-2</v>
      </c>
      <c r="AG39" s="16">
        <v>-5.80247294691494E-3</v>
      </c>
      <c r="AH39" s="16">
        <v>-0.29527158458078673</v>
      </c>
      <c r="AI39" s="17">
        <v>-2.3702429570059817E-3</v>
      </c>
      <c r="AJ39" s="17">
        <v>-0.21216640851528945</v>
      </c>
      <c r="AK39" s="16">
        <v>-3.0100879778117234E-2</v>
      </c>
      <c r="AL39" s="16">
        <v>-2.6944054561143957</v>
      </c>
      <c r="AM39" s="17">
        <v>-2.4249151290442516E-3</v>
      </c>
      <c r="AN39" s="17">
        <v>-7.1727615209948624E-3</v>
      </c>
      <c r="AO39" s="16">
        <v>-3.0795188550502017E-2</v>
      </c>
      <c r="AP39" s="16">
        <v>-9.109042243217888E-2</v>
      </c>
      <c r="AQ39" s="17">
        <v>-4.5692722481173947E-4</v>
      </c>
      <c r="AR39" s="17">
        <v>-7.915768142660988E-2</v>
      </c>
      <c r="AS39" s="16">
        <v>-5.8027433098168284E-3</v>
      </c>
      <c r="AT39" s="16">
        <v>-1.0052622854944209</v>
      </c>
      <c r="AU39" s="17">
        <v>-2.4249379151290128E-3</v>
      </c>
      <c r="AV39" s="17">
        <v>-7.1728361990186446E-3</v>
      </c>
      <c r="AW39" s="16">
        <v>-3.0795477922186884E-2</v>
      </c>
      <c r="AX39" s="16">
        <v>-9.1091370805091151E-2</v>
      </c>
      <c r="AY39" s="17">
        <v>-4.188052424567771E-3</v>
      </c>
      <c r="AZ39" s="17">
        <v>-7.7159060828370499E-2</v>
      </c>
      <c r="BA39" s="16">
        <v>-5.3186135270962741E-2</v>
      </c>
      <c r="BB39" s="16">
        <v>-0.97988082062312976</v>
      </c>
      <c r="BC39" s="17">
        <v>-6.0566925067360123E-3</v>
      </c>
      <c r="BD39" s="17">
        <v>-7.6309448321582957E-2</v>
      </c>
      <c r="BE39" s="16">
        <v>-7.6916913711063128E-2</v>
      </c>
      <c r="BF39" s="16">
        <v>-0.96909117399673461</v>
      </c>
      <c r="BH39" s="19">
        <v>-2.5256967595355076E-2</v>
      </c>
      <c r="BI39" s="18">
        <v>-0.32075063988711061</v>
      </c>
      <c r="BJ39" s="19">
        <v>-1.9875074046811075E-3</v>
      </c>
      <c r="BK39" s="18">
        <v>-2.5240332966538517E-2</v>
      </c>
      <c r="BL39" s="19">
        <v>-4.5687447281879439E-4</v>
      </c>
      <c r="BM39" s="18">
        <v>-5.8020733863421046E-3</v>
      </c>
      <c r="BN39" s="19">
        <v>-4.4339116250188826E-3</v>
      </c>
      <c r="BO39" s="18">
        <v>-5.6308422044665941E-2</v>
      </c>
      <c r="BP39" s="19">
        <v>-4.5690593554150019E-4</v>
      </c>
      <c r="BQ39" s="18">
        <v>-5.80247294691494E-3</v>
      </c>
      <c r="BR39" s="19">
        <v>-2.3702429570059817E-3</v>
      </c>
      <c r="BS39" s="18">
        <v>-3.0100879778117234E-2</v>
      </c>
      <c r="BT39" s="19">
        <v>-2.4249151290442516E-3</v>
      </c>
      <c r="BU39" s="18">
        <v>-3.0795188550502017E-2</v>
      </c>
      <c r="BV39" s="19">
        <v>-4.5692722481173947E-4</v>
      </c>
      <c r="BW39" s="18">
        <v>-5.8027433098168284E-3</v>
      </c>
      <c r="BX39" s="19">
        <v>-2.4249379151290128E-3</v>
      </c>
      <c r="BY39" s="18">
        <v>-3.0795477922186884E-2</v>
      </c>
      <c r="BZ39" s="19">
        <v>-4.188052424567771E-3</v>
      </c>
      <c r="CA39" s="18">
        <v>-5.3186135270962741E-2</v>
      </c>
      <c r="CB39" s="19">
        <v>-6.0566925067360123E-3</v>
      </c>
      <c r="CC39" s="18">
        <v>-7.6916913711063128E-2</v>
      </c>
      <c r="CD39" s="19">
        <v>57.914000299999998</v>
      </c>
      <c r="CE39" s="18" t="b">
        <v>1</v>
      </c>
    </row>
    <row r="40" spans="1:83" x14ac:dyDescent="0.25">
      <c r="A40" s="15">
        <v>43924</v>
      </c>
      <c r="B40" s="16">
        <v>12938.299805000001</v>
      </c>
      <c r="C40" s="16">
        <v>-1.2177617796472343E-2</v>
      </c>
      <c r="D40" s="17">
        <v>-0.62750590592622757</v>
      </c>
      <c r="F40" s="16">
        <v>5.0578545857092143E-2</v>
      </c>
      <c r="G40" s="16">
        <v>-1.2177617796472343E-2</v>
      </c>
      <c r="H40" s="16">
        <v>1.7194200807451526E-2</v>
      </c>
      <c r="I40" s="17">
        <v>-0.62750590592622757</v>
      </c>
      <c r="J40" s="17">
        <v>59.8380005</v>
      </c>
      <c r="K40" s="16">
        <v>45.214509014035059</v>
      </c>
      <c r="L40" s="17">
        <v>14.623491485964941</v>
      </c>
      <c r="M40" s="17">
        <v>-0.62750590592622757</v>
      </c>
      <c r="N40" s="16" t="b">
        <v>1</v>
      </c>
      <c r="O40" s="16" t="b">
        <v>1</v>
      </c>
      <c r="P40" s="17">
        <v>-2.5256967595355076E-2</v>
      </c>
      <c r="Q40" s="16">
        <v>-9.1763272727049063</v>
      </c>
      <c r="R40" s="16">
        <v>-0.36934505059196737</v>
      </c>
      <c r="S40" s="17">
        <v>-8.8852928190003358E-3</v>
      </c>
      <c r="T40" s="17">
        <v>-1.9875074046811075E-3</v>
      </c>
      <c r="U40" s="16">
        <v>-0.12993400388895684</v>
      </c>
      <c r="V40" s="16">
        <v>-2.9064297610646453E-2</v>
      </c>
      <c r="W40" s="17">
        <v>-8.8855990083988642E-3</v>
      </c>
      <c r="X40" s="17">
        <v>-4.5687447281879439E-4</v>
      </c>
      <c r="Y40" s="16">
        <v>-0.12993848144701931</v>
      </c>
      <c r="Z40" s="16">
        <v>-6.6810999634203602E-3</v>
      </c>
      <c r="AA40" s="17">
        <v>-8.8854706097890382E-3</v>
      </c>
      <c r="AB40" s="17">
        <v>-4.4339116250188826E-3</v>
      </c>
      <c r="AC40" s="16">
        <v>-0.12993660381104172</v>
      </c>
      <c r="AD40" s="16">
        <v>-6.4839268897984609E-2</v>
      </c>
      <c r="AE40" s="17">
        <v>-0.10928384121435053</v>
      </c>
      <c r="AF40" s="17">
        <v>-4.5690593554150019E-4</v>
      </c>
      <c r="AG40" s="16">
        <v>-1.5981113215515994</v>
      </c>
      <c r="AH40" s="16">
        <v>-6.681560058277974E-3</v>
      </c>
      <c r="AI40" s="17">
        <v>-8.8853513818220962E-3</v>
      </c>
      <c r="AJ40" s="17">
        <v>-2.3702429570059817E-3</v>
      </c>
      <c r="AK40" s="16">
        <v>-0.12993486028188225</v>
      </c>
      <c r="AL40" s="16">
        <v>-3.4661227701445335E-2</v>
      </c>
      <c r="AM40" s="17">
        <v>-7.7534703539617722E-2</v>
      </c>
      <c r="AN40" s="17">
        <v>-2.4249151290442516E-3</v>
      </c>
      <c r="AO40" s="16">
        <v>-1.1338280770784155</v>
      </c>
      <c r="AP40" s="16">
        <v>-3.5460725743766186E-2</v>
      </c>
      <c r="AQ40" s="17">
        <v>-0.1742250864856805</v>
      </c>
      <c r="AR40" s="17">
        <v>-4.5692722481173947E-4</v>
      </c>
      <c r="AS40" s="16">
        <v>-2.5477790688648541</v>
      </c>
      <c r="AT40" s="16">
        <v>-6.6818713817400604E-3</v>
      </c>
      <c r="AU40" s="17">
        <v>-0.12044132644667442</v>
      </c>
      <c r="AV40" s="17">
        <v>-2.4249379151290128E-3</v>
      </c>
      <c r="AW40" s="16">
        <v>-1.7612727118512674</v>
      </c>
      <c r="AX40" s="16">
        <v>-3.5461058955882689E-2</v>
      </c>
      <c r="AY40" s="17">
        <v>-8.8871063289103769E-3</v>
      </c>
      <c r="AZ40" s="17">
        <v>-4.188052424567771E-3</v>
      </c>
      <c r="BA40" s="16">
        <v>-0.12996052373568603</v>
      </c>
      <c r="BB40" s="16">
        <v>-6.1243948973441625E-2</v>
      </c>
      <c r="BC40" s="17">
        <v>-0.10159212809198306</v>
      </c>
      <c r="BD40" s="17">
        <v>-6.0566925067360123E-3</v>
      </c>
      <c r="BE40" s="16">
        <v>-1.4856316201941739</v>
      </c>
      <c r="BF40" s="16">
        <v>-8.8569991305361737E-2</v>
      </c>
      <c r="BH40" s="19">
        <v>-0.62750590592622757</v>
      </c>
      <c r="BI40" s="18">
        <v>-9.1763272727049063</v>
      </c>
      <c r="BJ40" s="19">
        <v>-8.8852928190003358E-3</v>
      </c>
      <c r="BK40" s="18">
        <v>-0.12993400388895684</v>
      </c>
      <c r="BL40" s="19">
        <v>-8.8855990083988642E-3</v>
      </c>
      <c r="BM40" s="18">
        <v>-0.12993848144701931</v>
      </c>
      <c r="BN40" s="19">
        <v>-8.8854706097890382E-3</v>
      </c>
      <c r="BO40" s="18">
        <v>-0.12993660381104172</v>
      </c>
      <c r="BP40" s="19">
        <v>-0.10928384121435053</v>
      </c>
      <c r="BQ40" s="18">
        <v>-1.5981113215515994</v>
      </c>
      <c r="BR40" s="19">
        <v>-8.8853513818220962E-3</v>
      </c>
      <c r="BS40" s="18">
        <v>-0.12993486028188225</v>
      </c>
      <c r="BT40" s="19">
        <v>-7.7534703539617722E-2</v>
      </c>
      <c r="BU40" s="18">
        <v>-1.1338280770784155</v>
      </c>
      <c r="BV40" s="19">
        <v>-0.1742250864856805</v>
      </c>
      <c r="BW40" s="18">
        <v>-2.5477790688648541</v>
      </c>
      <c r="BX40" s="19">
        <v>-0.12044132644667442</v>
      </c>
      <c r="BY40" s="18">
        <v>-1.7612727118512674</v>
      </c>
      <c r="BZ40" s="19">
        <v>-8.8871063289103769E-3</v>
      </c>
      <c r="CA40" s="18">
        <v>-0.12996052373568603</v>
      </c>
      <c r="CB40" s="19">
        <v>-0.10159212809198306</v>
      </c>
      <c r="CC40" s="18">
        <v>-1.4856316201941739</v>
      </c>
      <c r="CD40" s="19">
        <v>59.8380005</v>
      </c>
      <c r="CE40" s="18" t="b">
        <v>1</v>
      </c>
    </row>
    <row r="41" spans="1:83" x14ac:dyDescent="0.25">
      <c r="A41" s="15">
        <v>43923</v>
      </c>
      <c r="B41" s="16">
        <v>13097.799805000001</v>
      </c>
      <c r="C41" s="16">
        <v>1.7194200807451526E-2</v>
      </c>
      <c r="D41" s="17">
        <v>-0.28957627939858605</v>
      </c>
      <c r="F41" s="16">
        <v>-1.2177617796472343E-2</v>
      </c>
      <c r="G41" s="16">
        <v>1.7194200807451526E-2</v>
      </c>
      <c r="H41" s="16">
        <v>-3.7551904604495374E-2</v>
      </c>
      <c r="I41" s="17">
        <v>-0.28957627939858605</v>
      </c>
      <c r="J41" s="17">
        <v>61.947000500000001</v>
      </c>
      <c r="K41" s="16">
        <v>45.214509014035059</v>
      </c>
      <c r="L41" s="17">
        <v>16.732491485964943</v>
      </c>
      <c r="M41" s="17">
        <v>-0.28957627939858605</v>
      </c>
      <c r="N41" s="16" t="b">
        <v>1</v>
      </c>
      <c r="O41" s="16" t="b">
        <v>1</v>
      </c>
      <c r="P41" s="17">
        <v>-0.62750590592622757</v>
      </c>
      <c r="Q41" s="16">
        <v>-4.845332629574246</v>
      </c>
      <c r="R41" s="16">
        <v>-10.499737228303321</v>
      </c>
      <c r="S41" s="17">
        <v>-5.0728967861617107E-3</v>
      </c>
      <c r="T41" s="17">
        <v>-8.8852928190003358E-3</v>
      </c>
      <c r="U41" s="16">
        <v>-8.4882202283629749E-2</v>
      </c>
      <c r="V41" s="16">
        <v>-0.14867308644422855</v>
      </c>
      <c r="W41" s="17">
        <v>-5.0727590262987015E-3</v>
      </c>
      <c r="X41" s="17">
        <v>-8.8855990083988642E-3</v>
      </c>
      <c r="Y41" s="16">
        <v>-8.4879897217894837E-2</v>
      </c>
      <c r="Z41" s="16">
        <v>-0.14867820975573254</v>
      </c>
      <c r="AA41" s="17">
        <v>-5.0734229836763003E-3</v>
      </c>
      <c r="AB41" s="17">
        <v>-8.8854706097890382E-3</v>
      </c>
      <c r="AC41" s="16">
        <v>-8.489100687906255E-2</v>
      </c>
      <c r="AD41" s="16">
        <v>-0.1486760613270868</v>
      </c>
      <c r="AE41" s="17">
        <v>-5.0732335573699357E-3</v>
      </c>
      <c r="AF41" s="17">
        <v>-0.10928384121435053</v>
      </c>
      <c r="AG41" s="16">
        <v>-8.4887837305004085E-2</v>
      </c>
      <c r="AH41" s="16">
        <v>-1.828590942672665</v>
      </c>
      <c r="AI41" s="17">
        <v>-2.5756377406256289E-2</v>
      </c>
      <c r="AJ41" s="17">
        <v>-8.8853513818220962E-3</v>
      </c>
      <c r="AK41" s="16">
        <v>-0.43096836565948315</v>
      </c>
      <c r="AL41" s="16">
        <v>-0.14867406634614505</v>
      </c>
      <c r="AM41" s="17">
        <v>-4.1269149245518721E-2</v>
      </c>
      <c r="AN41" s="17">
        <v>-7.7534703539617722E-2</v>
      </c>
      <c r="AO41" s="16">
        <v>-0.69053568838365853</v>
      </c>
      <c r="AP41" s="16">
        <v>-1.2973487668434693</v>
      </c>
      <c r="AQ41" s="17">
        <v>-5.072805751931835E-3</v>
      </c>
      <c r="AR41" s="17">
        <v>-0.1742250864856805</v>
      </c>
      <c r="AS41" s="16">
        <v>-8.4880679054153418E-2</v>
      </c>
      <c r="AT41" s="16">
        <v>-2.9152197762631546</v>
      </c>
      <c r="AU41" s="17">
        <v>-6.2890214855230164E-2</v>
      </c>
      <c r="AV41" s="17">
        <v>-0.12044132644667442</v>
      </c>
      <c r="AW41" s="16">
        <v>-1.0523099846156447</v>
      </c>
      <c r="AX41" s="16">
        <v>-2.0152834693273038</v>
      </c>
      <c r="AY41" s="17">
        <v>-0.12922235853609865</v>
      </c>
      <c r="AZ41" s="17">
        <v>-8.8871063289103769E-3</v>
      </c>
      <c r="BA41" s="16">
        <v>-2.1622120140015797</v>
      </c>
      <c r="BB41" s="16">
        <v>-0.14870343098335803</v>
      </c>
      <c r="BC41" s="17">
        <v>-5.0730612500434714E-3</v>
      </c>
      <c r="BD41" s="17">
        <v>-0.10159212809198306</v>
      </c>
      <c r="BE41" s="16">
        <v>-8.4884954174131055E-2</v>
      </c>
      <c r="BF41" s="16">
        <v>-1.6998894183401665</v>
      </c>
      <c r="BH41" s="19">
        <v>-0.28957627939858605</v>
      </c>
      <c r="BI41" s="18">
        <v>-4.845332629574246</v>
      </c>
      <c r="BJ41" s="19">
        <v>-5.0728967861617107E-3</v>
      </c>
      <c r="BK41" s="18">
        <v>-8.4882202283629749E-2</v>
      </c>
      <c r="BL41" s="19">
        <v>-5.0727590262987015E-3</v>
      </c>
      <c r="BM41" s="18">
        <v>-8.4879897217894837E-2</v>
      </c>
      <c r="BN41" s="19">
        <v>-5.0734229836763003E-3</v>
      </c>
      <c r="BO41" s="18">
        <v>-8.489100687906255E-2</v>
      </c>
      <c r="BP41" s="19">
        <v>-5.0732335573699357E-3</v>
      </c>
      <c r="BQ41" s="18">
        <v>-8.4887837305004085E-2</v>
      </c>
      <c r="BR41" s="19">
        <v>-2.5756377406256289E-2</v>
      </c>
      <c r="BS41" s="18">
        <v>-0.43096836565948315</v>
      </c>
      <c r="BT41" s="19">
        <v>-4.1269149245518721E-2</v>
      </c>
      <c r="BU41" s="18">
        <v>-0.69053568838365853</v>
      </c>
      <c r="BV41" s="19">
        <v>-5.072805751931835E-3</v>
      </c>
      <c r="BW41" s="18">
        <v>-8.4880679054153418E-2</v>
      </c>
      <c r="BX41" s="19">
        <v>-6.2890214855230164E-2</v>
      </c>
      <c r="BY41" s="18">
        <v>-1.0523099846156447</v>
      </c>
      <c r="BZ41" s="19">
        <v>-0.12922235853609865</v>
      </c>
      <c r="CA41" s="18">
        <v>-2.1622120140015797</v>
      </c>
      <c r="CB41" s="19">
        <v>-5.0730612500434714E-3</v>
      </c>
      <c r="CC41" s="18">
        <v>-8.4884954174131055E-2</v>
      </c>
      <c r="CD41" s="19">
        <v>61.947000500000001</v>
      </c>
      <c r="CE41" s="18" t="b">
        <v>1</v>
      </c>
    </row>
    <row r="42" spans="1:83" x14ac:dyDescent="0.25">
      <c r="A42" s="15">
        <v>43922</v>
      </c>
      <c r="B42" s="16">
        <v>12876.400390999999</v>
      </c>
      <c r="C42" s="16">
        <v>-3.7551904604495374E-2</v>
      </c>
      <c r="D42" s="17">
        <v>7.8005850501358512E-2</v>
      </c>
      <c r="F42" s="16">
        <v>1.7194200807451526E-2</v>
      </c>
      <c r="G42" s="16">
        <v>-3.7551904604495374E-2</v>
      </c>
      <c r="H42" s="16">
        <v>2.6099613068988042E-2</v>
      </c>
      <c r="I42" s="17">
        <v>7.8005850501358512E-2</v>
      </c>
      <c r="J42" s="17">
        <v>63.886000100000004</v>
      </c>
      <c r="K42" s="16">
        <v>45.214509014035059</v>
      </c>
      <c r="L42" s="17">
        <v>18.671491085964945</v>
      </c>
      <c r="M42" s="17">
        <v>7.8005850501358512E-2</v>
      </c>
      <c r="N42" s="16" t="b">
        <v>1</v>
      </c>
      <c r="O42" s="16" t="b">
        <v>1</v>
      </c>
      <c r="P42" s="17">
        <v>-0.28957627939858605</v>
      </c>
      <c r="Q42" s="16">
        <v>1.4564855422892296</v>
      </c>
      <c r="R42" s="16">
        <v>-5.4068209194975934</v>
      </c>
      <c r="S42" s="17">
        <v>1.5602424550421763E-3</v>
      </c>
      <c r="T42" s="17">
        <v>-5.0728967861617107E-3</v>
      </c>
      <c r="U42" s="16">
        <v>2.9132053091264057E-2</v>
      </c>
      <c r="V42" s="16">
        <v>-9.4718547122838601E-2</v>
      </c>
      <c r="W42" s="17">
        <v>7.8005471767174112E-3</v>
      </c>
      <c r="X42" s="17">
        <v>-5.0727590262987015E-3</v>
      </c>
      <c r="Y42" s="16">
        <v>0.14564784707572817</v>
      </c>
      <c r="Z42" s="16">
        <v>-9.4715974940784417E-2</v>
      </c>
      <c r="AA42" s="17">
        <v>1.5602237417408E-3</v>
      </c>
      <c r="AB42" s="17">
        <v>-5.0734229836763003E-3</v>
      </c>
      <c r="AC42" s="16">
        <v>2.9131703686024218E-2</v>
      </c>
      <c r="AD42" s="16">
        <v>-9.4728372015041709E-2</v>
      </c>
      <c r="AE42" s="17">
        <v>1.5601840371188122E-3</v>
      </c>
      <c r="AF42" s="17">
        <v>-5.0732335573699357E-3</v>
      </c>
      <c r="AG42" s="16">
        <v>2.9130962341528704E-2</v>
      </c>
      <c r="AH42" s="16">
        <v>-9.4724835143450981E-2</v>
      </c>
      <c r="AI42" s="17">
        <v>7.8007196681707273E-3</v>
      </c>
      <c r="AJ42" s="17">
        <v>-2.5756377406256289E-2</v>
      </c>
      <c r="AK42" s="16">
        <v>0.14565106774836115</v>
      </c>
      <c r="AL42" s="16">
        <v>-0.48090997114766321</v>
      </c>
      <c r="AM42" s="17">
        <v>1.5602937225845893E-3</v>
      </c>
      <c r="AN42" s="17">
        <v>-4.1269149245518721E-2</v>
      </c>
      <c r="AO42" s="16">
        <v>2.913301033272522E-2</v>
      </c>
      <c r="AP42" s="16">
        <v>-0.77055655226305975</v>
      </c>
      <c r="AQ42" s="17">
        <v>1.5602072386281156E-3</v>
      </c>
      <c r="AR42" s="17">
        <v>-5.072805751931835E-3</v>
      </c>
      <c r="AS42" s="16">
        <v>2.9131395548302842E-2</v>
      </c>
      <c r="AT42" s="16">
        <v>-9.4716847378026964E-2</v>
      </c>
      <c r="AU42" s="17">
        <v>1.5601000342658093E-2</v>
      </c>
      <c r="AV42" s="17">
        <v>-6.2890214855230164E-2</v>
      </c>
      <c r="AW42" s="16">
        <v>0.29129393883007665</v>
      </c>
      <c r="AX42" s="16">
        <v>-1.1742540860638502</v>
      </c>
      <c r="AY42" s="17">
        <v>2.5741525247241121E-2</v>
      </c>
      <c r="AZ42" s="17">
        <v>-0.12922235853609865</v>
      </c>
      <c r="BA42" s="16">
        <v>0.48063265919300419</v>
      </c>
      <c r="BB42" s="16">
        <v>-2.4127741155141318</v>
      </c>
      <c r="BC42" s="17">
        <v>1.3260906871456596E-2</v>
      </c>
      <c r="BD42" s="17">
        <v>-5.0730612500434714E-3</v>
      </c>
      <c r="BE42" s="16">
        <v>0.24760090444221311</v>
      </c>
      <c r="BF42" s="16">
        <v>-9.4721617908740854E-2</v>
      </c>
      <c r="BH42" s="19">
        <v>7.8005850501358512E-2</v>
      </c>
      <c r="BI42" s="18">
        <v>1.4564855422892296</v>
      </c>
      <c r="BJ42" s="19">
        <v>1.5602424550421763E-3</v>
      </c>
      <c r="BK42" s="18">
        <v>2.9132053091264057E-2</v>
      </c>
      <c r="BL42" s="19">
        <v>7.8005471767174112E-3</v>
      </c>
      <c r="BM42" s="18">
        <v>0.14564784707572817</v>
      </c>
      <c r="BN42" s="19">
        <v>1.5602237417408E-3</v>
      </c>
      <c r="BO42" s="18">
        <v>2.9131703686024218E-2</v>
      </c>
      <c r="BP42" s="19">
        <v>1.5601840371188122E-3</v>
      </c>
      <c r="BQ42" s="18">
        <v>2.9130962341528704E-2</v>
      </c>
      <c r="BR42" s="19">
        <v>7.8007196681707273E-3</v>
      </c>
      <c r="BS42" s="18">
        <v>0.14565106774836115</v>
      </c>
      <c r="BT42" s="19">
        <v>1.5602937225845893E-3</v>
      </c>
      <c r="BU42" s="18">
        <v>2.913301033272522E-2</v>
      </c>
      <c r="BV42" s="19">
        <v>1.5602072386281156E-3</v>
      </c>
      <c r="BW42" s="18">
        <v>2.9131395548302842E-2</v>
      </c>
      <c r="BX42" s="19">
        <v>1.5601000342658093E-2</v>
      </c>
      <c r="BY42" s="18">
        <v>0.29129393883007665</v>
      </c>
      <c r="BZ42" s="19">
        <v>2.5741525247241121E-2</v>
      </c>
      <c r="CA42" s="18">
        <v>0.48063265919300419</v>
      </c>
      <c r="CB42" s="19">
        <v>1.3260906871456596E-2</v>
      </c>
      <c r="CC42" s="18">
        <v>0.24760090444221311</v>
      </c>
      <c r="CD42" s="19">
        <v>63.886000100000004</v>
      </c>
      <c r="CE42" s="18" t="b">
        <v>1</v>
      </c>
    </row>
    <row r="43" spans="1:83" x14ac:dyDescent="0.25">
      <c r="A43" s="15">
        <v>43921</v>
      </c>
      <c r="B43" s="16">
        <v>13378.799805000001</v>
      </c>
      <c r="C43" s="16">
        <v>2.6099613068988042E-2</v>
      </c>
      <c r="D43" s="17">
        <v>-5.0065291579812765E-2</v>
      </c>
      <c r="F43" s="16">
        <v>-3.7551904604495374E-2</v>
      </c>
      <c r="G43" s="16">
        <v>2.6099613068988042E-2</v>
      </c>
      <c r="H43" s="16">
        <v>2.7648809446036929E-2</v>
      </c>
      <c r="I43" s="17">
        <v>-5.0065291579812765E-2</v>
      </c>
      <c r="J43" s="17">
        <v>66.123000399999995</v>
      </c>
      <c r="K43" s="16">
        <v>45.214509014035059</v>
      </c>
      <c r="L43" s="17">
        <v>20.908491385964936</v>
      </c>
      <c r="M43" s="17">
        <v>-5.0065291579812765E-2</v>
      </c>
      <c r="N43" s="16" t="b">
        <v>1</v>
      </c>
      <c r="O43" s="16" t="b">
        <v>1</v>
      </c>
      <c r="P43" s="17">
        <v>7.8005850501358512E-2</v>
      </c>
      <c r="Q43" s="16">
        <v>-1.046789717732338</v>
      </c>
      <c r="R43" s="16">
        <v>1.630984653262523</v>
      </c>
      <c r="S43" s="17">
        <v>-7.2399917498845148E-4</v>
      </c>
      <c r="T43" s="17">
        <v>1.5602424550421763E-3</v>
      </c>
      <c r="U43" s="16">
        <v>-1.5137730513691758E-2</v>
      </c>
      <c r="V43" s="16">
        <v>3.2622315931266126E-2</v>
      </c>
      <c r="W43" s="17">
        <v>-7.2398129983529131E-4</v>
      </c>
      <c r="X43" s="17">
        <v>7.8005471767174112E-3</v>
      </c>
      <c r="Y43" s="16">
        <v>-1.5137356771205887E-2</v>
      </c>
      <c r="Z43" s="16">
        <v>0.16309767345020909</v>
      </c>
      <c r="AA43" s="17">
        <v>-7.2395325777838907E-4</v>
      </c>
      <c r="AB43" s="17">
        <v>1.5602237417408E-3</v>
      </c>
      <c r="AC43" s="16">
        <v>-1.5136770454100701E-2</v>
      </c>
      <c r="AD43" s="16">
        <v>3.2621924664365497E-2</v>
      </c>
      <c r="AE43" s="17">
        <v>-7.2403282774974895E-4</v>
      </c>
      <c r="AF43" s="17">
        <v>1.5601840371188122E-3</v>
      </c>
      <c r="AG43" s="16">
        <v>-1.5138434142161461E-2</v>
      </c>
      <c r="AH43" s="16">
        <v>3.2621094500618682E-2</v>
      </c>
      <c r="AI43" s="17">
        <v>-6.1998123844352699E-3</v>
      </c>
      <c r="AJ43" s="17">
        <v>7.8007196681707273E-3</v>
      </c>
      <c r="AK43" s="16">
        <v>-0.12962872383456359</v>
      </c>
      <c r="AL43" s="16">
        <v>0.16310127998627491</v>
      </c>
      <c r="AM43" s="17">
        <v>-1.6716745046733018E-2</v>
      </c>
      <c r="AN43" s="17">
        <v>1.5602937225845893E-3</v>
      </c>
      <c r="AO43" s="16">
        <v>-0.34952191981098935</v>
      </c>
      <c r="AP43" s="16">
        <v>3.2623387858235049E-2</v>
      </c>
      <c r="AQ43" s="17">
        <v>-7.2400700865069977E-4</v>
      </c>
      <c r="AR43" s="17">
        <v>1.5602072386281156E-3</v>
      </c>
      <c r="AS43" s="16">
        <v>-1.5137894303751396E-2</v>
      </c>
      <c r="AT43" s="16">
        <v>3.2621579609176096E-2</v>
      </c>
      <c r="AU43" s="17">
        <v>-1.6716709220067533E-2</v>
      </c>
      <c r="AV43" s="17">
        <v>1.5601000342658093E-2</v>
      </c>
      <c r="AW43" s="16">
        <v>-0.34952117072946265</v>
      </c>
      <c r="AX43" s="16">
        <v>0.32619338127690278</v>
      </c>
      <c r="AY43" s="17">
        <v>-7.2403150596203885E-4</v>
      </c>
      <c r="AZ43" s="17">
        <v>2.5741525247241121E-2</v>
      </c>
      <c r="BA43" s="16">
        <v>-1.5138406505574509E-2</v>
      </c>
      <c r="BB43" s="16">
        <v>0.53821645889353986</v>
      </c>
      <c r="BC43" s="17">
        <v>-6.0880198536122808E-3</v>
      </c>
      <c r="BD43" s="17">
        <v>1.3260906871456596E-2</v>
      </c>
      <c r="BE43" s="16">
        <v>-0.12729131066683588</v>
      </c>
      <c r="BF43" s="16">
        <v>0.27726555709193346</v>
      </c>
      <c r="BH43" s="19">
        <v>-5.0065291579812765E-2</v>
      </c>
      <c r="BI43" s="18">
        <v>-1.046789717732338</v>
      </c>
      <c r="BJ43" s="19">
        <v>-7.2399917498845148E-4</v>
      </c>
      <c r="BK43" s="18">
        <v>-1.5137730513691758E-2</v>
      </c>
      <c r="BL43" s="19">
        <v>-7.2398129983529131E-4</v>
      </c>
      <c r="BM43" s="18">
        <v>-1.5137356771205887E-2</v>
      </c>
      <c r="BN43" s="19">
        <v>-7.2395325777838907E-4</v>
      </c>
      <c r="BO43" s="18">
        <v>-1.5136770454100701E-2</v>
      </c>
      <c r="BP43" s="19">
        <v>-7.2403282774974895E-4</v>
      </c>
      <c r="BQ43" s="18">
        <v>-1.5138434142161461E-2</v>
      </c>
      <c r="BR43" s="19">
        <v>-6.1998123844352699E-3</v>
      </c>
      <c r="BS43" s="18">
        <v>-0.12962872383456359</v>
      </c>
      <c r="BT43" s="19">
        <v>-1.6716745046733018E-2</v>
      </c>
      <c r="BU43" s="18">
        <v>-0.34952191981098935</v>
      </c>
      <c r="BV43" s="19">
        <v>-7.2400700865069977E-4</v>
      </c>
      <c r="BW43" s="18">
        <v>-1.5137894303751396E-2</v>
      </c>
      <c r="BX43" s="19">
        <v>-1.6716709220067533E-2</v>
      </c>
      <c r="BY43" s="18">
        <v>-0.34952117072946265</v>
      </c>
      <c r="BZ43" s="19">
        <v>-7.2403150596203885E-4</v>
      </c>
      <c r="CA43" s="18">
        <v>-1.5138406505574509E-2</v>
      </c>
      <c r="CB43" s="19">
        <v>-6.0880198536122808E-3</v>
      </c>
      <c r="CC43" s="18">
        <v>-0.12729131066683588</v>
      </c>
      <c r="CD43" s="19">
        <v>66.123000399999995</v>
      </c>
      <c r="CE43" s="18" t="b">
        <v>1</v>
      </c>
    </row>
    <row r="44" spans="1:83" x14ac:dyDescent="0.25">
      <c r="A44" s="15">
        <v>43920</v>
      </c>
      <c r="B44" s="16">
        <v>13038.5</v>
      </c>
      <c r="C44" s="16">
        <v>2.7648809446036929E-2</v>
      </c>
      <c r="D44" s="17">
        <v>6.451272894628346E-2</v>
      </c>
      <c r="F44" s="16">
        <v>2.6099613068988042E-2</v>
      </c>
      <c r="G44" s="16">
        <v>2.7648809446036929E-2</v>
      </c>
      <c r="H44" s="16">
        <v>-5.1117326046437227E-2</v>
      </c>
      <c r="I44" s="17">
        <v>6.451272894628346E-2</v>
      </c>
      <c r="J44" s="17">
        <v>68.684000400000002</v>
      </c>
      <c r="K44" s="16">
        <v>45.214509014035059</v>
      </c>
      <c r="L44" s="17">
        <v>23.469491385964943</v>
      </c>
      <c r="M44" s="17">
        <v>6.451272894628346E-2</v>
      </c>
      <c r="N44" s="16" t="b">
        <v>1</v>
      </c>
      <c r="O44" s="16" t="b">
        <v>1</v>
      </c>
      <c r="P44" s="17">
        <v>-5.0065291579812765E-2</v>
      </c>
      <c r="Q44" s="16">
        <v>1.5140809362898908</v>
      </c>
      <c r="R44" s="16">
        <v>-1.1750069294682388</v>
      </c>
      <c r="S44" s="17">
        <v>1.2186557736812251E-3</v>
      </c>
      <c r="T44" s="17">
        <v>-7.2399917498845148E-4</v>
      </c>
      <c r="U44" s="16">
        <v>2.8601231182867955E-2</v>
      </c>
      <c r="V44" s="16">
        <v>-1.6991892400837188E-2</v>
      </c>
      <c r="W44" s="17">
        <v>1.5554733397967077E-2</v>
      </c>
      <c r="X44" s="17">
        <v>-7.2398129983529131E-4</v>
      </c>
      <c r="Y44" s="16">
        <v>0.36506168149456952</v>
      </c>
      <c r="Z44" s="16">
        <v>-1.6991472880084072E-2</v>
      </c>
      <c r="AA44" s="17">
        <v>1.2187239745035489E-3</v>
      </c>
      <c r="AB44" s="17">
        <v>-7.2395325777838907E-4</v>
      </c>
      <c r="AC44" s="16">
        <v>2.8602831821480001E-2</v>
      </c>
      <c r="AD44" s="16">
        <v>-1.6990814747271162E-2</v>
      </c>
      <c r="AE44" s="17">
        <v>1.2187704907452288E-3</v>
      </c>
      <c r="AF44" s="17">
        <v>-7.2403282774974895E-4</v>
      </c>
      <c r="AG44" s="16">
        <v>2.8603923534013413E-2</v>
      </c>
      <c r="AH44" s="16">
        <v>-1.6992682214028571E-2</v>
      </c>
      <c r="AI44" s="17">
        <v>1.4120947253207927E-2</v>
      </c>
      <c r="AJ44" s="17">
        <v>-6.1998123844352699E-3</v>
      </c>
      <c r="AK44" s="16">
        <v>0.33141144992082877</v>
      </c>
      <c r="AL44" s="16">
        <v>-0.14550644335110235</v>
      </c>
      <c r="AM44" s="17">
        <v>1.1969880910909085E-2</v>
      </c>
      <c r="AN44" s="17">
        <v>-1.6716745046733018E-2</v>
      </c>
      <c r="AO44" s="16">
        <v>0.28092701692960698</v>
      </c>
      <c r="AP44" s="16">
        <v>-0.39233350387567273</v>
      </c>
      <c r="AQ44" s="17">
        <v>1.2189264441783614E-3</v>
      </c>
      <c r="AR44" s="17">
        <v>-7.2400700865069977E-4</v>
      </c>
      <c r="AS44" s="16">
        <v>2.8607583681768928E-2</v>
      </c>
      <c r="AT44" s="16">
        <v>-1.6992076252905844E-2</v>
      </c>
      <c r="AU44" s="17">
        <v>1.555485781773594E-2</v>
      </c>
      <c r="AV44" s="17">
        <v>-1.6716709220067533E-2</v>
      </c>
      <c r="AW44" s="16">
        <v>0.36506460156326309</v>
      </c>
      <c r="AX44" s="16">
        <v>-0.39233266304205572</v>
      </c>
      <c r="AY44" s="17">
        <v>1.2185984954640871E-3</v>
      </c>
      <c r="AZ44" s="17">
        <v>-7.2403150596203885E-4</v>
      </c>
      <c r="BA44" s="16">
        <v>2.8599886892244231E-2</v>
      </c>
      <c r="BB44" s="16">
        <v>-1.6992651192343295E-2</v>
      </c>
      <c r="BC44" s="17">
        <v>1.218634387890933E-3</v>
      </c>
      <c r="BD44" s="17">
        <v>-6.0880198536122808E-3</v>
      </c>
      <c r="BE44" s="16">
        <v>2.8600729269246915E-2</v>
      </c>
      <c r="BF44" s="16">
        <v>-0.14288272951193698</v>
      </c>
      <c r="BH44" s="19">
        <v>6.451272894628346E-2</v>
      </c>
      <c r="BI44" s="18">
        <v>1.5140809362898908</v>
      </c>
      <c r="BJ44" s="19">
        <v>1.2186557736812251E-3</v>
      </c>
      <c r="BK44" s="18">
        <v>2.8601231182867955E-2</v>
      </c>
      <c r="BL44" s="19">
        <v>1.5554733397967077E-2</v>
      </c>
      <c r="BM44" s="18">
        <v>0.36506168149456952</v>
      </c>
      <c r="BN44" s="19">
        <v>1.2187239745035489E-3</v>
      </c>
      <c r="BO44" s="18">
        <v>2.8602831821480001E-2</v>
      </c>
      <c r="BP44" s="19">
        <v>1.2187704907452288E-3</v>
      </c>
      <c r="BQ44" s="18">
        <v>2.8603923534013413E-2</v>
      </c>
      <c r="BR44" s="19">
        <v>1.4120947253207927E-2</v>
      </c>
      <c r="BS44" s="18">
        <v>0.33141144992082877</v>
      </c>
      <c r="BT44" s="19">
        <v>1.1969880910909085E-2</v>
      </c>
      <c r="BU44" s="18">
        <v>0.28092701692960698</v>
      </c>
      <c r="BV44" s="19">
        <v>1.2189264441783614E-3</v>
      </c>
      <c r="BW44" s="18">
        <v>2.8607583681768928E-2</v>
      </c>
      <c r="BX44" s="19">
        <v>1.555485781773594E-2</v>
      </c>
      <c r="BY44" s="18">
        <v>0.36506460156326309</v>
      </c>
      <c r="BZ44" s="19">
        <v>1.2185984954640871E-3</v>
      </c>
      <c r="CA44" s="18">
        <v>2.8599886892244231E-2</v>
      </c>
      <c r="CB44" s="19">
        <v>1.218634387890933E-3</v>
      </c>
      <c r="CC44" s="18">
        <v>2.8600729269246915E-2</v>
      </c>
      <c r="CD44" s="19">
        <v>68.684000400000002</v>
      </c>
      <c r="CE44" s="18" t="b">
        <v>1</v>
      </c>
    </row>
    <row r="45" spans="1:83" x14ac:dyDescent="0.25">
      <c r="A45" s="15">
        <v>43917</v>
      </c>
      <c r="B45" s="16">
        <v>12687.700194999999</v>
      </c>
      <c r="C45" s="16">
        <v>-5.1117326046437227E-2</v>
      </c>
      <c r="D45" s="17">
        <v>-0.43549962999531999</v>
      </c>
      <c r="F45" s="16">
        <v>2.7648809446036929E-2</v>
      </c>
      <c r="G45" s="16">
        <v>-5.1117326046437227E-2</v>
      </c>
      <c r="H45" s="16">
        <v>1.7657086927428463E-2</v>
      </c>
      <c r="I45" s="17">
        <v>-0.43549962999531999</v>
      </c>
      <c r="J45" s="17">
        <v>67.91300050000001</v>
      </c>
      <c r="K45" s="16">
        <v>45.214509014035059</v>
      </c>
      <c r="L45" s="17">
        <v>22.698491485964951</v>
      </c>
      <c r="M45" s="17">
        <v>-0.43549962999531999</v>
      </c>
      <c r="N45" s="16" t="b">
        <v>1</v>
      </c>
      <c r="O45" s="16" t="b">
        <v>1</v>
      </c>
      <c r="P45" s="17">
        <v>6.451272894628346E-2</v>
      </c>
      <c r="Q45" s="16">
        <v>-9.8851846435896569</v>
      </c>
      <c r="R45" s="16">
        <v>1.4643416287235798</v>
      </c>
      <c r="S45" s="17">
        <v>-1.1348225235603708E-2</v>
      </c>
      <c r="T45" s="17">
        <v>1.2186557736812251E-3</v>
      </c>
      <c r="U45" s="16">
        <v>-0.25758759389116337</v>
      </c>
      <c r="V45" s="16">
        <v>2.7661647703225319E-2</v>
      </c>
      <c r="W45" s="17">
        <v>-6.056739979982898E-3</v>
      </c>
      <c r="X45" s="17">
        <v>1.5554733397967077E-2</v>
      </c>
      <c r="Y45" s="16">
        <v>-0.13747886086834535</v>
      </c>
      <c r="Z45" s="16">
        <v>0.35306898360021038</v>
      </c>
      <c r="AA45" s="17">
        <v>-6.0568796149322972E-3</v>
      </c>
      <c r="AB45" s="17">
        <v>1.2187239745035489E-3</v>
      </c>
      <c r="AC45" s="16">
        <v>-0.13748203037105541</v>
      </c>
      <c r="AD45" s="16">
        <v>2.7663195759010172E-2</v>
      </c>
      <c r="AE45" s="17">
        <v>-2.6469691173722942E-2</v>
      </c>
      <c r="AF45" s="17">
        <v>1.2187704907452288E-3</v>
      </c>
      <c r="AG45" s="16">
        <v>-0.60082205974287184</v>
      </c>
      <c r="AH45" s="16">
        <v>2.7664251607525902E-2</v>
      </c>
      <c r="AI45" s="17">
        <v>-3.0801032571442195E-2</v>
      </c>
      <c r="AJ45" s="17">
        <v>1.4120947253207927E-2</v>
      </c>
      <c r="AK45" s="16">
        <v>-0.69913697558180976</v>
      </c>
      <c r="AL45" s="16">
        <v>0.32052420100070028</v>
      </c>
      <c r="AM45" s="17">
        <v>-4.4780295580904822E-2</v>
      </c>
      <c r="AN45" s="17">
        <v>1.1969880910909085E-2</v>
      </c>
      <c r="AO45" s="16">
        <v>-1.0164451579821621</v>
      </c>
      <c r="AP45" s="16">
        <v>0.27169823994428427</v>
      </c>
      <c r="AQ45" s="17">
        <v>-0.14958995009030499</v>
      </c>
      <c r="AR45" s="17">
        <v>1.2189264441783614E-3</v>
      </c>
      <c r="AS45" s="16">
        <v>-3.3954662085107095</v>
      </c>
      <c r="AT45" s="16">
        <v>2.7667791515200067E-2</v>
      </c>
      <c r="AU45" s="17">
        <v>-0.10756176353482122</v>
      </c>
      <c r="AV45" s="17">
        <v>1.555485781773594E-2</v>
      </c>
      <c r="AW45" s="16">
        <v>-2.4414897738105146</v>
      </c>
      <c r="AX45" s="16">
        <v>0.35307180774127456</v>
      </c>
      <c r="AY45" s="17">
        <v>-3.7731349931210585E-2</v>
      </c>
      <c r="AZ45" s="17">
        <v>1.2185984954640871E-3</v>
      </c>
      <c r="BA45" s="16">
        <v>-0.85644472516754766</v>
      </c>
      <c r="BB45" s="16">
        <v>2.7660347574101279E-2</v>
      </c>
      <c r="BC45" s="17">
        <v>-1.5103702282393836E-2</v>
      </c>
      <c r="BD45" s="17">
        <v>1.218634387890933E-3</v>
      </c>
      <c r="BE45" s="16">
        <v>-0.34283125766346589</v>
      </c>
      <c r="BF45" s="16">
        <v>2.7661162278046453E-2</v>
      </c>
      <c r="BH45" s="19">
        <v>-0.43549962999531999</v>
      </c>
      <c r="BI45" s="18">
        <v>-9.8851846435896569</v>
      </c>
      <c r="BJ45" s="19">
        <v>-1.1348225235603708E-2</v>
      </c>
      <c r="BK45" s="18">
        <v>-0.25758759389116337</v>
      </c>
      <c r="BL45" s="19">
        <v>-6.056739979982898E-3</v>
      </c>
      <c r="BM45" s="18">
        <v>-0.13747886086834535</v>
      </c>
      <c r="BN45" s="19">
        <v>-6.0568796149322972E-3</v>
      </c>
      <c r="BO45" s="18">
        <v>-0.13748203037105541</v>
      </c>
      <c r="BP45" s="19">
        <v>-2.6469691173722942E-2</v>
      </c>
      <c r="BQ45" s="18">
        <v>-0.60082205974287184</v>
      </c>
      <c r="BR45" s="19">
        <v>-3.0801032571442195E-2</v>
      </c>
      <c r="BS45" s="18">
        <v>-0.69913697558180976</v>
      </c>
      <c r="BT45" s="19">
        <v>-4.4780295580904822E-2</v>
      </c>
      <c r="BU45" s="18">
        <v>-1.0164451579821621</v>
      </c>
      <c r="BV45" s="19">
        <v>-0.14958995009030499</v>
      </c>
      <c r="BW45" s="18">
        <v>-3.3954662085107095</v>
      </c>
      <c r="BX45" s="19">
        <v>-0.10756176353482122</v>
      </c>
      <c r="BY45" s="18">
        <v>-2.4414897738105146</v>
      </c>
      <c r="BZ45" s="19">
        <v>-3.7731349931210585E-2</v>
      </c>
      <c r="CA45" s="18">
        <v>-0.85644472516754766</v>
      </c>
      <c r="CB45" s="19">
        <v>-1.5103702282393836E-2</v>
      </c>
      <c r="CC45" s="18">
        <v>-0.34283125766346589</v>
      </c>
      <c r="CD45" s="19">
        <v>67.91300050000001</v>
      </c>
      <c r="CE45" s="18" t="b">
        <v>1</v>
      </c>
    </row>
    <row r="46" spans="1:83" x14ac:dyDescent="0.25">
      <c r="A46" s="15">
        <v>43916</v>
      </c>
      <c r="B46" s="16">
        <v>13371.200194999999</v>
      </c>
      <c r="C46" s="16">
        <v>1.7657086927428463E-2</v>
      </c>
      <c r="D46" s="17">
        <v>-0.35762683051871136</v>
      </c>
      <c r="F46" s="16">
        <v>-5.1117326046437227E-2</v>
      </c>
      <c r="G46" s="16">
        <v>1.7657086927428463E-2</v>
      </c>
      <c r="H46" s="16">
        <v>4.5191001874909938E-2</v>
      </c>
      <c r="I46" s="17">
        <v>-0.35762683051871136</v>
      </c>
      <c r="J46" s="17">
        <v>69.360000600000006</v>
      </c>
      <c r="K46" s="16">
        <v>45.214509014035059</v>
      </c>
      <c r="L46" s="17">
        <v>24.145491585964947</v>
      </c>
      <c r="M46" s="17">
        <v>-0.35762683051871136</v>
      </c>
      <c r="N46" s="16" t="b">
        <v>1</v>
      </c>
      <c r="O46" s="16" t="b">
        <v>1</v>
      </c>
      <c r="P46" s="17">
        <v>-0.43549962999531999</v>
      </c>
      <c r="Q46" s="16">
        <v>-8.6350756272048574</v>
      </c>
      <c r="R46" s="16">
        <v>-10.515352651742846</v>
      </c>
      <c r="S46" s="17">
        <v>-5.0848837216479351E-3</v>
      </c>
      <c r="T46" s="17">
        <v>-1.1348225235603708E-2</v>
      </c>
      <c r="U46" s="16">
        <v>-0.12277701711666035</v>
      </c>
      <c r="V46" s="16">
        <v>-0.27400847694190444</v>
      </c>
      <c r="W46" s="17">
        <v>-5.085061833605015E-3</v>
      </c>
      <c r="X46" s="17">
        <v>-6.056739979982898E-3</v>
      </c>
      <c r="Y46" s="16">
        <v>-0.12278131771742137</v>
      </c>
      <c r="Z46" s="16">
        <v>-0.14624296422505456</v>
      </c>
      <c r="AA46" s="17">
        <v>-8.0581010020851537E-2</v>
      </c>
      <c r="AB46" s="17">
        <v>-6.0568796149322972E-3</v>
      </c>
      <c r="AC46" s="16">
        <v>-1.9456680994470279</v>
      </c>
      <c r="AD46" s="16">
        <v>-0.1462463357795504</v>
      </c>
      <c r="AE46" s="17">
        <v>-4.2337027771192637E-2</v>
      </c>
      <c r="AF46" s="17">
        <v>-2.6469691173722942E-2</v>
      </c>
      <c r="AG46" s="16">
        <v>-1.0222483478240962</v>
      </c>
      <c r="AH46" s="16">
        <v>-0.63912370551821795</v>
      </c>
      <c r="AI46" s="17">
        <v>-5.0851997492975514E-3</v>
      </c>
      <c r="AJ46" s="17">
        <v>-3.0801032571442195E-2</v>
      </c>
      <c r="AK46" s="16">
        <v>-0.12278464775961509</v>
      </c>
      <c r="AL46" s="16">
        <v>-0.74370607279278977</v>
      </c>
      <c r="AM46" s="17">
        <v>-4.2337292064454357E-2</v>
      </c>
      <c r="AN46" s="17">
        <v>-4.4780295580904822E-2</v>
      </c>
      <c r="AO46" s="16">
        <v>-1.0222547293148232</v>
      </c>
      <c r="AP46" s="16">
        <v>-1.0812422501657608</v>
      </c>
      <c r="AQ46" s="17">
        <v>-5.0855593038487256E-3</v>
      </c>
      <c r="AR46" s="17">
        <v>-0.14958995009030499</v>
      </c>
      <c r="AS46" s="16">
        <v>-0.12279332938100516</v>
      </c>
      <c r="AT46" s="16">
        <v>-3.6119228812503756</v>
      </c>
      <c r="AU46" s="17">
        <v>-8.6363244862785862E-2</v>
      </c>
      <c r="AV46" s="17">
        <v>-0.10756176353482122</v>
      </c>
      <c r="AW46" s="16">
        <v>-2.0852830021710265</v>
      </c>
      <c r="AX46" s="16">
        <v>-2.5971316564015772</v>
      </c>
      <c r="AY46" s="17">
        <v>-4.0847629201295664E-2</v>
      </c>
      <c r="AZ46" s="17">
        <v>-3.7731349931210585E-2</v>
      </c>
      <c r="BA46" s="16">
        <v>-0.98628608718650057</v>
      </c>
      <c r="BB46" s="16">
        <v>-0.91104199229114424</v>
      </c>
      <c r="BC46" s="17">
        <v>-4.4819921989731761E-2</v>
      </c>
      <c r="BD46" s="17">
        <v>-1.5103702282393836E-2</v>
      </c>
      <c r="BE46" s="16">
        <v>-1.0821990492866735</v>
      </c>
      <c r="BF46" s="16">
        <v>-0.36468631637645993</v>
      </c>
      <c r="BH46" s="19">
        <v>-0.35762683051871136</v>
      </c>
      <c r="BI46" s="18">
        <v>-8.6350756272048574</v>
      </c>
      <c r="BJ46" s="19">
        <v>-5.0848837216479351E-3</v>
      </c>
      <c r="BK46" s="18">
        <v>-0.12277701711666035</v>
      </c>
      <c r="BL46" s="19">
        <v>-5.085061833605015E-3</v>
      </c>
      <c r="BM46" s="18">
        <v>-0.12278131771742137</v>
      </c>
      <c r="BN46" s="19">
        <v>-8.0581010020851537E-2</v>
      </c>
      <c r="BO46" s="18">
        <v>-1.9456680994470279</v>
      </c>
      <c r="BP46" s="19">
        <v>-4.2337027771192637E-2</v>
      </c>
      <c r="BQ46" s="18">
        <v>-1.0222483478240962</v>
      </c>
      <c r="BR46" s="19">
        <v>-5.0851997492975514E-3</v>
      </c>
      <c r="BS46" s="18">
        <v>-0.12278464775961509</v>
      </c>
      <c r="BT46" s="19">
        <v>-4.2337292064454357E-2</v>
      </c>
      <c r="BU46" s="18">
        <v>-1.0222547293148232</v>
      </c>
      <c r="BV46" s="19">
        <v>-5.0855593038487256E-3</v>
      </c>
      <c r="BW46" s="18">
        <v>-0.12279332938100516</v>
      </c>
      <c r="BX46" s="19">
        <v>-8.6363244862785862E-2</v>
      </c>
      <c r="BY46" s="18">
        <v>-2.0852830021710265</v>
      </c>
      <c r="BZ46" s="19">
        <v>-4.0847629201295664E-2</v>
      </c>
      <c r="CA46" s="18">
        <v>-0.98628608718650057</v>
      </c>
      <c r="CB46" s="19">
        <v>-4.4819921989731761E-2</v>
      </c>
      <c r="CC46" s="18">
        <v>-1.0821990492866735</v>
      </c>
      <c r="CD46" s="19">
        <v>69.360000600000006</v>
      </c>
      <c r="CE46" s="18" t="b">
        <v>1</v>
      </c>
    </row>
    <row r="47" spans="1:83" x14ac:dyDescent="0.25">
      <c r="A47" s="15">
        <v>43915</v>
      </c>
      <c r="B47" s="16">
        <v>13139.200194999999</v>
      </c>
      <c r="C47" s="16">
        <v>4.5191001874909938E-2</v>
      </c>
      <c r="D47" s="17">
        <v>6.999037426430732E-2</v>
      </c>
      <c r="F47" s="16">
        <v>1.7657086927428463E-2</v>
      </c>
      <c r="G47" s="16">
        <v>4.5191001874909938E-2</v>
      </c>
      <c r="H47" s="16">
        <v>0.11957070036068938</v>
      </c>
      <c r="I47" s="17">
        <v>6.999037426430732E-2</v>
      </c>
      <c r="J47" s="17">
        <v>68.355000700000005</v>
      </c>
      <c r="K47" s="16">
        <v>45.214509014035059</v>
      </c>
      <c r="L47" s="17">
        <v>23.140491685964946</v>
      </c>
      <c r="M47" s="17">
        <v>6.999037426430732E-2</v>
      </c>
      <c r="N47" s="16" t="b">
        <v>1</v>
      </c>
      <c r="O47" s="16" t="b">
        <v>1</v>
      </c>
      <c r="P47" s="17">
        <v>-0.35762683051871136</v>
      </c>
      <c r="Q47" s="16">
        <v>1.6196116737607784</v>
      </c>
      <c r="R47" s="16">
        <v>-8.2756606982962353</v>
      </c>
      <c r="S47" s="17">
        <v>1.2419562592091457E-3</v>
      </c>
      <c r="T47" s="17">
        <v>-5.0848837216479351E-3</v>
      </c>
      <c r="U47" s="16">
        <v>2.8739478490561361E-2</v>
      </c>
      <c r="V47" s="16">
        <v>-0.11766670948489254</v>
      </c>
      <c r="W47" s="17">
        <v>1.2419150912283468E-3</v>
      </c>
      <c r="X47" s="17">
        <v>-5.085061833605015E-3</v>
      </c>
      <c r="Y47" s="16">
        <v>2.8738525843243958E-2</v>
      </c>
      <c r="Z47" s="16">
        <v>-0.11767083108315451</v>
      </c>
      <c r="AA47" s="17">
        <v>1.2419913174925709E-3</v>
      </c>
      <c r="AB47" s="17">
        <v>-8.0581010020851537E-2</v>
      </c>
      <c r="AC47" s="16">
        <v>2.8740289756477487E-2</v>
      </c>
      <c r="AD47" s="16">
        <v>-1.864684192434173</v>
      </c>
      <c r="AE47" s="17">
        <v>8.5324104378155189E-3</v>
      </c>
      <c r="AF47" s="17">
        <v>-4.2337027771192637E-2</v>
      </c>
      <c r="AG47" s="16">
        <v>0.19744417279751053</v>
      </c>
      <c r="AH47" s="16">
        <v>-0.97969963914775027</v>
      </c>
      <c r="AI47" s="17">
        <v>4.515478735063359E-3</v>
      </c>
      <c r="AJ47" s="17">
        <v>-5.0851997492975514E-3</v>
      </c>
      <c r="AK47" s="16">
        <v>0.10449039812688517</v>
      </c>
      <c r="AL47" s="16">
        <v>-0.11767402252009102</v>
      </c>
      <c r="AM47" s="17">
        <v>1.0839097112257997E-2</v>
      </c>
      <c r="AN47" s="17">
        <v>-4.2337292064454357E-2</v>
      </c>
      <c r="AO47" s="16">
        <v>0.25082203660957281</v>
      </c>
      <c r="AP47" s="16">
        <v>-0.97970575502377577</v>
      </c>
      <c r="AQ47" s="17">
        <v>3.7028936507562753E-3</v>
      </c>
      <c r="AR47" s="17">
        <v>-5.0855593038487256E-3</v>
      </c>
      <c r="AS47" s="16">
        <v>8.568677973933797E-2</v>
      </c>
      <c r="AT47" s="16">
        <v>-0.11768234278919311</v>
      </c>
      <c r="AU47" s="17">
        <v>2.3359486540013113E-2</v>
      </c>
      <c r="AV47" s="17">
        <v>-8.6363244862785862E-2</v>
      </c>
      <c r="AW47" s="16">
        <v>0.54055000406758347</v>
      </c>
      <c r="AX47" s="16">
        <v>-1.998487949720251</v>
      </c>
      <c r="AY47" s="17">
        <v>8.240900896687036E-3</v>
      </c>
      <c r="AZ47" s="17">
        <v>-4.0847629201295664E-2</v>
      </c>
      <c r="BA47" s="16">
        <v>0.19069849868464742</v>
      </c>
      <c r="BB47" s="16">
        <v>-0.94523422392396128</v>
      </c>
      <c r="BC47" s="17">
        <v>7.074244223783892E-3</v>
      </c>
      <c r="BD47" s="17">
        <v>-4.4819921989731761E-2</v>
      </c>
      <c r="BE47" s="16">
        <v>0.1637014896449567</v>
      </c>
      <c r="BF47" s="16">
        <v>-1.0371550321689853</v>
      </c>
      <c r="BH47" s="19">
        <v>6.999037426430732E-2</v>
      </c>
      <c r="BI47" s="18">
        <v>1.6196116737607784</v>
      </c>
      <c r="BJ47" s="19">
        <v>1.2419562592091457E-3</v>
      </c>
      <c r="BK47" s="18">
        <v>2.8739478490561361E-2</v>
      </c>
      <c r="BL47" s="19">
        <v>1.2419150912283468E-3</v>
      </c>
      <c r="BM47" s="18">
        <v>2.8738525843243958E-2</v>
      </c>
      <c r="BN47" s="19">
        <v>1.2419913174925709E-3</v>
      </c>
      <c r="BO47" s="18">
        <v>2.8740289756477487E-2</v>
      </c>
      <c r="BP47" s="19">
        <v>8.5324104378155189E-3</v>
      </c>
      <c r="BQ47" s="18">
        <v>0.19744417279751053</v>
      </c>
      <c r="BR47" s="19">
        <v>4.515478735063359E-3</v>
      </c>
      <c r="BS47" s="18">
        <v>0.10449039812688517</v>
      </c>
      <c r="BT47" s="19">
        <v>1.0839097112257997E-2</v>
      </c>
      <c r="BU47" s="18">
        <v>0.25082203660957281</v>
      </c>
      <c r="BV47" s="19">
        <v>3.7028936507562753E-3</v>
      </c>
      <c r="BW47" s="18">
        <v>8.568677973933797E-2</v>
      </c>
      <c r="BX47" s="19">
        <v>2.3359486540013113E-2</v>
      </c>
      <c r="BY47" s="18">
        <v>0.54055000406758347</v>
      </c>
      <c r="BZ47" s="19">
        <v>8.240900896687036E-3</v>
      </c>
      <c r="CA47" s="18">
        <v>0.19069849868464742</v>
      </c>
      <c r="CB47" s="19">
        <v>7.074244223783892E-3</v>
      </c>
      <c r="CC47" s="18">
        <v>0.1637014896449567</v>
      </c>
      <c r="CD47" s="19">
        <v>68.355000700000005</v>
      </c>
      <c r="CE47" s="18" t="b">
        <v>1</v>
      </c>
    </row>
    <row r="48" spans="1:83" x14ac:dyDescent="0.25">
      <c r="A48" s="15">
        <v>43914</v>
      </c>
      <c r="B48" s="16">
        <v>12571.099609000001</v>
      </c>
      <c r="C48" s="16">
        <v>0.11957070036068938</v>
      </c>
      <c r="D48" s="17">
        <v>-0.11966689694672823</v>
      </c>
      <c r="F48" s="16">
        <v>4.5191001874909938E-2</v>
      </c>
      <c r="G48" s="16">
        <v>0.11957070036068938</v>
      </c>
      <c r="H48" s="16">
        <v>-5.2591151998453836E-2</v>
      </c>
      <c r="I48" s="17">
        <v>-0.11966689694672823</v>
      </c>
      <c r="J48" s="17">
        <v>66.918000799999987</v>
      </c>
      <c r="K48" s="16">
        <v>45.214509014035059</v>
      </c>
      <c r="L48" s="17">
        <v>21.703491785964928</v>
      </c>
      <c r="M48" s="17">
        <v>-0.11966689694672823</v>
      </c>
      <c r="N48" s="16" t="b">
        <v>1</v>
      </c>
      <c r="O48" s="16" t="b">
        <v>1</v>
      </c>
      <c r="P48" s="17">
        <v>6.999037426430732E-2</v>
      </c>
      <c r="Q48" s="16">
        <v>-2.5971895149352275</v>
      </c>
      <c r="R48" s="16">
        <v>1.519035512942005</v>
      </c>
      <c r="S48" s="17">
        <v>-6.9170544564514224E-3</v>
      </c>
      <c r="T48" s="17">
        <v>1.2419562592091457E-3</v>
      </c>
      <c r="U48" s="16">
        <v>-0.15012423457866556</v>
      </c>
      <c r="V48" s="16">
        <v>2.6954787470273422E-2</v>
      </c>
      <c r="W48" s="17">
        <v>-1.5335211430256503E-3</v>
      </c>
      <c r="X48" s="17">
        <v>1.2419150912283468E-3</v>
      </c>
      <c r="Y48" s="16">
        <v>-3.3282763531260751E-2</v>
      </c>
      <c r="Z48" s="16">
        <v>2.6953893981340311E-2</v>
      </c>
      <c r="AA48" s="17">
        <v>-1.1790363237885312E-2</v>
      </c>
      <c r="AB48" s="17">
        <v>1.2419913174925709E-3</v>
      </c>
      <c r="AC48" s="16">
        <v>-0.2558920516869867</v>
      </c>
      <c r="AD48" s="16">
        <v>2.6955548357439772E-2</v>
      </c>
      <c r="AE48" s="17">
        <v>-8.9073539322370183E-3</v>
      </c>
      <c r="AF48" s="17">
        <v>8.5324104378155189E-3</v>
      </c>
      <c r="AG48" s="16">
        <v>-0.19332068290298854</v>
      </c>
      <c r="AH48" s="16">
        <v>0.18518309985161052</v>
      </c>
      <c r="AI48" s="17">
        <v>-1.533581361075168E-3</v>
      </c>
      <c r="AJ48" s="17">
        <v>4.515478735063359E-3</v>
      </c>
      <c r="AK48" s="16">
        <v>-3.3284070473203822E-2</v>
      </c>
      <c r="AL48" s="16">
        <v>9.800165563614692E-2</v>
      </c>
      <c r="AM48" s="17">
        <v>-9.7174079614195941E-3</v>
      </c>
      <c r="AN48" s="17">
        <v>1.0839097112257997E-2</v>
      </c>
      <c r="AO48" s="16">
        <v>-0.21090168387154035</v>
      </c>
      <c r="AP48" s="16">
        <v>0.2352462551431676</v>
      </c>
      <c r="AQ48" s="17">
        <v>-1.5335828098133389E-3</v>
      </c>
      <c r="AR48" s="17">
        <v>3.7028936507562753E-3</v>
      </c>
      <c r="AS48" s="16">
        <v>-3.3284101915880819E-2</v>
      </c>
      <c r="AT48" s="16">
        <v>8.0365721933490508E-2</v>
      </c>
      <c r="AU48" s="17">
        <v>-6.4409877015427427E-2</v>
      </c>
      <c r="AV48" s="17">
        <v>2.3359486540013113E-2</v>
      </c>
      <c r="AW48" s="16">
        <v>-1.3979192367393405</v>
      </c>
      <c r="AX48" s="16">
        <v>0.50698242424553286</v>
      </c>
      <c r="AY48" s="17">
        <v>-1.5335674488113102E-3</v>
      </c>
      <c r="AZ48" s="17">
        <v>8.240900896687036E-3</v>
      </c>
      <c r="BA48" s="16">
        <v>-3.3283768528499458E-2</v>
      </c>
      <c r="BB48" s="16">
        <v>0.1788563249201981</v>
      </c>
      <c r="BC48" s="17">
        <v>-1.1790587580581871E-2</v>
      </c>
      <c r="BD48" s="17">
        <v>7.074244223783892E-3</v>
      </c>
      <c r="BE48" s="16">
        <v>-0.25589692070685871</v>
      </c>
      <c r="BF48" s="16">
        <v>0.15353580140280354</v>
      </c>
      <c r="BH48" s="19">
        <v>-0.11966689694672823</v>
      </c>
      <c r="BI48" s="18">
        <v>-2.5971895149352275</v>
      </c>
      <c r="BJ48" s="19">
        <v>-6.9170544564514224E-3</v>
      </c>
      <c r="BK48" s="18">
        <v>-0.15012423457866556</v>
      </c>
      <c r="BL48" s="19">
        <v>-1.5335211430256503E-3</v>
      </c>
      <c r="BM48" s="18">
        <v>-3.3282763531260751E-2</v>
      </c>
      <c r="BN48" s="19">
        <v>-1.1790363237885312E-2</v>
      </c>
      <c r="BO48" s="18">
        <v>-0.2558920516869867</v>
      </c>
      <c r="BP48" s="19">
        <v>-8.9073539322370183E-3</v>
      </c>
      <c r="BQ48" s="18">
        <v>-0.19332068290298854</v>
      </c>
      <c r="BR48" s="19">
        <v>-1.533581361075168E-3</v>
      </c>
      <c r="BS48" s="18">
        <v>-3.3284070473203822E-2</v>
      </c>
      <c r="BT48" s="19">
        <v>-9.7174079614195941E-3</v>
      </c>
      <c r="BU48" s="18">
        <v>-0.21090168387154035</v>
      </c>
      <c r="BV48" s="19">
        <v>-1.5335828098133389E-3</v>
      </c>
      <c r="BW48" s="18">
        <v>-3.3284101915880819E-2</v>
      </c>
      <c r="BX48" s="19">
        <v>-6.4409877015427427E-2</v>
      </c>
      <c r="BY48" s="18">
        <v>-1.3979192367393405</v>
      </c>
      <c r="BZ48" s="19">
        <v>-1.5335674488113102E-3</v>
      </c>
      <c r="CA48" s="18">
        <v>-3.3283768528499458E-2</v>
      </c>
      <c r="CB48" s="19">
        <v>-1.1790587580581871E-2</v>
      </c>
      <c r="CC48" s="18">
        <v>-0.25589692070685871</v>
      </c>
      <c r="CD48" s="19">
        <v>66.918000799999987</v>
      </c>
      <c r="CE48" s="18" t="b">
        <v>1</v>
      </c>
    </row>
    <row r="49" spans="1:82" x14ac:dyDescent="0.25">
      <c r="A49" s="15">
        <v>43913</v>
      </c>
      <c r="C49" s="16">
        <v>-5.2591151998453836E-2</v>
      </c>
      <c r="I49" s="17"/>
      <c r="L49" s="17"/>
      <c r="P49" s="17"/>
      <c r="U49" s="16"/>
      <c r="V49" s="16"/>
      <c r="Y49" s="16"/>
      <c r="Z49" s="16"/>
      <c r="AC49" s="16"/>
      <c r="AD49" s="16"/>
      <c r="AG49" s="16"/>
      <c r="AH49" s="16"/>
      <c r="AK49" s="16"/>
      <c r="AL49" s="16"/>
      <c r="AO49" s="16"/>
      <c r="AP49" s="16"/>
      <c r="AS49" s="16"/>
      <c r="AT49" s="16"/>
      <c r="AW49" s="16"/>
      <c r="AX49" s="16"/>
      <c r="BA49" s="16"/>
      <c r="BB49" s="16"/>
      <c r="BH49" s="19"/>
      <c r="BJ49" s="19"/>
      <c r="BL49" s="19"/>
      <c r="BN49" s="19"/>
      <c r="BP49" s="19"/>
      <c r="BR49" s="19"/>
      <c r="BT49" s="19"/>
      <c r="BV49" s="19"/>
      <c r="BX49" s="19"/>
      <c r="BZ49" s="19"/>
      <c r="CB49" s="19"/>
      <c r="CD49" s="19"/>
    </row>
    <row r="50" spans="1:82" x14ac:dyDescent="0.25">
      <c r="I50" s="17"/>
      <c r="L50" s="17"/>
      <c r="P50" s="17"/>
      <c r="U50" s="16"/>
      <c r="V50" s="16"/>
      <c r="Y50" s="16"/>
      <c r="Z50" s="16"/>
      <c r="AC50" s="16"/>
      <c r="AD50" s="16"/>
      <c r="AG50" s="16"/>
      <c r="AH50" s="16"/>
      <c r="AK50" s="16"/>
      <c r="AL50" s="16"/>
      <c r="AO50" s="16"/>
      <c r="AP50" s="16"/>
      <c r="AS50" s="16"/>
      <c r="AT50" s="16"/>
      <c r="AW50" s="16"/>
      <c r="AX50" s="16"/>
      <c r="BA50" s="16"/>
      <c r="BB50" s="16"/>
      <c r="BH50" s="19"/>
      <c r="BJ50" s="19"/>
      <c r="BL50" s="19"/>
      <c r="BN50" s="19"/>
      <c r="BP50" s="19"/>
      <c r="BR50" s="19"/>
      <c r="BT50" s="19"/>
      <c r="BV50" s="19"/>
      <c r="BX50" s="19"/>
      <c r="BZ50" s="19"/>
      <c r="CB50" s="19"/>
      <c r="CD50" s="19"/>
    </row>
    <row r="51" spans="1:82" x14ac:dyDescent="0.25">
      <c r="I51" s="17"/>
      <c r="L51" s="17"/>
      <c r="P51" s="17"/>
      <c r="U51" s="16"/>
      <c r="V51" s="16"/>
      <c r="Y51" s="16"/>
      <c r="Z51" s="16"/>
      <c r="AC51" s="16"/>
      <c r="AD51" s="16"/>
      <c r="AG51" s="16"/>
      <c r="AH51" s="16"/>
      <c r="AK51" s="16"/>
      <c r="AL51" s="16"/>
      <c r="AO51" s="16"/>
      <c r="AP51" s="16"/>
      <c r="AS51" s="16"/>
      <c r="AT51" s="16"/>
      <c r="AW51" s="16"/>
      <c r="AX51" s="16"/>
      <c r="BA51" s="16"/>
      <c r="BB51" s="16"/>
      <c r="BH51" s="19"/>
      <c r="BJ51" s="19"/>
      <c r="BL51" s="19"/>
      <c r="BN51" s="19"/>
      <c r="BP51" s="19"/>
      <c r="BR51" s="19"/>
      <c r="BT51" s="19"/>
      <c r="BV51" s="19"/>
      <c r="BX51" s="19"/>
      <c r="BZ51" s="19"/>
      <c r="CB51" s="19"/>
      <c r="CD51" s="19"/>
    </row>
    <row r="52" spans="1:82" x14ac:dyDescent="0.25">
      <c r="I52" s="17"/>
      <c r="L52" s="17"/>
      <c r="P52" s="17"/>
      <c r="U52" s="16"/>
      <c r="V52" s="16"/>
      <c r="Y52" s="16"/>
      <c r="Z52" s="16"/>
      <c r="AC52" s="16"/>
      <c r="AD52" s="16"/>
      <c r="AG52" s="16"/>
      <c r="AH52" s="16"/>
      <c r="AK52" s="16"/>
      <c r="AL52" s="16"/>
      <c r="AO52" s="16"/>
      <c r="AP52" s="16"/>
      <c r="AS52" s="16"/>
      <c r="AT52" s="16"/>
      <c r="AW52" s="16"/>
      <c r="AX52" s="16"/>
      <c r="BA52" s="16"/>
      <c r="BB52" s="16"/>
      <c r="BH52" s="19"/>
      <c r="BJ52" s="19"/>
      <c r="BL52" s="19"/>
      <c r="BN52" s="19"/>
      <c r="BP52" s="19"/>
      <c r="BR52" s="19"/>
      <c r="BT52" s="19"/>
      <c r="BV52" s="19"/>
      <c r="BX52" s="19"/>
      <c r="BZ52" s="19"/>
      <c r="CB52" s="19"/>
      <c r="CD52" s="19"/>
    </row>
    <row r="53" spans="1:82" x14ac:dyDescent="0.25">
      <c r="I53" s="17"/>
      <c r="L53" s="17"/>
      <c r="P53" s="17"/>
      <c r="U53" s="16"/>
      <c r="V53" s="16"/>
      <c r="Y53" s="16"/>
      <c r="Z53" s="16"/>
      <c r="AC53" s="16"/>
      <c r="AD53" s="16"/>
      <c r="AG53" s="16"/>
      <c r="AH53" s="16"/>
      <c r="AK53" s="16"/>
      <c r="AL53" s="16"/>
      <c r="AO53" s="16"/>
      <c r="AP53" s="16"/>
      <c r="AS53" s="16"/>
      <c r="AT53" s="16"/>
      <c r="AW53" s="16"/>
      <c r="AX53" s="16"/>
      <c r="BA53" s="16"/>
      <c r="BB53" s="16"/>
      <c r="BH53" s="19"/>
      <c r="BJ53" s="19"/>
      <c r="BL53" s="19"/>
      <c r="BN53" s="19"/>
      <c r="BP53" s="19"/>
      <c r="BR53" s="19"/>
      <c r="BT53" s="19"/>
      <c r="BV53" s="19"/>
      <c r="BX53" s="19"/>
      <c r="BZ53" s="19"/>
      <c r="CB53" s="19"/>
      <c r="CD53" s="19"/>
    </row>
    <row r="54" spans="1:82" x14ac:dyDescent="0.25">
      <c r="I54" s="17"/>
      <c r="L54" s="17"/>
      <c r="P54" s="17"/>
      <c r="U54" s="16"/>
      <c r="V54" s="16"/>
      <c r="Y54" s="16"/>
      <c r="Z54" s="16"/>
      <c r="AC54" s="16"/>
      <c r="AD54" s="16"/>
      <c r="AG54" s="16"/>
      <c r="AH54" s="16"/>
      <c r="AK54" s="16"/>
      <c r="AL54" s="16"/>
      <c r="AO54" s="16"/>
      <c r="AP54" s="16"/>
      <c r="AS54" s="16"/>
      <c r="AT54" s="16"/>
      <c r="AW54" s="16"/>
      <c r="AX54" s="16"/>
      <c r="BA54" s="16"/>
      <c r="BB54" s="16"/>
      <c r="BH54" s="19"/>
      <c r="BJ54" s="19"/>
      <c r="BL54" s="19"/>
      <c r="BN54" s="19"/>
      <c r="BP54" s="19"/>
      <c r="BR54" s="19"/>
      <c r="BT54" s="19"/>
      <c r="BV54" s="19"/>
      <c r="BX54" s="19"/>
      <c r="BZ54" s="19"/>
      <c r="CB54" s="19"/>
      <c r="CD54" s="19"/>
    </row>
    <row r="55" spans="1:82" x14ac:dyDescent="0.25">
      <c r="I55" s="17"/>
      <c r="L55" s="17"/>
      <c r="P55" s="17"/>
      <c r="U55" s="16"/>
      <c r="V55" s="16"/>
      <c r="Y55" s="16"/>
      <c r="Z55" s="16"/>
      <c r="AC55" s="16"/>
      <c r="AD55" s="16"/>
      <c r="AG55" s="16"/>
      <c r="AH55" s="16"/>
      <c r="AK55" s="16"/>
      <c r="AL55" s="16"/>
      <c r="AO55" s="16"/>
      <c r="AP55" s="16"/>
      <c r="AS55" s="16"/>
      <c r="AT55" s="16"/>
      <c r="AW55" s="16"/>
      <c r="AX55" s="16"/>
      <c r="BA55" s="16"/>
      <c r="BB55" s="16"/>
      <c r="BH55" s="19"/>
      <c r="BJ55" s="19"/>
      <c r="BL55" s="19"/>
      <c r="BN55" s="19"/>
      <c r="BP55" s="19"/>
      <c r="BR55" s="19"/>
      <c r="BT55" s="19"/>
      <c r="BV55" s="19"/>
      <c r="BX55" s="19"/>
      <c r="BZ55" s="19"/>
      <c r="CB55" s="19"/>
      <c r="CD55" s="19"/>
    </row>
    <row r="56" spans="1:82" x14ac:dyDescent="0.25">
      <c r="I56" s="17"/>
      <c r="L56" s="17"/>
      <c r="P56" s="17"/>
      <c r="U56" s="16"/>
      <c r="V56" s="16"/>
      <c r="Y56" s="16"/>
      <c r="Z56" s="16"/>
      <c r="AC56" s="16"/>
      <c r="AD56" s="16"/>
      <c r="AG56" s="16"/>
      <c r="AH56" s="16"/>
      <c r="AK56" s="16"/>
      <c r="AL56" s="16"/>
      <c r="AO56" s="16"/>
      <c r="AP56" s="16"/>
      <c r="AS56" s="16"/>
      <c r="AT56" s="16"/>
      <c r="AW56" s="16"/>
      <c r="AX56" s="16"/>
      <c r="BA56" s="16"/>
      <c r="BB56" s="16"/>
      <c r="BH56" s="19"/>
      <c r="BJ56" s="19"/>
      <c r="BL56" s="19"/>
      <c r="BN56" s="19"/>
      <c r="BP56" s="19"/>
      <c r="BR56" s="19"/>
      <c r="BT56" s="19"/>
      <c r="BV56" s="19"/>
      <c r="BX56" s="19"/>
      <c r="BZ56" s="19"/>
      <c r="CB56" s="19"/>
      <c r="CD56" s="19"/>
    </row>
    <row r="57" spans="1:82" x14ac:dyDescent="0.25">
      <c r="I57" s="17"/>
      <c r="L57" s="17"/>
      <c r="P57" s="17"/>
      <c r="U57" s="16"/>
      <c r="V57" s="16"/>
      <c r="Y57" s="16"/>
      <c r="Z57" s="16"/>
      <c r="AC57" s="16"/>
      <c r="AD57" s="16"/>
      <c r="AG57" s="16"/>
      <c r="AH57" s="16"/>
      <c r="AK57" s="16"/>
      <c r="AL57" s="16"/>
      <c r="AO57" s="16"/>
      <c r="AP57" s="16"/>
      <c r="AS57" s="16"/>
      <c r="AT57" s="16"/>
      <c r="AW57" s="16"/>
      <c r="AX57" s="16"/>
      <c r="BA57" s="16"/>
      <c r="BB57" s="16"/>
      <c r="BH57" s="19"/>
      <c r="BJ57" s="19"/>
      <c r="BL57" s="19"/>
      <c r="BN57" s="19"/>
      <c r="BP57" s="19"/>
      <c r="BR57" s="19"/>
      <c r="BT57" s="19"/>
      <c r="BV57" s="19"/>
      <c r="BX57" s="19"/>
      <c r="BZ57" s="19"/>
      <c r="CB57" s="19"/>
      <c r="CD57" s="19"/>
    </row>
    <row r="58" spans="1:82" x14ac:dyDescent="0.25">
      <c r="I58" s="17"/>
      <c r="L58" s="17"/>
      <c r="P58" s="17"/>
      <c r="U58" s="16"/>
      <c r="V58" s="16"/>
      <c r="Y58" s="16"/>
      <c r="Z58" s="16"/>
      <c r="AC58" s="16"/>
      <c r="AD58" s="16"/>
      <c r="AG58" s="16"/>
      <c r="AH58" s="16"/>
      <c r="AK58" s="16"/>
      <c r="AL58" s="16"/>
      <c r="AO58" s="16"/>
      <c r="AP58" s="16"/>
      <c r="AS58" s="16"/>
      <c r="AT58" s="16"/>
      <c r="AW58" s="16"/>
      <c r="AX58" s="16"/>
      <c r="BA58" s="16"/>
      <c r="BB58" s="16"/>
      <c r="BH58" s="19"/>
      <c r="BJ58" s="19"/>
      <c r="BL58" s="19"/>
      <c r="BN58" s="19"/>
      <c r="BP58" s="19"/>
      <c r="BR58" s="19"/>
      <c r="BT58" s="19"/>
      <c r="BV58" s="19"/>
      <c r="BX58" s="19"/>
      <c r="BZ58" s="19"/>
      <c r="CB58" s="19"/>
      <c r="CD58" s="19"/>
    </row>
    <row r="59" spans="1:82" x14ac:dyDescent="0.25">
      <c r="L59" s="17"/>
      <c r="P59" s="17"/>
      <c r="R59" s="16">
        <v>0</v>
      </c>
      <c r="U59" s="16"/>
      <c r="V59" s="16">
        <v>0</v>
      </c>
      <c r="Y59" s="16"/>
      <c r="Z59" s="16"/>
      <c r="AC59" s="16"/>
      <c r="AD59" s="16"/>
      <c r="AG59" s="16"/>
      <c r="AH59" s="16"/>
      <c r="AK59" s="16"/>
      <c r="AL59" s="16"/>
      <c r="AO59" s="16"/>
      <c r="AP59" s="16"/>
      <c r="AS59" s="16"/>
      <c r="AT59" s="16"/>
      <c r="AW59" s="16"/>
      <c r="AX59" s="16"/>
      <c r="BA59" s="16"/>
      <c r="BB59" s="16"/>
      <c r="BH59" s="19"/>
      <c r="CD59" s="19"/>
    </row>
    <row r="60" spans="1:82" x14ac:dyDescent="0.25">
      <c r="L60" s="17"/>
      <c r="P60" s="17"/>
      <c r="R60" s="16">
        <v>0</v>
      </c>
      <c r="U60" s="16"/>
      <c r="V60" s="16">
        <v>0</v>
      </c>
      <c r="Y60" s="16"/>
      <c r="Z60" s="16"/>
      <c r="AC60" s="16"/>
      <c r="AD60" s="16"/>
      <c r="AG60" s="16"/>
      <c r="AH60" s="16"/>
      <c r="AK60" s="16"/>
      <c r="AL60" s="16"/>
      <c r="AO60" s="16"/>
      <c r="AP60" s="16"/>
      <c r="AS60" s="16"/>
      <c r="AT60" s="16"/>
      <c r="AW60" s="16"/>
      <c r="AX60" s="16"/>
      <c r="BA60" s="16"/>
      <c r="BB60" s="16"/>
      <c r="BH60" s="19"/>
      <c r="CD60" s="19"/>
    </row>
    <row r="61" spans="1:82" x14ac:dyDescent="0.25">
      <c r="L61" s="17"/>
      <c r="P61" s="17"/>
      <c r="R61" s="16">
        <v>0</v>
      </c>
      <c r="U61" s="16"/>
      <c r="V61" s="16">
        <v>0</v>
      </c>
      <c r="Y61" s="16"/>
      <c r="Z61" s="16"/>
      <c r="AC61" s="16"/>
      <c r="AD61" s="16"/>
      <c r="AG61" s="16"/>
      <c r="AH61" s="16"/>
      <c r="AK61" s="16"/>
      <c r="AL61" s="16"/>
      <c r="AO61" s="16"/>
      <c r="AP61" s="16"/>
      <c r="AS61" s="16"/>
      <c r="AT61" s="16"/>
      <c r="AW61" s="16"/>
      <c r="AX61" s="16"/>
      <c r="BA61" s="16"/>
      <c r="BB61" s="16"/>
      <c r="BH61" s="19"/>
      <c r="CD61" s="19"/>
    </row>
    <row r="62" spans="1:82" x14ac:dyDescent="0.25">
      <c r="L62" s="17"/>
      <c r="P62" s="17"/>
      <c r="R62" s="16">
        <v>0</v>
      </c>
      <c r="U62" s="16"/>
      <c r="V62" s="16">
        <v>0</v>
      </c>
      <c r="Y62" s="16"/>
      <c r="Z62" s="16"/>
      <c r="AC62" s="16"/>
      <c r="AD62" s="16"/>
      <c r="AG62" s="16"/>
      <c r="AH62" s="16"/>
      <c r="AK62" s="16"/>
      <c r="AL62" s="16"/>
      <c r="AO62" s="16"/>
      <c r="AP62" s="16"/>
      <c r="AS62" s="16"/>
      <c r="AT62" s="16"/>
      <c r="AW62" s="16"/>
      <c r="AX62" s="16"/>
      <c r="BA62" s="16"/>
      <c r="BB62" s="16"/>
      <c r="BH62" s="19"/>
      <c r="CD62" s="19"/>
    </row>
    <row r="63" spans="1:82" x14ac:dyDescent="0.25">
      <c r="L63" s="17"/>
      <c r="P63" s="17"/>
      <c r="R63" s="16">
        <v>0</v>
      </c>
      <c r="U63" s="16"/>
      <c r="V63" s="16">
        <v>0</v>
      </c>
      <c r="Y63" s="16"/>
      <c r="Z63" s="16"/>
      <c r="AC63" s="16"/>
      <c r="AD63" s="16"/>
      <c r="AG63" s="16"/>
      <c r="AH63" s="16"/>
      <c r="AK63" s="16"/>
      <c r="AL63" s="16"/>
      <c r="AO63" s="16"/>
      <c r="AP63" s="16"/>
      <c r="AS63" s="16"/>
      <c r="AT63" s="16"/>
      <c r="AW63" s="16"/>
      <c r="AX63" s="16"/>
      <c r="BA63" s="16"/>
      <c r="BB63" s="16"/>
      <c r="BH63" s="19"/>
      <c r="CD63" s="19"/>
    </row>
    <row r="64" spans="1:82" x14ac:dyDescent="0.25">
      <c r="L64" s="17"/>
      <c r="P64" s="17"/>
      <c r="R64" s="16">
        <v>0</v>
      </c>
      <c r="U64" s="16"/>
      <c r="V64" s="16">
        <v>0</v>
      </c>
      <c r="Y64" s="16"/>
      <c r="Z64" s="16"/>
      <c r="AC64" s="16"/>
      <c r="AD64" s="16"/>
      <c r="AG64" s="16"/>
      <c r="AH64" s="16"/>
      <c r="AK64" s="16"/>
      <c r="AL64" s="16"/>
      <c r="AO64" s="16"/>
      <c r="AP64" s="16"/>
      <c r="AS64" s="16"/>
      <c r="AT64" s="16"/>
      <c r="AW64" s="16"/>
      <c r="AX64" s="16"/>
      <c r="BA64" s="16"/>
      <c r="BB64" s="16"/>
      <c r="BH64" s="19"/>
      <c r="CD64" s="19"/>
    </row>
    <row r="65" spans="12:82" x14ac:dyDescent="0.25">
      <c r="L65" s="17"/>
      <c r="P65" s="17"/>
      <c r="R65" s="16">
        <v>0</v>
      </c>
      <c r="U65" s="16"/>
      <c r="V65" s="16">
        <v>0</v>
      </c>
      <c r="Y65" s="16"/>
      <c r="Z65" s="16"/>
      <c r="AC65" s="16"/>
      <c r="AD65" s="16"/>
      <c r="AG65" s="16"/>
      <c r="AH65" s="16"/>
      <c r="AK65" s="16"/>
      <c r="AL65" s="16"/>
      <c r="AO65" s="16"/>
      <c r="AP65" s="16"/>
      <c r="AS65" s="16"/>
      <c r="AT65" s="16"/>
      <c r="AW65" s="16"/>
      <c r="AX65" s="16"/>
      <c r="BA65" s="16"/>
      <c r="BB65" s="16"/>
      <c r="BH65" s="19"/>
      <c r="CD65" s="19"/>
    </row>
    <row r="66" spans="12:82" x14ac:dyDescent="0.25">
      <c r="L66" s="17"/>
      <c r="P66" s="17"/>
      <c r="R66" s="16">
        <v>0</v>
      </c>
      <c r="U66" s="16"/>
      <c r="V66" s="16">
        <v>0</v>
      </c>
      <c r="Y66" s="16"/>
      <c r="Z66" s="16"/>
      <c r="AC66" s="16"/>
      <c r="AD66" s="16"/>
      <c r="AG66" s="16"/>
      <c r="AH66" s="16"/>
      <c r="AK66" s="16"/>
      <c r="AL66" s="16"/>
      <c r="AO66" s="16"/>
      <c r="AP66" s="16"/>
      <c r="AS66" s="16"/>
      <c r="AT66" s="16"/>
      <c r="AW66" s="16"/>
      <c r="AX66" s="16"/>
      <c r="BA66" s="16"/>
      <c r="BB66" s="16"/>
      <c r="BH66" s="19"/>
      <c r="CD66" s="19"/>
    </row>
    <row r="67" spans="12:82" x14ac:dyDescent="0.25">
      <c r="L67" s="17"/>
      <c r="P67" s="17"/>
      <c r="R67" s="16">
        <v>0</v>
      </c>
      <c r="U67" s="16"/>
      <c r="V67" s="16">
        <v>0</v>
      </c>
      <c r="Y67" s="16"/>
      <c r="Z67" s="16"/>
      <c r="AC67" s="16"/>
      <c r="AD67" s="16"/>
      <c r="AG67" s="16"/>
      <c r="AH67" s="16"/>
      <c r="AK67" s="16"/>
      <c r="AL67" s="16"/>
      <c r="AO67" s="16"/>
      <c r="AP67" s="16"/>
      <c r="AS67" s="16"/>
      <c r="AT67" s="16"/>
      <c r="AW67" s="16"/>
      <c r="AX67" s="16"/>
      <c r="BA67" s="16"/>
      <c r="BB67" s="16"/>
      <c r="BH67" s="19"/>
      <c r="CD67" s="19"/>
    </row>
    <row r="68" spans="12:82" x14ac:dyDescent="0.25">
      <c r="L68" s="17"/>
      <c r="P68" s="17"/>
      <c r="R68" s="16">
        <v>0</v>
      </c>
      <c r="U68" s="16"/>
      <c r="V68" s="16">
        <v>0</v>
      </c>
      <c r="Y68" s="16"/>
      <c r="Z68" s="16"/>
      <c r="AC68" s="16"/>
      <c r="AD68" s="16"/>
      <c r="AG68" s="16"/>
      <c r="AH68" s="16"/>
      <c r="AK68" s="16"/>
      <c r="AL68" s="16"/>
      <c r="AO68" s="16"/>
      <c r="AP68" s="16"/>
      <c r="AS68" s="16"/>
      <c r="AT68" s="16"/>
      <c r="AW68" s="16"/>
      <c r="AX68" s="16"/>
      <c r="BA68" s="16"/>
      <c r="BB68" s="16"/>
      <c r="BH68" s="19"/>
      <c r="CD68" s="19"/>
    </row>
    <row r="69" spans="12:82" x14ac:dyDescent="0.25">
      <c r="L69" s="17"/>
      <c r="P69" s="17"/>
      <c r="R69" s="16">
        <v>0</v>
      </c>
      <c r="U69" s="16"/>
      <c r="V69" s="16">
        <v>0</v>
      </c>
      <c r="Y69" s="16"/>
      <c r="Z69" s="16"/>
      <c r="AC69" s="16"/>
      <c r="AD69" s="16"/>
      <c r="AG69" s="16"/>
      <c r="AH69" s="16"/>
      <c r="AK69" s="16"/>
      <c r="AL69" s="16"/>
      <c r="AO69" s="16"/>
      <c r="AP69" s="16"/>
      <c r="AS69" s="16"/>
      <c r="AT69" s="16"/>
      <c r="AW69" s="16"/>
      <c r="AX69" s="16"/>
      <c r="BA69" s="16"/>
      <c r="BB69" s="16"/>
      <c r="BH69" s="19"/>
      <c r="CD69" s="19"/>
    </row>
    <row r="70" spans="12:82" x14ac:dyDescent="0.25">
      <c r="L70" s="17"/>
      <c r="P70" s="17"/>
      <c r="R70" s="16">
        <v>0</v>
      </c>
      <c r="U70" s="16"/>
      <c r="V70" s="16">
        <v>0</v>
      </c>
      <c r="Y70" s="16"/>
      <c r="Z70" s="16"/>
      <c r="AC70" s="16"/>
      <c r="AD70" s="16"/>
      <c r="AG70" s="16"/>
      <c r="AH70" s="16"/>
      <c r="AK70" s="16"/>
      <c r="AL70" s="16"/>
      <c r="AO70" s="16"/>
      <c r="AP70" s="16"/>
      <c r="AS70" s="16"/>
      <c r="AT70" s="16"/>
      <c r="AW70" s="16"/>
      <c r="AX70" s="16"/>
      <c r="BA70" s="16"/>
      <c r="BB70" s="16"/>
      <c r="BH70" s="19"/>
      <c r="CD70" s="19"/>
    </row>
    <row r="71" spans="12:82" x14ac:dyDescent="0.25">
      <c r="L71" s="17"/>
      <c r="P71" s="17"/>
      <c r="R71" s="16">
        <v>0</v>
      </c>
      <c r="U71" s="16"/>
      <c r="V71" s="16">
        <v>0</v>
      </c>
      <c r="Y71" s="16"/>
      <c r="Z71" s="16"/>
      <c r="AC71" s="16"/>
      <c r="AD71" s="16"/>
      <c r="AG71" s="16"/>
      <c r="AH71" s="16"/>
      <c r="AK71" s="16"/>
      <c r="AL71" s="16"/>
      <c r="AO71" s="16"/>
      <c r="AP71" s="16"/>
      <c r="AS71" s="16"/>
      <c r="AT71" s="16"/>
      <c r="AW71" s="16"/>
      <c r="AX71" s="16"/>
      <c r="BA71" s="16"/>
      <c r="BB71" s="16"/>
      <c r="BH71" s="19"/>
      <c r="CD71" s="19"/>
    </row>
    <row r="72" spans="12:82" x14ac:dyDescent="0.25">
      <c r="L72" s="17"/>
      <c r="P72" s="17"/>
      <c r="R72" s="16">
        <v>0</v>
      </c>
      <c r="U72" s="16"/>
      <c r="V72" s="16">
        <v>0</v>
      </c>
      <c r="Y72" s="16"/>
      <c r="Z72" s="16"/>
      <c r="AC72" s="16"/>
      <c r="AD72" s="16"/>
      <c r="AG72" s="16"/>
      <c r="AH72" s="16"/>
      <c r="AK72" s="16"/>
      <c r="AL72" s="16"/>
      <c r="AO72" s="16"/>
      <c r="AP72" s="16"/>
      <c r="AS72" s="16"/>
      <c r="AT72" s="16"/>
      <c r="AW72" s="16"/>
      <c r="AX72" s="16"/>
      <c r="BA72" s="16"/>
      <c r="BB72" s="16"/>
      <c r="BH72" s="19"/>
      <c r="CD72" s="19"/>
    </row>
    <row r="73" spans="12:82" x14ac:dyDescent="0.25">
      <c r="L73" s="17"/>
      <c r="P73" s="17"/>
      <c r="R73" s="16">
        <v>0</v>
      </c>
      <c r="U73" s="16"/>
      <c r="V73" s="16">
        <v>0</v>
      </c>
      <c r="Y73" s="16"/>
      <c r="Z73" s="16"/>
      <c r="AC73" s="16"/>
      <c r="AD73" s="16"/>
      <c r="AG73" s="16"/>
      <c r="AH73" s="16"/>
      <c r="AK73" s="16"/>
      <c r="AL73" s="16"/>
      <c r="AO73" s="16"/>
      <c r="AP73" s="16"/>
      <c r="AS73" s="16"/>
      <c r="AT73" s="16"/>
      <c r="AW73" s="16"/>
      <c r="AX73" s="16"/>
      <c r="BA73" s="16"/>
      <c r="BB73" s="16"/>
      <c r="BH73" s="19"/>
      <c r="CD73" s="19"/>
    </row>
    <row r="74" spans="12:82" x14ac:dyDescent="0.25">
      <c r="L74" s="17"/>
      <c r="P74" s="17"/>
      <c r="R74" s="16">
        <v>0</v>
      </c>
      <c r="U74" s="16"/>
      <c r="V74" s="16">
        <v>0</v>
      </c>
      <c r="Y74" s="16"/>
      <c r="Z74" s="16"/>
      <c r="AC74" s="16"/>
      <c r="AD74" s="16"/>
      <c r="AG74" s="16"/>
      <c r="AH74" s="16"/>
      <c r="AK74" s="16"/>
      <c r="AL74" s="16"/>
      <c r="AO74" s="16"/>
      <c r="AP74" s="16"/>
      <c r="AS74" s="16"/>
      <c r="AT74" s="16"/>
      <c r="AW74" s="16"/>
      <c r="AX74" s="16"/>
      <c r="BA74" s="16"/>
      <c r="BB74" s="16"/>
      <c r="BH74" s="19"/>
      <c r="CD74" s="19"/>
    </row>
    <row r="75" spans="12:82" x14ac:dyDescent="0.25">
      <c r="L75" s="17"/>
      <c r="P75" s="17"/>
      <c r="R75" s="16">
        <v>0</v>
      </c>
      <c r="U75" s="16"/>
      <c r="V75" s="16">
        <v>0</v>
      </c>
      <c r="Y75" s="16"/>
      <c r="Z75" s="16"/>
      <c r="AC75" s="16"/>
      <c r="AD75" s="16"/>
      <c r="AG75" s="16"/>
      <c r="AH75" s="16"/>
      <c r="AK75" s="16"/>
      <c r="AL75" s="16"/>
      <c r="AO75" s="16"/>
      <c r="AP75" s="16"/>
      <c r="AS75" s="16"/>
      <c r="AT75" s="16"/>
      <c r="AW75" s="16"/>
      <c r="AX75" s="16"/>
      <c r="BA75" s="16"/>
      <c r="BB75" s="16"/>
      <c r="BH75" s="19"/>
      <c r="CD75" s="19"/>
    </row>
    <row r="76" spans="12:82" x14ac:dyDescent="0.25">
      <c r="L76" s="17"/>
      <c r="P76" s="17"/>
      <c r="R76" s="16">
        <v>0</v>
      </c>
      <c r="U76" s="16"/>
      <c r="V76" s="16">
        <v>0</v>
      </c>
      <c r="Y76" s="16"/>
      <c r="Z76" s="16"/>
      <c r="AC76" s="16"/>
      <c r="AD76" s="16"/>
      <c r="AG76" s="16"/>
      <c r="AH76" s="16"/>
      <c r="AK76" s="16"/>
      <c r="AL76" s="16"/>
      <c r="AO76" s="16"/>
      <c r="AP76" s="16"/>
      <c r="AS76" s="16"/>
      <c r="AT76" s="16"/>
      <c r="AW76" s="16"/>
      <c r="AX76" s="16"/>
      <c r="BA76" s="16"/>
      <c r="BB76" s="16"/>
      <c r="BH76" s="19"/>
      <c r="CD76" s="19"/>
    </row>
    <row r="77" spans="12:82" x14ac:dyDescent="0.25">
      <c r="L77" s="17"/>
      <c r="P77" s="17"/>
      <c r="R77" s="16">
        <v>0</v>
      </c>
      <c r="U77" s="16"/>
      <c r="V77" s="16">
        <v>0</v>
      </c>
      <c r="Y77" s="16"/>
      <c r="Z77" s="16"/>
      <c r="AC77" s="16"/>
      <c r="AD77" s="16"/>
      <c r="AG77" s="16"/>
      <c r="AH77" s="16"/>
      <c r="AK77" s="16"/>
      <c r="AL77" s="16"/>
      <c r="AO77" s="16"/>
      <c r="AP77" s="16"/>
      <c r="AS77" s="16"/>
      <c r="AT77" s="16"/>
      <c r="AW77" s="16"/>
      <c r="AX77" s="16"/>
      <c r="BA77" s="16"/>
      <c r="BB77" s="16"/>
      <c r="BH77" s="19"/>
      <c r="CD77" s="19"/>
    </row>
    <row r="78" spans="12:82" x14ac:dyDescent="0.25">
      <c r="L78" s="17"/>
      <c r="P78" s="17"/>
      <c r="R78" s="16">
        <v>0</v>
      </c>
      <c r="U78" s="16"/>
      <c r="V78" s="16">
        <v>0</v>
      </c>
      <c r="Y78" s="16"/>
      <c r="Z78" s="16"/>
      <c r="AC78" s="16"/>
      <c r="AD78" s="16"/>
      <c r="AG78" s="16"/>
      <c r="AH78" s="16"/>
      <c r="AK78" s="16"/>
      <c r="AL78" s="16"/>
      <c r="AO78" s="16"/>
      <c r="AP78" s="16"/>
      <c r="AS78" s="16"/>
      <c r="AT78" s="16"/>
      <c r="AW78" s="16"/>
      <c r="AX78" s="16"/>
      <c r="BA78" s="16"/>
      <c r="BB78" s="16"/>
      <c r="BH78" s="19"/>
      <c r="CD78" s="19"/>
    </row>
    <row r="79" spans="12:82" x14ac:dyDescent="0.25">
      <c r="L79" s="17"/>
      <c r="P79" s="17"/>
      <c r="R79" s="16">
        <v>0</v>
      </c>
      <c r="U79" s="16"/>
      <c r="V79" s="16">
        <v>0</v>
      </c>
      <c r="Y79" s="16"/>
      <c r="Z79" s="16"/>
      <c r="AC79" s="16"/>
      <c r="AD79" s="16"/>
      <c r="AG79" s="16"/>
      <c r="AH79" s="16"/>
      <c r="AK79" s="16"/>
      <c r="AL79" s="16"/>
      <c r="AO79" s="16"/>
      <c r="AP79" s="16"/>
      <c r="AS79" s="16"/>
      <c r="AT79" s="16"/>
      <c r="AW79" s="16"/>
      <c r="AX79" s="16"/>
      <c r="BA79" s="16"/>
      <c r="BB79" s="16"/>
      <c r="BH79" s="19"/>
      <c r="CD79" s="19"/>
    </row>
    <row r="80" spans="12:82" x14ac:dyDescent="0.25">
      <c r="L80" s="17"/>
      <c r="P80" s="17"/>
      <c r="R80" s="16">
        <v>0</v>
      </c>
      <c r="U80" s="16"/>
      <c r="V80" s="16">
        <v>0</v>
      </c>
      <c r="Y80" s="16"/>
      <c r="Z80" s="16"/>
      <c r="AC80" s="16"/>
      <c r="AD80" s="16"/>
      <c r="AG80" s="16"/>
      <c r="AH80" s="16"/>
      <c r="AK80" s="16"/>
      <c r="AL80" s="16"/>
      <c r="AO80" s="16"/>
      <c r="AP80" s="16"/>
      <c r="AS80" s="16"/>
      <c r="AT80" s="16"/>
      <c r="AW80" s="16"/>
      <c r="AX80" s="16"/>
      <c r="BA80" s="16"/>
      <c r="BB80" s="16"/>
      <c r="BH80" s="19"/>
      <c r="CD80" s="19"/>
    </row>
    <row r="81" spans="12:82" x14ac:dyDescent="0.25">
      <c r="L81" s="17"/>
      <c r="P81" s="17"/>
      <c r="R81" s="16">
        <v>0</v>
      </c>
      <c r="U81" s="16"/>
      <c r="V81" s="16">
        <v>0</v>
      </c>
      <c r="Y81" s="16"/>
      <c r="Z81" s="16"/>
      <c r="AC81" s="16"/>
      <c r="AD81" s="16"/>
      <c r="AG81" s="16"/>
      <c r="AH81" s="16"/>
      <c r="AK81" s="16"/>
      <c r="AL81" s="16"/>
      <c r="AO81" s="16"/>
      <c r="AP81" s="16"/>
      <c r="AS81" s="16"/>
      <c r="AT81" s="16"/>
      <c r="AW81" s="16"/>
      <c r="AX81" s="16"/>
      <c r="BA81" s="16"/>
      <c r="BB81" s="16"/>
      <c r="BH81" s="19"/>
      <c r="CD81" s="19"/>
    </row>
    <row r="82" spans="12:82" x14ac:dyDescent="0.25">
      <c r="L82" s="17"/>
      <c r="P82" s="17"/>
      <c r="R82" s="16">
        <v>0</v>
      </c>
      <c r="U82" s="16"/>
      <c r="V82" s="16">
        <v>0</v>
      </c>
      <c r="Y82" s="16"/>
      <c r="Z82" s="16"/>
      <c r="AC82" s="16"/>
      <c r="AD82" s="16"/>
      <c r="AG82" s="16"/>
      <c r="AH82" s="16"/>
      <c r="AK82" s="16"/>
      <c r="AL82" s="16"/>
      <c r="AO82" s="16"/>
      <c r="AP82" s="16"/>
      <c r="AS82" s="16"/>
      <c r="AT82" s="16"/>
      <c r="AW82" s="16"/>
      <c r="AX82" s="16"/>
      <c r="BA82" s="16"/>
      <c r="BB82" s="16"/>
      <c r="BH82" s="19"/>
      <c r="CD82" s="19"/>
    </row>
    <row r="83" spans="12:82" x14ac:dyDescent="0.25">
      <c r="L83" s="17"/>
      <c r="P83" s="17"/>
      <c r="R83" s="16">
        <v>0</v>
      </c>
      <c r="U83" s="16"/>
      <c r="V83" s="16">
        <v>0</v>
      </c>
      <c r="Y83" s="16"/>
      <c r="Z83" s="16"/>
      <c r="AC83" s="16"/>
      <c r="AD83" s="16"/>
      <c r="AG83" s="16"/>
      <c r="AH83" s="16"/>
      <c r="AK83" s="16"/>
      <c r="AL83" s="16"/>
      <c r="AO83" s="16"/>
      <c r="AP83" s="16"/>
      <c r="AS83" s="16"/>
      <c r="AT83" s="16"/>
      <c r="AW83" s="16"/>
      <c r="AX83" s="16"/>
      <c r="BA83" s="16"/>
      <c r="BB83" s="16"/>
      <c r="BH83" s="19"/>
      <c r="CD83" s="19"/>
    </row>
    <row r="84" spans="12:82" x14ac:dyDescent="0.25">
      <c r="L84" s="17"/>
      <c r="P84" s="17"/>
      <c r="R84" s="16">
        <v>0</v>
      </c>
      <c r="U84" s="16"/>
      <c r="V84" s="16">
        <v>0</v>
      </c>
      <c r="Y84" s="16"/>
      <c r="Z84" s="16"/>
      <c r="AC84" s="16"/>
      <c r="AD84" s="16"/>
      <c r="AG84" s="16"/>
      <c r="AH84" s="16"/>
      <c r="AK84" s="16"/>
      <c r="AL84" s="16"/>
      <c r="AO84" s="16"/>
      <c r="AP84" s="16"/>
      <c r="AS84" s="16"/>
      <c r="AT84" s="16"/>
      <c r="AW84" s="16"/>
      <c r="AX84" s="16"/>
      <c r="BA84" s="16"/>
      <c r="BB84" s="16"/>
      <c r="BH84" s="19"/>
      <c r="CD84" s="19"/>
    </row>
    <row r="85" spans="12:82" x14ac:dyDescent="0.25">
      <c r="L85" s="17"/>
      <c r="P85" s="17"/>
      <c r="R85" s="16">
        <v>0</v>
      </c>
      <c r="U85" s="16"/>
      <c r="V85" s="16">
        <v>0</v>
      </c>
      <c r="Y85" s="16"/>
      <c r="Z85" s="16"/>
      <c r="AC85" s="16"/>
      <c r="AD85" s="16"/>
      <c r="AG85" s="16"/>
      <c r="AH85" s="16"/>
      <c r="AK85" s="16"/>
      <c r="AL85" s="16"/>
      <c r="AO85" s="16"/>
      <c r="AP85" s="16"/>
      <c r="AS85" s="16"/>
      <c r="AT85" s="16"/>
      <c r="AW85" s="16"/>
      <c r="AX85" s="16"/>
      <c r="BA85" s="16"/>
      <c r="BB85" s="16"/>
      <c r="BH85" s="19"/>
      <c r="CD85" s="19"/>
    </row>
    <row r="86" spans="12:82" x14ac:dyDescent="0.25">
      <c r="L86" s="17"/>
      <c r="P86" s="17"/>
      <c r="R86" s="16">
        <v>0</v>
      </c>
      <c r="U86" s="16"/>
      <c r="V86" s="16">
        <v>0</v>
      </c>
      <c r="Y86" s="16"/>
      <c r="Z86" s="16"/>
      <c r="AC86" s="16"/>
      <c r="AD86" s="16"/>
      <c r="AG86" s="16"/>
      <c r="AH86" s="16"/>
      <c r="AK86" s="16"/>
      <c r="AL86" s="16"/>
      <c r="AO86" s="16"/>
      <c r="AP86" s="16"/>
      <c r="AS86" s="16"/>
      <c r="AT86" s="16"/>
      <c r="AW86" s="16"/>
      <c r="AX86" s="16"/>
      <c r="BA86" s="16"/>
      <c r="BB86" s="16"/>
      <c r="BH86" s="19"/>
      <c r="CD86" s="19"/>
    </row>
    <row r="87" spans="12:82" x14ac:dyDescent="0.25">
      <c r="L87" s="17"/>
      <c r="P87" s="17"/>
      <c r="R87" s="16">
        <v>0</v>
      </c>
      <c r="U87" s="16"/>
      <c r="V87" s="16">
        <v>0</v>
      </c>
      <c r="Y87" s="16"/>
      <c r="Z87" s="16"/>
      <c r="AC87" s="16"/>
      <c r="AD87" s="16"/>
      <c r="AG87" s="16"/>
      <c r="AH87" s="16"/>
      <c r="AK87" s="16"/>
      <c r="AL87" s="16"/>
      <c r="AO87" s="16"/>
      <c r="AP87" s="16"/>
      <c r="AS87" s="16"/>
      <c r="AT87" s="16"/>
      <c r="AW87" s="16"/>
      <c r="AX87" s="16"/>
      <c r="BA87" s="16"/>
      <c r="BB87" s="16"/>
      <c r="BH87" s="19"/>
      <c r="CD87" s="19"/>
    </row>
    <row r="88" spans="12:82" x14ac:dyDescent="0.25">
      <c r="L88" s="17"/>
      <c r="P88" s="17"/>
      <c r="R88" s="16">
        <v>0</v>
      </c>
      <c r="U88" s="16"/>
      <c r="V88" s="16">
        <v>0</v>
      </c>
      <c r="Y88" s="16"/>
      <c r="Z88" s="16"/>
      <c r="AC88" s="16"/>
      <c r="AD88" s="16"/>
      <c r="AG88" s="16"/>
      <c r="AH88" s="16"/>
      <c r="AK88" s="16"/>
      <c r="AL88" s="16"/>
      <c r="AO88" s="16"/>
      <c r="AP88" s="16"/>
      <c r="AS88" s="16"/>
      <c r="AT88" s="16"/>
      <c r="AW88" s="16"/>
      <c r="AX88" s="16"/>
      <c r="BA88" s="16"/>
      <c r="BB88" s="16"/>
      <c r="BH88" s="19"/>
      <c r="CD88" s="19"/>
    </row>
    <row r="89" spans="12:82" x14ac:dyDescent="0.25">
      <c r="L89" s="17"/>
      <c r="P89" s="17"/>
      <c r="R89" s="16">
        <v>0</v>
      </c>
      <c r="U89" s="16"/>
      <c r="V89" s="16">
        <v>0</v>
      </c>
      <c r="Y89" s="16"/>
      <c r="Z89" s="16"/>
      <c r="AC89" s="16"/>
      <c r="AD89" s="16"/>
      <c r="AG89" s="16"/>
      <c r="AH89" s="16"/>
      <c r="AK89" s="16"/>
      <c r="AL89" s="16"/>
      <c r="AO89" s="16"/>
      <c r="AP89" s="16"/>
      <c r="AS89" s="16"/>
      <c r="AT89" s="16"/>
      <c r="AW89" s="16"/>
      <c r="AX89" s="16"/>
      <c r="BA89" s="16"/>
      <c r="BB89" s="16"/>
      <c r="BH89" s="19"/>
      <c r="CD89" s="19"/>
    </row>
    <row r="90" spans="12:82" x14ac:dyDescent="0.25">
      <c r="L90" s="17"/>
      <c r="P90" s="17"/>
      <c r="R90" s="16">
        <v>0</v>
      </c>
      <c r="U90" s="16"/>
      <c r="V90" s="16">
        <v>0</v>
      </c>
      <c r="Y90" s="16"/>
      <c r="Z90" s="16"/>
      <c r="AC90" s="16"/>
      <c r="AD90" s="16"/>
      <c r="AG90" s="16"/>
      <c r="AH90" s="16"/>
      <c r="AK90" s="16"/>
      <c r="AL90" s="16"/>
      <c r="AO90" s="16"/>
      <c r="AP90" s="16"/>
      <c r="AS90" s="16"/>
      <c r="AT90" s="16"/>
      <c r="AW90" s="16"/>
      <c r="AX90" s="16"/>
      <c r="BA90" s="16"/>
      <c r="BB90" s="16"/>
      <c r="BH90" s="19"/>
      <c r="CD90" s="19"/>
    </row>
    <row r="91" spans="12:82" x14ac:dyDescent="0.25">
      <c r="L91" s="17"/>
      <c r="P91" s="17"/>
      <c r="R91" s="16">
        <v>0</v>
      </c>
      <c r="U91" s="16"/>
      <c r="V91" s="16">
        <v>0</v>
      </c>
      <c r="Y91" s="16"/>
      <c r="Z91" s="16"/>
      <c r="AC91" s="16"/>
      <c r="AD91" s="16"/>
      <c r="AG91" s="16"/>
      <c r="AH91" s="16"/>
      <c r="AK91" s="16"/>
      <c r="AL91" s="16"/>
      <c r="AO91" s="16"/>
      <c r="AP91" s="16"/>
      <c r="AS91" s="16"/>
      <c r="AT91" s="16"/>
      <c r="AW91" s="16"/>
      <c r="AX91" s="16"/>
      <c r="BA91" s="16"/>
      <c r="BB91" s="16"/>
      <c r="BH91" s="19"/>
      <c r="CD91" s="19"/>
    </row>
    <row r="92" spans="12:82" x14ac:dyDescent="0.25">
      <c r="L92" s="17"/>
      <c r="P92" s="17"/>
      <c r="R92" s="16">
        <v>0</v>
      </c>
      <c r="U92" s="16"/>
      <c r="V92" s="16">
        <v>0</v>
      </c>
      <c r="Y92" s="16"/>
      <c r="Z92" s="16"/>
      <c r="AC92" s="16"/>
      <c r="AD92" s="16"/>
      <c r="AG92" s="16"/>
      <c r="AH92" s="16"/>
      <c r="AK92" s="16"/>
      <c r="AL92" s="16"/>
      <c r="AO92" s="16"/>
      <c r="AP92" s="16"/>
      <c r="AS92" s="16"/>
      <c r="AT92" s="16"/>
      <c r="AW92" s="16"/>
      <c r="AX92" s="16"/>
      <c r="BA92" s="16"/>
      <c r="BB92" s="16"/>
      <c r="BH92" s="19"/>
      <c r="CD92" s="19"/>
    </row>
    <row r="93" spans="12:82" x14ac:dyDescent="0.25">
      <c r="L93" s="17"/>
      <c r="P93" s="17"/>
      <c r="R93" s="16">
        <v>0</v>
      </c>
      <c r="U93" s="16"/>
      <c r="V93" s="16">
        <v>0</v>
      </c>
      <c r="Y93" s="16"/>
      <c r="Z93" s="16"/>
      <c r="AC93" s="16"/>
      <c r="AD93" s="16"/>
      <c r="AG93" s="16"/>
      <c r="AH93" s="16"/>
      <c r="AK93" s="16"/>
      <c r="AL93" s="16"/>
      <c r="AO93" s="16"/>
      <c r="AP93" s="16"/>
      <c r="AS93" s="16"/>
      <c r="AT93" s="16"/>
      <c r="AW93" s="16"/>
      <c r="AX93" s="16"/>
      <c r="BA93" s="16"/>
      <c r="BB93" s="16"/>
      <c r="BH93" s="19"/>
      <c r="CD93" s="19"/>
    </row>
    <row r="94" spans="12:82" x14ac:dyDescent="0.25">
      <c r="L94" s="17"/>
      <c r="P94" s="17"/>
      <c r="R94" s="16">
        <v>0</v>
      </c>
      <c r="U94" s="16"/>
      <c r="V94" s="16">
        <v>0</v>
      </c>
      <c r="Y94" s="16"/>
      <c r="Z94" s="16"/>
      <c r="AC94" s="16"/>
      <c r="AD94" s="16"/>
      <c r="AG94" s="16"/>
      <c r="AH94" s="16"/>
      <c r="AK94" s="16"/>
      <c r="AL94" s="16"/>
      <c r="AO94" s="16"/>
      <c r="AP94" s="16"/>
      <c r="AS94" s="16"/>
      <c r="AT94" s="16"/>
      <c r="AW94" s="16"/>
      <c r="AX94" s="16"/>
      <c r="BA94" s="16"/>
      <c r="BB94" s="16"/>
      <c r="BH94" s="19"/>
      <c r="CD94" s="19"/>
    </row>
    <row r="95" spans="12:82" x14ac:dyDescent="0.25">
      <c r="L95" s="17"/>
      <c r="P95" s="17"/>
      <c r="R95" s="16">
        <v>0</v>
      </c>
      <c r="U95" s="16"/>
      <c r="V95" s="16">
        <v>0</v>
      </c>
      <c r="Y95" s="16"/>
      <c r="Z95" s="16"/>
      <c r="AC95" s="16"/>
      <c r="AD95" s="16"/>
      <c r="AG95" s="16"/>
      <c r="AH95" s="16"/>
      <c r="AK95" s="16"/>
      <c r="AL95" s="16"/>
      <c r="AO95" s="16"/>
      <c r="AP95" s="16"/>
      <c r="AS95" s="16"/>
      <c r="AT95" s="16"/>
      <c r="AW95" s="16"/>
      <c r="AX95" s="16"/>
      <c r="BA95" s="16"/>
      <c r="BB95" s="16"/>
      <c r="BH95" s="19"/>
      <c r="CD95" s="19"/>
    </row>
    <row r="96" spans="12:82" x14ac:dyDescent="0.25">
      <c r="L96" s="17"/>
      <c r="P96" s="17"/>
      <c r="R96" s="16">
        <v>0</v>
      </c>
      <c r="U96" s="16"/>
      <c r="V96" s="16">
        <v>0</v>
      </c>
      <c r="Y96" s="16"/>
      <c r="Z96" s="16"/>
      <c r="AC96" s="16"/>
      <c r="AD96" s="16"/>
      <c r="AG96" s="16"/>
      <c r="AH96" s="16"/>
      <c r="AK96" s="16"/>
      <c r="AL96" s="16"/>
      <c r="AO96" s="16"/>
      <c r="AP96" s="16"/>
      <c r="AS96" s="16"/>
      <c r="AT96" s="16"/>
      <c r="AW96" s="16"/>
      <c r="AX96" s="16"/>
      <c r="BA96" s="16"/>
      <c r="BB96" s="16"/>
      <c r="BH96" s="19"/>
      <c r="CD96" s="19"/>
    </row>
    <row r="97" spans="12:82" x14ac:dyDescent="0.25">
      <c r="L97" s="17"/>
      <c r="P97" s="17"/>
      <c r="R97" s="16">
        <v>0</v>
      </c>
      <c r="U97" s="16"/>
      <c r="V97" s="16">
        <v>0</v>
      </c>
      <c r="Y97" s="16"/>
      <c r="Z97" s="16"/>
      <c r="AC97" s="16"/>
      <c r="AD97" s="16"/>
      <c r="AG97" s="16"/>
      <c r="AH97" s="16"/>
      <c r="AK97" s="16"/>
      <c r="AL97" s="16"/>
      <c r="AO97" s="16"/>
      <c r="AP97" s="16"/>
      <c r="AS97" s="16"/>
      <c r="AT97" s="16"/>
      <c r="AW97" s="16"/>
      <c r="AX97" s="16"/>
      <c r="BA97" s="16"/>
      <c r="BB97" s="16"/>
      <c r="BH97" s="19"/>
      <c r="CD97" s="19"/>
    </row>
    <row r="98" spans="12:82" x14ac:dyDescent="0.25">
      <c r="L98" s="17"/>
      <c r="P98" s="17"/>
      <c r="R98" s="16">
        <v>0</v>
      </c>
      <c r="U98" s="16"/>
      <c r="V98" s="16">
        <v>0</v>
      </c>
      <c r="Y98" s="16"/>
      <c r="Z98" s="16"/>
      <c r="AC98" s="16"/>
      <c r="AD98" s="16"/>
      <c r="AG98" s="16"/>
      <c r="AH98" s="16"/>
      <c r="AK98" s="16"/>
      <c r="AL98" s="16"/>
      <c r="AO98" s="16"/>
      <c r="AP98" s="16"/>
      <c r="AS98" s="16"/>
      <c r="AT98" s="16"/>
      <c r="AW98" s="16"/>
      <c r="AX98" s="16"/>
      <c r="BA98" s="16"/>
      <c r="BB98" s="16"/>
      <c r="BH98" s="19"/>
      <c r="CD98" s="19"/>
    </row>
    <row r="99" spans="12:82" x14ac:dyDescent="0.25">
      <c r="L99" s="17"/>
      <c r="P99" s="17"/>
      <c r="R99" s="16">
        <v>0</v>
      </c>
      <c r="U99" s="16"/>
      <c r="V99" s="16">
        <v>0</v>
      </c>
      <c r="Y99" s="16"/>
      <c r="Z99" s="16"/>
      <c r="AC99" s="16"/>
      <c r="AD99" s="16"/>
      <c r="AG99" s="16"/>
      <c r="AH99" s="16"/>
      <c r="AK99" s="16"/>
      <c r="AL99" s="16"/>
      <c r="AO99" s="16"/>
      <c r="AP99" s="16"/>
      <c r="AS99" s="16"/>
      <c r="AT99" s="16"/>
      <c r="AW99" s="16"/>
      <c r="AX99" s="16"/>
      <c r="BA99" s="16"/>
      <c r="BB99" s="16"/>
      <c r="BH99" s="19"/>
      <c r="CD99" s="19"/>
    </row>
    <row r="100" spans="12:82" x14ac:dyDescent="0.25">
      <c r="L100" s="17"/>
      <c r="P100" s="17"/>
      <c r="R100" s="16">
        <v>0</v>
      </c>
      <c r="U100" s="16"/>
      <c r="V100" s="16">
        <v>0</v>
      </c>
      <c r="Y100" s="16"/>
      <c r="Z100" s="16"/>
      <c r="AC100" s="16"/>
      <c r="AD100" s="16"/>
      <c r="AG100" s="16"/>
      <c r="AH100" s="16"/>
      <c r="AK100" s="16"/>
      <c r="AL100" s="16"/>
      <c r="AO100" s="16"/>
      <c r="AP100" s="16"/>
      <c r="AS100" s="16"/>
      <c r="AT100" s="16"/>
      <c r="AW100" s="16"/>
      <c r="AX100" s="16"/>
      <c r="BA100" s="16"/>
      <c r="BB100" s="16"/>
      <c r="BH100" s="19"/>
      <c r="CD100" s="19"/>
    </row>
    <row r="101" spans="12:82" x14ac:dyDescent="0.25">
      <c r="L101" s="17"/>
      <c r="P101" s="17"/>
      <c r="R101" s="16">
        <v>0</v>
      </c>
      <c r="U101" s="16"/>
      <c r="V101" s="16">
        <v>0</v>
      </c>
      <c r="Y101" s="16"/>
      <c r="Z101" s="16"/>
      <c r="AC101" s="16"/>
      <c r="AD101" s="16"/>
      <c r="AG101" s="16"/>
      <c r="AH101" s="16"/>
      <c r="AK101" s="16"/>
      <c r="AL101" s="16"/>
      <c r="AO101" s="16"/>
      <c r="AP101" s="16"/>
      <c r="AS101" s="16"/>
      <c r="AT101" s="16"/>
      <c r="AW101" s="16"/>
      <c r="AX101" s="16"/>
      <c r="BA101" s="16"/>
      <c r="BB101" s="16"/>
      <c r="BH101" s="19"/>
      <c r="CD101" s="19"/>
    </row>
    <row r="102" spans="12:82" x14ac:dyDescent="0.25">
      <c r="L102" s="17"/>
      <c r="P102" s="17"/>
      <c r="R102" s="16">
        <v>0</v>
      </c>
      <c r="U102" s="16"/>
      <c r="V102" s="16">
        <v>0</v>
      </c>
      <c r="Y102" s="16"/>
      <c r="Z102" s="16"/>
      <c r="AC102" s="16"/>
      <c r="AD102" s="16"/>
      <c r="AG102" s="16"/>
      <c r="AH102" s="16"/>
      <c r="AK102" s="16"/>
      <c r="AL102" s="16"/>
      <c r="AO102" s="16"/>
      <c r="AP102" s="16"/>
      <c r="AS102" s="16"/>
      <c r="AT102" s="16"/>
      <c r="AW102" s="16"/>
      <c r="AX102" s="16"/>
      <c r="BA102" s="16"/>
      <c r="BB102" s="16"/>
      <c r="BH102" s="19"/>
      <c r="CD102" s="19"/>
    </row>
    <row r="103" spans="12:82" x14ac:dyDescent="0.25">
      <c r="L103" s="17"/>
      <c r="P103" s="17"/>
      <c r="R103" s="16">
        <v>0</v>
      </c>
      <c r="U103" s="16"/>
      <c r="V103" s="16">
        <v>0</v>
      </c>
      <c r="Y103" s="16"/>
      <c r="Z103" s="16"/>
      <c r="AC103" s="16"/>
      <c r="AD103" s="16"/>
      <c r="AG103" s="16"/>
      <c r="AH103" s="16"/>
      <c r="AK103" s="16"/>
      <c r="AL103" s="16"/>
      <c r="AO103" s="16"/>
      <c r="AP103" s="16"/>
      <c r="AS103" s="16"/>
      <c r="AT103" s="16"/>
      <c r="AW103" s="16"/>
      <c r="AX103" s="16"/>
      <c r="BA103" s="16"/>
      <c r="BB103" s="16"/>
      <c r="BH103" s="19"/>
      <c r="CD103" s="19"/>
    </row>
    <row r="104" spans="12:82" x14ac:dyDescent="0.25">
      <c r="L104" s="17"/>
      <c r="P104" s="17"/>
      <c r="R104" s="16">
        <v>0</v>
      </c>
      <c r="U104" s="16"/>
      <c r="V104" s="16">
        <v>0</v>
      </c>
      <c r="Y104" s="16"/>
      <c r="Z104" s="16"/>
      <c r="AC104" s="16"/>
      <c r="AD104" s="16"/>
      <c r="AG104" s="16"/>
      <c r="AH104" s="16"/>
      <c r="AK104" s="16"/>
      <c r="AL104" s="16"/>
      <c r="AO104" s="16"/>
      <c r="AP104" s="16"/>
      <c r="AS104" s="16"/>
      <c r="AT104" s="16"/>
      <c r="AW104" s="16"/>
      <c r="AX104" s="16"/>
      <c r="BA104" s="16"/>
      <c r="BB104" s="16"/>
      <c r="BH104" s="19"/>
      <c r="CD104" s="19"/>
    </row>
    <row r="105" spans="12:82" x14ac:dyDescent="0.25">
      <c r="L105" s="17"/>
      <c r="P105" s="17"/>
      <c r="R105" s="16">
        <v>0</v>
      </c>
      <c r="U105" s="16"/>
      <c r="V105" s="16">
        <v>0</v>
      </c>
      <c r="Y105" s="16"/>
      <c r="Z105" s="16"/>
      <c r="AC105" s="16"/>
      <c r="AD105" s="16"/>
      <c r="AG105" s="16"/>
      <c r="AH105" s="16"/>
      <c r="AK105" s="16"/>
      <c r="AL105" s="16"/>
      <c r="AO105" s="16"/>
      <c r="AP105" s="16"/>
      <c r="AS105" s="16"/>
      <c r="AT105" s="16"/>
      <c r="AW105" s="16"/>
      <c r="AX105" s="16"/>
      <c r="BA105" s="16"/>
      <c r="BB105" s="16"/>
      <c r="BH105" s="19"/>
      <c r="CD105" s="19"/>
    </row>
    <row r="106" spans="12:82" x14ac:dyDescent="0.25">
      <c r="L106" s="17"/>
      <c r="P106" s="17"/>
      <c r="R106" s="16">
        <v>0</v>
      </c>
      <c r="U106" s="16"/>
      <c r="V106" s="16">
        <v>0</v>
      </c>
      <c r="Y106" s="16"/>
      <c r="Z106" s="16"/>
      <c r="AC106" s="16"/>
      <c r="AD106" s="16"/>
      <c r="AG106" s="16"/>
      <c r="AH106" s="16"/>
      <c r="AK106" s="16"/>
      <c r="AL106" s="16"/>
      <c r="AO106" s="16"/>
      <c r="AP106" s="16"/>
      <c r="AS106" s="16"/>
      <c r="AT106" s="16"/>
      <c r="AW106" s="16"/>
      <c r="AX106" s="16"/>
      <c r="BA106" s="16"/>
      <c r="BB106" s="16"/>
      <c r="BH106" s="19"/>
      <c r="CD106" s="19"/>
    </row>
    <row r="107" spans="12:82" x14ac:dyDescent="0.25">
      <c r="L107" s="17"/>
      <c r="P107" s="17"/>
      <c r="R107" s="16">
        <v>0</v>
      </c>
      <c r="U107" s="16"/>
      <c r="V107" s="16">
        <v>0</v>
      </c>
      <c r="Y107" s="16"/>
      <c r="Z107" s="16"/>
      <c r="AC107" s="16"/>
      <c r="AD107" s="16"/>
      <c r="AG107" s="16"/>
      <c r="AH107" s="16"/>
      <c r="AK107" s="16"/>
      <c r="AL107" s="16"/>
      <c r="AO107" s="16"/>
      <c r="AP107" s="16"/>
      <c r="AS107" s="16"/>
      <c r="AT107" s="16"/>
      <c r="AW107" s="16"/>
      <c r="AX107" s="16"/>
      <c r="BA107" s="16"/>
      <c r="BB107" s="16"/>
      <c r="BH107" s="19"/>
      <c r="CD107" s="19"/>
    </row>
    <row r="108" spans="12:82" x14ac:dyDescent="0.25">
      <c r="L108" s="17"/>
      <c r="P108" s="17"/>
      <c r="R108" s="16">
        <v>0</v>
      </c>
      <c r="U108" s="16"/>
      <c r="V108" s="16">
        <v>0</v>
      </c>
      <c r="Y108" s="16"/>
      <c r="Z108" s="16"/>
      <c r="AC108" s="16"/>
      <c r="AD108" s="16"/>
      <c r="AG108" s="16"/>
      <c r="AH108" s="16"/>
      <c r="AK108" s="16"/>
      <c r="AL108" s="16"/>
      <c r="AO108" s="16"/>
      <c r="AP108" s="16"/>
      <c r="AS108" s="16"/>
      <c r="AT108" s="16"/>
      <c r="AW108" s="16"/>
      <c r="AX108" s="16"/>
      <c r="BA108" s="16"/>
      <c r="BB108" s="16"/>
      <c r="BH108" s="19"/>
      <c r="CD108" s="19"/>
    </row>
    <row r="109" spans="12:82" x14ac:dyDescent="0.25">
      <c r="L109" s="17"/>
      <c r="P109" s="17"/>
      <c r="R109" s="16">
        <v>0</v>
      </c>
      <c r="U109" s="16"/>
      <c r="V109" s="16">
        <v>0</v>
      </c>
      <c r="Y109" s="16"/>
      <c r="Z109" s="16"/>
      <c r="AC109" s="16"/>
      <c r="AD109" s="16"/>
      <c r="AG109" s="16"/>
      <c r="AH109" s="16"/>
      <c r="AK109" s="16"/>
      <c r="AL109" s="16"/>
      <c r="AO109" s="16"/>
      <c r="AP109" s="16"/>
      <c r="AS109" s="16"/>
      <c r="AT109" s="16"/>
      <c r="AW109" s="16"/>
      <c r="AX109" s="16"/>
      <c r="BA109" s="16"/>
      <c r="BB109" s="16"/>
      <c r="BH109" s="19"/>
      <c r="CD109" s="19"/>
    </row>
    <row r="110" spans="12:82" x14ac:dyDescent="0.25">
      <c r="L110" s="17"/>
      <c r="P110" s="17"/>
      <c r="R110" s="16">
        <v>0</v>
      </c>
      <c r="U110" s="16"/>
      <c r="V110" s="16">
        <v>0</v>
      </c>
      <c r="Y110" s="16"/>
      <c r="Z110" s="16"/>
      <c r="AC110" s="16"/>
      <c r="AD110" s="16"/>
      <c r="AG110" s="16"/>
      <c r="AH110" s="16"/>
      <c r="AK110" s="16"/>
      <c r="AL110" s="16"/>
      <c r="AO110" s="16"/>
      <c r="AP110" s="16"/>
      <c r="AS110" s="16"/>
      <c r="AT110" s="16"/>
      <c r="AW110" s="16"/>
      <c r="AX110" s="16"/>
      <c r="BA110" s="16"/>
      <c r="BB110" s="16"/>
      <c r="BH110" s="19"/>
      <c r="CD110" s="19"/>
    </row>
    <row r="111" spans="12:82" x14ac:dyDescent="0.25">
      <c r="L111" s="17"/>
      <c r="P111" s="17"/>
      <c r="R111" s="16">
        <v>0</v>
      </c>
      <c r="U111" s="16"/>
      <c r="V111" s="16">
        <v>0</v>
      </c>
      <c r="Y111" s="16"/>
      <c r="Z111" s="16"/>
      <c r="AC111" s="16"/>
      <c r="AD111" s="16"/>
      <c r="AG111" s="16"/>
      <c r="AH111" s="16"/>
      <c r="AK111" s="16"/>
      <c r="AL111" s="16"/>
      <c r="AO111" s="16"/>
      <c r="AP111" s="16"/>
      <c r="AS111" s="16"/>
      <c r="AT111" s="16"/>
      <c r="AW111" s="16"/>
      <c r="AX111" s="16"/>
      <c r="BA111" s="16"/>
      <c r="BB111" s="16"/>
      <c r="BH111" s="19"/>
      <c r="CD111" s="19"/>
    </row>
    <row r="112" spans="12:82" x14ac:dyDescent="0.25">
      <c r="L112" s="17"/>
      <c r="P112" s="17"/>
      <c r="R112" s="16">
        <v>0</v>
      </c>
      <c r="U112" s="16"/>
      <c r="V112" s="16">
        <v>0</v>
      </c>
      <c r="Y112" s="16"/>
      <c r="Z112" s="16"/>
      <c r="AC112" s="16"/>
      <c r="AD112" s="16"/>
      <c r="AG112" s="16"/>
      <c r="AH112" s="16"/>
      <c r="AK112" s="16"/>
      <c r="AL112" s="16"/>
      <c r="AO112" s="16"/>
      <c r="AP112" s="16"/>
      <c r="AS112" s="16"/>
      <c r="AT112" s="16"/>
      <c r="AW112" s="16"/>
      <c r="AX112" s="16"/>
      <c r="BA112" s="16"/>
      <c r="BB112" s="16"/>
      <c r="BH112" s="19"/>
      <c r="CD112" s="19"/>
    </row>
    <row r="113" spans="12:82" x14ac:dyDescent="0.25">
      <c r="L113" s="17"/>
      <c r="P113" s="17"/>
      <c r="R113" s="16">
        <v>0</v>
      </c>
      <c r="U113" s="16"/>
      <c r="V113" s="16">
        <v>0</v>
      </c>
      <c r="Y113" s="16"/>
      <c r="Z113" s="16"/>
      <c r="AC113" s="16"/>
      <c r="AD113" s="16"/>
      <c r="AG113" s="16"/>
      <c r="AH113" s="16"/>
      <c r="AK113" s="16"/>
      <c r="AL113" s="16"/>
      <c r="AO113" s="16"/>
      <c r="AP113" s="16"/>
      <c r="AS113" s="16"/>
      <c r="AT113" s="16"/>
      <c r="AW113" s="16"/>
      <c r="AX113" s="16"/>
      <c r="BA113" s="16"/>
      <c r="BB113" s="16"/>
      <c r="BH113" s="19"/>
      <c r="CD113" s="19"/>
    </row>
    <row r="114" spans="12:82" x14ac:dyDescent="0.25">
      <c r="L114" s="17"/>
      <c r="P114" s="17"/>
      <c r="R114" s="16">
        <v>0</v>
      </c>
      <c r="U114" s="16"/>
      <c r="V114" s="16">
        <v>0</v>
      </c>
      <c r="Y114" s="16"/>
      <c r="Z114" s="16"/>
      <c r="AC114" s="16"/>
      <c r="AD114" s="16"/>
      <c r="AG114" s="16"/>
      <c r="AH114" s="16"/>
      <c r="AK114" s="16"/>
      <c r="AL114" s="16"/>
      <c r="AO114" s="16"/>
      <c r="AP114" s="16"/>
      <c r="AS114" s="16"/>
      <c r="AT114" s="16"/>
      <c r="AW114" s="16"/>
      <c r="AX114" s="16"/>
      <c r="BA114" s="16"/>
      <c r="BB114" s="16"/>
      <c r="BH114" s="19"/>
      <c r="CD114" s="19"/>
    </row>
    <row r="115" spans="12:82" x14ac:dyDescent="0.25">
      <c r="L115" s="17"/>
      <c r="P115" s="17"/>
      <c r="R115" s="16">
        <v>0</v>
      </c>
      <c r="U115" s="16"/>
      <c r="V115" s="16">
        <v>0</v>
      </c>
      <c r="Y115" s="16"/>
      <c r="Z115" s="16"/>
      <c r="AC115" s="16"/>
      <c r="AD115" s="16"/>
      <c r="AG115" s="16"/>
      <c r="AH115" s="16"/>
      <c r="AK115" s="16"/>
      <c r="AL115" s="16"/>
      <c r="AO115" s="16"/>
      <c r="AP115" s="16"/>
      <c r="AS115" s="16"/>
      <c r="AT115" s="16"/>
      <c r="AW115" s="16"/>
      <c r="AX115" s="16"/>
      <c r="BA115" s="16"/>
      <c r="BB115" s="16"/>
      <c r="BH115" s="19"/>
      <c r="CD115" s="19"/>
    </row>
    <row r="116" spans="12:82" x14ac:dyDescent="0.25">
      <c r="L116" s="17"/>
      <c r="P116" s="17"/>
      <c r="R116" s="16">
        <v>0</v>
      </c>
      <c r="U116" s="16"/>
      <c r="V116" s="16">
        <v>0</v>
      </c>
      <c r="Y116" s="16"/>
      <c r="Z116" s="16"/>
      <c r="AC116" s="16"/>
      <c r="AD116" s="16"/>
      <c r="AG116" s="16"/>
      <c r="AH116" s="16"/>
      <c r="AK116" s="16"/>
      <c r="AL116" s="16"/>
      <c r="AO116" s="16"/>
      <c r="AP116" s="16"/>
      <c r="AS116" s="16"/>
      <c r="AT116" s="16"/>
      <c r="AW116" s="16"/>
      <c r="AX116" s="16"/>
      <c r="BA116" s="16"/>
      <c r="BB116" s="16"/>
      <c r="BH116" s="19"/>
      <c r="CD116" s="19"/>
    </row>
    <row r="117" spans="12:82" x14ac:dyDescent="0.25">
      <c r="L117" s="17"/>
      <c r="P117" s="17"/>
      <c r="R117" s="16">
        <v>0</v>
      </c>
      <c r="U117" s="16"/>
      <c r="V117" s="16">
        <v>0</v>
      </c>
      <c r="Y117" s="16"/>
      <c r="Z117" s="16"/>
      <c r="AC117" s="16"/>
      <c r="AD117" s="16"/>
      <c r="AG117" s="16"/>
      <c r="AH117" s="16"/>
      <c r="AK117" s="16"/>
      <c r="AL117" s="16"/>
      <c r="AO117" s="16"/>
      <c r="AP117" s="16"/>
      <c r="AS117" s="16"/>
      <c r="AT117" s="16"/>
      <c r="AW117" s="16"/>
      <c r="AX117" s="16"/>
      <c r="BA117" s="16"/>
      <c r="BB117" s="16"/>
      <c r="BH117" s="19"/>
      <c r="CD117" s="19"/>
    </row>
    <row r="118" spans="12:82" x14ac:dyDescent="0.25">
      <c r="L118" s="17"/>
      <c r="P118" s="17"/>
      <c r="R118" s="16">
        <v>0</v>
      </c>
      <c r="U118" s="16"/>
      <c r="V118" s="16">
        <v>0</v>
      </c>
      <c r="Y118" s="16"/>
      <c r="Z118" s="16"/>
      <c r="AC118" s="16"/>
      <c r="AD118" s="16"/>
      <c r="AG118" s="16"/>
      <c r="AH118" s="16"/>
      <c r="AK118" s="16"/>
      <c r="AL118" s="16"/>
      <c r="AO118" s="16"/>
      <c r="AP118" s="16"/>
      <c r="AS118" s="16"/>
      <c r="AT118" s="16"/>
      <c r="AW118" s="16"/>
      <c r="AX118" s="16"/>
      <c r="BA118" s="16"/>
      <c r="BB118" s="16"/>
      <c r="BH118" s="19"/>
      <c r="CD118" s="19"/>
    </row>
    <row r="119" spans="12:82" x14ac:dyDescent="0.25">
      <c r="L119" s="17"/>
      <c r="P119" s="17"/>
      <c r="R119" s="16">
        <v>0</v>
      </c>
      <c r="U119" s="16"/>
      <c r="V119" s="16">
        <v>0</v>
      </c>
      <c r="Y119" s="16"/>
      <c r="Z119" s="16"/>
      <c r="AC119" s="16"/>
      <c r="AD119" s="16"/>
      <c r="AG119" s="16"/>
      <c r="AH119" s="16"/>
      <c r="AK119" s="16"/>
      <c r="AL119" s="16"/>
      <c r="AO119" s="16"/>
      <c r="AP119" s="16"/>
      <c r="AS119" s="16"/>
      <c r="AT119" s="16"/>
      <c r="AW119" s="16"/>
      <c r="AX119" s="16"/>
      <c r="BA119" s="16"/>
      <c r="BB119" s="16"/>
      <c r="BH119" s="19"/>
      <c r="CD119" s="19"/>
    </row>
    <row r="120" spans="12:82" x14ac:dyDescent="0.25">
      <c r="L120" s="17"/>
      <c r="P120" s="17"/>
      <c r="R120" s="16">
        <v>0</v>
      </c>
      <c r="U120" s="16"/>
      <c r="V120" s="16">
        <v>0</v>
      </c>
      <c r="Y120" s="16"/>
      <c r="Z120" s="16"/>
      <c r="AC120" s="16"/>
      <c r="AD120" s="16"/>
      <c r="AG120" s="16"/>
      <c r="AH120" s="16"/>
      <c r="AK120" s="16"/>
      <c r="AL120" s="16"/>
      <c r="AO120" s="16"/>
      <c r="AP120" s="16"/>
      <c r="AS120" s="16"/>
      <c r="AT120" s="16"/>
      <c r="AW120" s="16"/>
      <c r="AX120" s="16"/>
      <c r="BA120" s="16"/>
      <c r="BB120" s="16"/>
      <c r="BH120" s="19"/>
      <c r="CD120" s="19"/>
    </row>
    <row r="121" spans="12:82" x14ac:dyDescent="0.25">
      <c r="L121" s="17"/>
      <c r="P121" s="17"/>
      <c r="R121" s="16">
        <v>0</v>
      </c>
      <c r="U121" s="16"/>
      <c r="V121" s="16">
        <v>0</v>
      </c>
      <c r="Y121" s="16"/>
      <c r="Z121" s="16"/>
      <c r="AC121" s="16"/>
      <c r="AD121" s="16"/>
      <c r="AG121" s="16"/>
      <c r="AH121" s="16"/>
      <c r="AK121" s="16"/>
      <c r="AL121" s="16"/>
      <c r="AO121" s="16"/>
      <c r="AP121" s="16"/>
      <c r="AS121" s="16"/>
      <c r="AT121" s="16"/>
      <c r="AW121" s="16"/>
      <c r="AX121" s="16"/>
      <c r="BA121" s="16"/>
      <c r="BB121" s="16"/>
      <c r="BH121" s="19"/>
      <c r="CD121" s="19"/>
    </row>
    <row r="122" spans="12:82" x14ac:dyDescent="0.25">
      <c r="L122" s="17"/>
      <c r="P122" s="17"/>
      <c r="R122" s="16">
        <v>0</v>
      </c>
      <c r="U122" s="16"/>
      <c r="V122" s="16">
        <v>0</v>
      </c>
      <c r="Y122" s="16"/>
      <c r="Z122" s="16"/>
      <c r="AC122" s="16"/>
      <c r="AD122" s="16"/>
      <c r="AG122" s="16"/>
      <c r="AH122" s="16"/>
      <c r="AK122" s="16"/>
      <c r="AL122" s="16"/>
      <c r="AO122" s="16"/>
      <c r="AP122" s="16"/>
      <c r="AS122" s="16"/>
      <c r="AT122" s="16"/>
      <c r="AW122" s="16"/>
      <c r="AX122" s="16"/>
      <c r="BA122" s="16"/>
      <c r="BB122" s="16"/>
      <c r="BH122" s="19"/>
      <c r="CD122" s="19"/>
    </row>
    <row r="123" spans="12:82" x14ac:dyDescent="0.25">
      <c r="L123" s="17"/>
      <c r="P123" s="17"/>
      <c r="R123" s="16">
        <v>0</v>
      </c>
      <c r="U123" s="16"/>
      <c r="V123" s="16">
        <v>0</v>
      </c>
      <c r="Y123" s="16"/>
      <c r="Z123" s="16"/>
      <c r="AC123" s="16"/>
      <c r="AD123" s="16"/>
      <c r="AG123" s="16"/>
      <c r="AH123" s="16"/>
      <c r="AK123" s="16"/>
      <c r="AL123" s="16"/>
      <c r="AO123" s="16"/>
      <c r="AP123" s="16"/>
      <c r="AS123" s="16"/>
      <c r="AT123" s="16"/>
      <c r="AW123" s="16"/>
      <c r="AX123" s="16"/>
      <c r="BA123" s="16"/>
      <c r="BB123" s="16"/>
      <c r="BH123" s="19"/>
      <c r="CD123" s="19"/>
    </row>
    <row r="124" spans="12:82" x14ac:dyDescent="0.25">
      <c r="L124" s="17"/>
      <c r="P124" s="17"/>
      <c r="R124" s="16">
        <v>0</v>
      </c>
      <c r="U124" s="16"/>
      <c r="V124" s="16">
        <v>0</v>
      </c>
      <c r="Y124" s="16"/>
      <c r="Z124" s="16"/>
      <c r="AC124" s="16"/>
      <c r="AD124" s="16"/>
      <c r="AG124" s="16"/>
      <c r="AH124" s="16"/>
      <c r="AK124" s="16"/>
      <c r="AL124" s="16"/>
      <c r="AO124" s="16"/>
      <c r="AP124" s="16"/>
      <c r="AS124" s="16"/>
      <c r="AT124" s="16"/>
      <c r="AW124" s="16"/>
      <c r="AX124" s="16"/>
      <c r="BA124" s="16"/>
      <c r="BB124" s="16"/>
      <c r="BH124" s="19"/>
      <c r="CD124" s="19"/>
    </row>
    <row r="125" spans="12:82" x14ac:dyDescent="0.25">
      <c r="L125" s="17"/>
      <c r="P125" s="17"/>
      <c r="R125" s="16">
        <v>0</v>
      </c>
      <c r="U125" s="16"/>
      <c r="V125" s="16">
        <v>0</v>
      </c>
      <c r="Y125" s="16"/>
      <c r="Z125" s="16"/>
      <c r="AC125" s="16"/>
      <c r="AD125" s="16"/>
      <c r="AG125" s="16"/>
      <c r="AH125" s="16"/>
      <c r="AK125" s="16"/>
      <c r="AL125" s="16"/>
      <c r="AO125" s="16"/>
      <c r="AP125" s="16"/>
      <c r="AS125" s="16"/>
      <c r="AT125" s="16"/>
      <c r="AW125" s="16"/>
      <c r="AX125" s="16"/>
      <c r="BA125" s="16"/>
      <c r="BB125" s="16"/>
      <c r="BH125" s="19"/>
      <c r="CD125" s="19"/>
    </row>
    <row r="126" spans="12:82" x14ac:dyDescent="0.25">
      <c r="L126" s="17"/>
      <c r="P126" s="17"/>
      <c r="R126" s="16">
        <v>0</v>
      </c>
      <c r="U126" s="16"/>
      <c r="V126" s="16">
        <v>0</v>
      </c>
      <c r="Y126" s="16"/>
      <c r="Z126" s="16"/>
      <c r="AC126" s="16"/>
      <c r="AD126" s="16"/>
      <c r="AG126" s="16"/>
      <c r="AH126" s="16"/>
      <c r="AK126" s="16"/>
      <c r="AL126" s="16"/>
      <c r="AO126" s="16"/>
      <c r="AP126" s="16"/>
      <c r="AS126" s="16"/>
      <c r="AT126" s="16"/>
      <c r="AW126" s="16"/>
      <c r="AX126" s="16"/>
      <c r="BA126" s="16"/>
      <c r="BB126" s="16"/>
      <c r="BH126" s="19"/>
      <c r="CD126" s="19"/>
    </row>
    <row r="127" spans="12:82" x14ac:dyDescent="0.25">
      <c r="L127" s="17"/>
      <c r="P127" s="17"/>
      <c r="R127" s="16">
        <v>0</v>
      </c>
      <c r="U127" s="16"/>
      <c r="V127" s="16">
        <v>0</v>
      </c>
      <c r="Y127" s="16"/>
      <c r="Z127" s="16"/>
      <c r="AC127" s="16"/>
      <c r="AD127" s="16"/>
      <c r="AG127" s="16"/>
      <c r="AH127" s="16"/>
      <c r="AK127" s="16"/>
      <c r="AL127" s="16"/>
      <c r="AO127" s="16"/>
      <c r="AP127" s="16"/>
      <c r="AS127" s="16"/>
      <c r="AT127" s="16"/>
      <c r="AW127" s="16"/>
      <c r="AX127" s="16"/>
      <c r="BA127" s="16"/>
      <c r="BB127" s="16"/>
      <c r="BH127" s="19"/>
      <c r="CD127" s="19"/>
    </row>
    <row r="128" spans="12:82" x14ac:dyDescent="0.25">
      <c r="L128" s="17"/>
      <c r="P128" s="17"/>
      <c r="R128" s="16">
        <v>0</v>
      </c>
      <c r="U128" s="16"/>
      <c r="V128" s="16">
        <v>0</v>
      </c>
      <c r="Y128" s="16"/>
      <c r="Z128" s="16"/>
      <c r="AC128" s="16"/>
      <c r="AD128" s="16"/>
      <c r="AG128" s="16"/>
      <c r="AH128" s="16"/>
      <c r="AK128" s="16"/>
      <c r="AL128" s="16"/>
      <c r="AO128" s="16"/>
      <c r="AP128" s="16"/>
      <c r="AS128" s="16"/>
      <c r="AT128" s="16"/>
      <c r="AW128" s="16"/>
      <c r="AX128" s="16"/>
      <c r="BA128" s="16"/>
      <c r="BB128" s="16"/>
      <c r="BH128" s="19"/>
      <c r="CD128" s="19"/>
    </row>
    <row r="129" spans="12:82" x14ac:dyDescent="0.25">
      <c r="L129" s="17"/>
      <c r="P129" s="17"/>
      <c r="R129" s="16">
        <v>0</v>
      </c>
      <c r="U129" s="16"/>
      <c r="V129" s="16">
        <v>0</v>
      </c>
      <c r="Y129" s="16"/>
      <c r="Z129" s="16"/>
      <c r="AC129" s="16"/>
      <c r="AD129" s="16"/>
      <c r="AG129" s="16"/>
      <c r="AH129" s="16"/>
      <c r="AK129" s="16"/>
      <c r="AL129" s="16"/>
      <c r="AO129" s="16"/>
      <c r="AP129" s="16"/>
      <c r="AS129" s="16"/>
      <c r="AT129" s="16"/>
      <c r="AW129" s="16"/>
      <c r="AX129" s="16"/>
      <c r="BA129" s="16"/>
      <c r="BB129" s="16"/>
      <c r="BH129" s="19"/>
      <c r="CD129" s="19"/>
    </row>
    <row r="130" spans="12:82" x14ac:dyDescent="0.25">
      <c r="L130" s="17"/>
      <c r="P130" s="17"/>
      <c r="R130" s="16">
        <v>0</v>
      </c>
      <c r="U130" s="16"/>
      <c r="V130" s="16">
        <v>0</v>
      </c>
      <c r="Y130" s="16"/>
      <c r="Z130" s="16"/>
      <c r="AC130" s="16"/>
      <c r="AD130" s="16"/>
      <c r="AG130" s="16"/>
      <c r="AH130" s="16"/>
      <c r="AK130" s="16"/>
      <c r="AL130" s="16"/>
      <c r="AO130" s="16"/>
      <c r="AP130" s="16"/>
      <c r="AS130" s="16"/>
      <c r="AT130" s="16"/>
      <c r="AW130" s="16"/>
      <c r="AX130" s="16"/>
      <c r="BA130" s="16"/>
      <c r="BB130" s="16"/>
      <c r="BH130" s="19"/>
      <c r="CD130" s="19"/>
    </row>
    <row r="131" spans="12:82" x14ac:dyDescent="0.25">
      <c r="L131" s="17"/>
      <c r="P131" s="17"/>
      <c r="R131" s="16">
        <v>0</v>
      </c>
      <c r="U131" s="16"/>
      <c r="V131" s="16">
        <v>0</v>
      </c>
      <c r="Y131" s="16"/>
      <c r="Z131" s="16"/>
      <c r="AC131" s="16"/>
      <c r="AD131" s="16"/>
      <c r="AG131" s="16"/>
      <c r="AH131" s="16"/>
      <c r="AK131" s="16"/>
      <c r="AL131" s="16"/>
      <c r="AO131" s="16"/>
      <c r="AP131" s="16"/>
      <c r="AS131" s="16"/>
      <c r="AT131" s="16"/>
      <c r="AW131" s="16"/>
      <c r="AX131" s="16"/>
      <c r="BA131" s="16"/>
      <c r="BB131" s="16"/>
      <c r="BH131" s="19"/>
      <c r="CD131" s="19"/>
    </row>
    <row r="132" spans="12:82" x14ac:dyDescent="0.25">
      <c r="L132" s="17"/>
      <c r="P132" s="17"/>
      <c r="R132" s="16">
        <v>0</v>
      </c>
      <c r="U132" s="16"/>
      <c r="V132" s="16">
        <v>0</v>
      </c>
      <c r="Y132" s="16"/>
      <c r="Z132" s="16"/>
      <c r="AC132" s="16"/>
      <c r="AD132" s="16"/>
      <c r="AG132" s="16"/>
      <c r="AH132" s="16"/>
      <c r="AK132" s="16"/>
      <c r="AL132" s="16"/>
      <c r="AO132" s="16"/>
      <c r="AP132" s="16"/>
      <c r="AS132" s="16"/>
      <c r="AT132" s="16"/>
      <c r="AW132" s="16"/>
      <c r="AX132" s="16"/>
      <c r="BA132" s="16"/>
      <c r="BB132" s="16"/>
      <c r="BH132" s="19"/>
      <c r="CD132" s="19"/>
    </row>
    <row r="133" spans="12:82" x14ac:dyDescent="0.25">
      <c r="L133" s="17"/>
      <c r="P133" s="17"/>
      <c r="R133" s="16">
        <v>0</v>
      </c>
      <c r="U133" s="16"/>
      <c r="V133" s="16">
        <v>0</v>
      </c>
      <c r="Y133" s="16"/>
      <c r="Z133" s="16"/>
      <c r="AC133" s="16"/>
      <c r="AD133" s="16"/>
      <c r="AG133" s="16"/>
      <c r="AH133" s="16"/>
      <c r="AK133" s="16"/>
      <c r="AL133" s="16"/>
      <c r="AO133" s="16"/>
      <c r="AP133" s="16"/>
      <c r="AS133" s="16"/>
      <c r="AT133" s="16"/>
      <c r="AW133" s="16"/>
      <c r="AX133" s="16"/>
      <c r="BA133" s="16"/>
      <c r="BB133" s="16"/>
      <c r="BH133" s="19"/>
      <c r="CD133" s="19"/>
    </row>
    <row r="134" spans="12:82" x14ac:dyDescent="0.25">
      <c r="L134" s="17"/>
      <c r="P134" s="17"/>
      <c r="R134" s="16">
        <v>0</v>
      </c>
      <c r="U134" s="16"/>
      <c r="V134" s="16">
        <v>0</v>
      </c>
      <c r="Y134" s="16"/>
      <c r="Z134" s="16"/>
      <c r="AC134" s="16"/>
      <c r="AD134" s="16"/>
      <c r="AG134" s="16"/>
      <c r="AH134" s="16"/>
      <c r="AK134" s="16"/>
      <c r="AL134" s="16"/>
      <c r="AO134" s="16"/>
      <c r="AP134" s="16"/>
      <c r="AS134" s="16"/>
      <c r="AT134" s="16"/>
      <c r="AW134" s="16"/>
      <c r="AX134" s="16"/>
      <c r="BA134" s="16"/>
      <c r="BB134" s="16"/>
      <c r="BH134" s="19"/>
      <c r="CD134" s="19"/>
    </row>
    <row r="135" spans="12:82" x14ac:dyDescent="0.25">
      <c r="L135" s="17"/>
      <c r="P135" s="17"/>
      <c r="R135" s="16">
        <v>0</v>
      </c>
      <c r="U135" s="16"/>
      <c r="V135" s="16">
        <v>0</v>
      </c>
      <c r="Y135" s="16"/>
      <c r="Z135" s="16"/>
      <c r="AC135" s="16"/>
      <c r="AD135" s="16"/>
      <c r="AG135" s="16"/>
      <c r="AH135" s="16"/>
      <c r="AK135" s="16"/>
      <c r="AL135" s="16"/>
      <c r="AO135" s="16"/>
      <c r="AP135" s="16"/>
      <c r="AS135" s="16"/>
      <c r="AT135" s="16"/>
      <c r="AW135" s="16"/>
      <c r="AX135" s="16"/>
      <c r="BA135" s="16"/>
      <c r="BB135" s="16"/>
      <c r="BH135" s="19"/>
      <c r="CD135" s="19"/>
    </row>
    <row r="136" spans="12:82" x14ac:dyDescent="0.25">
      <c r="L136" s="17"/>
      <c r="P136" s="17"/>
      <c r="R136" s="16">
        <v>0</v>
      </c>
      <c r="U136" s="16"/>
      <c r="V136" s="16">
        <v>0</v>
      </c>
      <c r="Y136" s="16"/>
      <c r="Z136" s="16"/>
      <c r="AC136" s="16"/>
      <c r="AD136" s="16"/>
      <c r="AG136" s="16"/>
      <c r="AH136" s="16"/>
      <c r="AK136" s="16"/>
      <c r="AL136" s="16"/>
      <c r="AO136" s="16"/>
      <c r="AP136" s="16"/>
      <c r="AS136" s="16"/>
      <c r="AT136" s="16"/>
      <c r="AW136" s="16"/>
      <c r="AX136" s="16"/>
      <c r="BA136" s="16"/>
      <c r="BB136" s="16"/>
      <c r="BH136" s="19"/>
      <c r="CD136" s="19"/>
    </row>
    <row r="137" spans="12:82" x14ac:dyDescent="0.25">
      <c r="L137" s="17"/>
      <c r="P137" s="17"/>
      <c r="R137" s="16">
        <v>0</v>
      </c>
      <c r="U137" s="16"/>
      <c r="V137" s="16">
        <v>0</v>
      </c>
      <c r="Y137" s="16"/>
      <c r="Z137" s="16"/>
      <c r="AC137" s="16"/>
      <c r="AD137" s="16"/>
      <c r="AG137" s="16"/>
      <c r="AH137" s="16"/>
      <c r="AK137" s="16"/>
      <c r="AL137" s="16"/>
      <c r="AO137" s="16"/>
      <c r="AP137" s="16"/>
      <c r="AS137" s="16"/>
      <c r="AT137" s="16"/>
      <c r="AW137" s="16"/>
      <c r="AX137" s="16"/>
      <c r="BA137" s="16"/>
      <c r="BB137" s="16"/>
      <c r="BH137" s="19"/>
      <c r="CD137" s="19"/>
    </row>
    <row r="138" spans="12:82" x14ac:dyDescent="0.25">
      <c r="L138" s="17"/>
      <c r="P138" s="17"/>
      <c r="R138" s="16">
        <v>0</v>
      </c>
      <c r="U138" s="16"/>
      <c r="V138" s="16">
        <v>0</v>
      </c>
      <c r="Y138" s="16"/>
      <c r="Z138" s="16"/>
      <c r="AC138" s="16"/>
      <c r="AD138" s="16"/>
      <c r="AG138" s="16"/>
      <c r="AH138" s="16"/>
      <c r="AK138" s="16"/>
      <c r="AL138" s="16"/>
      <c r="AO138" s="16"/>
      <c r="AP138" s="16"/>
      <c r="AS138" s="16"/>
      <c r="AT138" s="16"/>
      <c r="AW138" s="16"/>
      <c r="AX138" s="16"/>
      <c r="BA138" s="16"/>
      <c r="BB138" s="16"/>
      <c r="BH138" s="19"/>
      <c r="CD138" s="19"/>
    </row>
    <row r="139" spans="12:82" x14ac:dyDescent="0.25">
      <c r="L139" s="17"/>
      <c r="P139" s="17"/>
      <c r="R139" s="16">
        <v>0</v>
      </c>
      <c r="U139" s="16"/>
      <c r="V139" s="16">
        <v>0</v>
      </c>
      <c r="Y139" s="16"/>
      <c r="Z139" s="16"/>
      <c r="AC139" s="16"/>
      <c r="AD139" s="16"/>
      <c r="AG139" s="16"/>
      <c r="AH139" s="16"/>
      <c r="AK139" s="16"/>
      <c r="AL139" s="16"/>
      <c r="AO139" s="16"/>
      <c r="AP139" s="16"/>
      <c r="AS139" s="16"/>
      <c r="AT139" s="16"/>
      <c r="AW139" s="16"/>
      <c r="AX139" s="16"/>
      <c r="BA139" s="16"/>
      <c r="BB139" s="16"/>
      <c r="BH139" s="19"/>
      <c r="CD139" s="19"/>
    </row>
    <row r="140" spans="12:82" x14ac:dyDescent="0.25">
      <c r="L140" s="17"/>
      <c r="P140" s="17"/>
      <c r="R140" s="16">
        <v>0</v>
      </c>
      <c r="U140" s="16"/>
      <c r="V140" s="16">
        <v>0</v>
      </c>
      <c r="Y140" s="16"/>
      <c r="Z140" s="16"/>
      <c r="AC140" s="16"/>
      <c r="AD140" s="16"/>
      <c r="AG140" s="16"/>
      <c r="AH140" s="16"/>
      <c r="AK140" s="16"/>
      <c r="AL140" s="16"/>
      <c r="AO140" s="16"/>
      <c r="AP140" s="16"/>
      <c r="AS140" s="16"/>
      <c r="AT140" s="16"/>
      <c r="AW140" s="16"/>
      <c r="AX140" s="16"/>
      <c r="BA140" s="16"/>
      <c r="BB140" s="16"/>
      <c r="BH140" s="19"/>
      <c r="CD140" s="19"/>
    </row>
    <row r="141" spans="12:82" x14ac:dyDescent="0.25">
      <c r="L141" s="17"/>
      <c r="P141" s="17"/>
      <c r="R141" s="16">
        <v>0</v>
      </c>
      <c r="U141" s="16"/>
      <c r="V141" s="16">
        <v>0</v>
      </c>
      <c r="Y141" s="16"/>
      <c r="Z141" s="16"/>
      <c r="AC141" s="16"/>
      <c r="AD141" s="16"/>
      <c r="AG141" s="16"/>
      <c r="AH141" s="16"/>
      <c r="AK141" s="16"/>
      <c r="AL141" s="16"/>
      <c r="AO141" s="16"/>
      <c r="AP141" s="16"/>
      <c r="AS141" s="16"/>
      <c r="AT141" s="16"/>
      <c r="AW141" s="16"/>
      <c r="AX141" s="16"/>
      <c r="BA141" s="16"/>
      <c r="BB141" s="16"/>
      <c r="BH141" s="19"/>
      <c r="CD141" s="19"/>
    </row>
    <row r="142" spans="12:82" x14ac:dyDescent="0.25">
      <c r="L142" s="17"/>
      <c r="P142" s="17"/>
      <c r="R142" s="16">
        <v>0</v>
      </c>
      <c r="U142" s="16"/>
      <c r="V142" s="16">
        <v>0</v>
      </c>
      <c r="Y142" s="16"/>
      <c r="Z142" s="16"/>
      <c r="AC142" s="16"/>
      <c r="AD142" s="16"/>
      <c r="AG142" s="16"/>
      <c r="AH142" s="16"/>
      <c r="AK142" s="16"/>
      <c r="AL142" s="16"/>
      <c r="AO142" s="16"/>
      <c r="AP142" s="16"/>
      <c r="AS142" s="16"/>
      <c r="AT142" s="16"/>
      <c r="AW142" s="16"/>
      <c r="AX142" s="16"/>
      <c r="BA142" s="16"/>
      <c r="BB142" s="16"/>
      <c r="BH142" s="19"/>
      <c r="CD142" s="19"/>
    </row>
    <row r="143" spans="12:82" x14ac:dyDescent="0.25">
      <c r="L143" s="17"/>
      <c r="P143" s="17"/>
      <c r="R143" s="16">
        <v>0</v>
      </c>
      <c r="U143" s="16"/>
      <c r="V143" s="16">
        <v>0</v>
      </c>
      <c r="Y143" s="16"/>
      <c r="Z143" s="16"/>
      <c r="AC143" s="16"/>
      <c r="AD143" s="16"/>
      <c r="AG143" s="16"/>
      <c r="AH143" s="16"/>
      <c r="AK143" s="16"/>
      <c r="AL143" s="16"/>
      <c r="AO143" s="16"/>
      <c r="AP143" s="16"/>
      <c r="AS143" s="16"/>
      <c r="AT143" s="16"/>
      <c r="AW143" s="16"/>
      <c r="AX143" s="16"/>
      <c r="BA143" s="16"/>
      <c r="BB143" s="16"/>
      <c r="BH143" s="19"/>
      <c r="CD143" s="19"/>
    </row>
    <row r="144" spans="12:82" x14ac:dyDescent="0.25">
      <c r="L144" s="17"/>
      <c r="P144" s="17"/>
      <c r="R144" s="16">
        <v>0</v>
      </c>
      <c r="U144" s="16"/>
      <c r="V144" s="16">
        <v>0</v>
      </c>
      <c r="Y144" s="16"/>
      <c r="Z144" s="16"/>
      <c r="AC144" s="16"/>
      <c r="AD144" s="16"/>
      <c r="AG144" s="16"/>
      <c r="AH144" s="16"/>
      <c r="AK144" s="16"/>
      <c r="AL144" s="16"/>
      <c r="AO144" s="16"/>
      <c r="AP144" s="16"/>
      <c r="AS144" s="16"/>
      <c r="AT144" s="16"/>
      <c r="AW144" s="16"/>
      <c r="AX144" s="16"/>
      <c r="BA144" s="16"/>
      <c r="BB144" s="16"/>
      <c r="BH144" s="19"/>
      <c r="CD144" s="19"/>
    </row>
    <row r="145" spans="12:82" x14ac:dyDescent="0.25">
      <c r="L145" s="17"/>
      <c r="P145" s="17"/>
      <c r="R145" s="16">
        <v>0</v>
      </c>
      <c r="U145" s="16"/>
      <c r="V145" s="16">
        <v>0</v>
      </c>
      <c r="Y145" s="16"/>
      <c r="Z145" s="16"/>
      <c r="AC145" s="16"/>
      <c r="AD145" s="16"/>
      <c r="AG145" s="16"/>
      <c r="AH145" s="16"/>
      <c r="AK145" s="16"/>
      <c r="AL145" s="16"/>
      <c r="AO145" s="16"/>
      <c r="AP145" s="16"/>
      <c r="AS145" s="16"/>
      <c r="AT145" s="16"/>
      <c r="AW145" s="16"/>
      <c r="AX145" s="16"/>
      <c r="BA145" s="16"/>
      <c r="BB145" s="16"/>
      <c r="BH145" s="19"/>
      <c r="CD145" s="19"/>
    </row>
    <row r="146" spans="12:82" x14ac:dyDescent="0.25">
      <c r="L146" s="17"/>
      <c r="P146" s="17"/>
      <c r="R146" s="16">
        <v>0</v>
      </c>
      <c r="U146" s="16"/>
      <c r="V146" s="16">
        <v>0</v>
      </c>
      <c r="Y146" s="16"/>
      <c r="Z146" s="16"/>
      <c r="AC146" s="16"/>
      <c r="AD146" s="16"/>
      <c r="AG146" s="16"/>
      <c r="AH146" s="16"/>
      <c r="AK146" s="16"/>
      <c r="AL146" s="16"/>
      <c r="AO146" s="16"/>
      <c r="AP146" s="16"/>
      <c r="AS146" s="16"/>
      <c r="AT146" s="16"/>
      <c r="AW146" s="16"/>
      <c r="AX146" s="16"/>
      <c r="BA146" s="16"/>
      <c r="BB146" s="16"/>
      <c r="BH146" s="19"/>
      <c r="CD146" s="19"/>
    </row>
    <row r="147" spans="12:82" x14ac:dyDescent="0.25">
      <c r="L147" s="17"/>
      <c r="P147" s="17"/>
      <c r="R147" s="16">
        <v>0</v>
      </c>
      <c r="U147" s="16"/>
      <c r="V147" s="16">
        <v>0</v>
      </c>
      <c r="Y147" s="16"/>
      <c r="Z147" s="16"/>
      <c r="AC147" s="16"/>
      <c r="AD147" s="16"/>
      <c r="AG147" s="16"/>
      <c r="AH147" s="16"/>
      <c r="AK147" s="16"/>
      <c r="AL147" s="16"/>
      <c r="AO147" s="16"/>
      <c r="AP147" s="16"/>
      <c r="AS147" s="16"/>
      <c r="AT147" s="16"/>
      <c r="AW147" s="16"/>
      <c r="AX147" s="16"/>
      <c r="BA147" s="16"/>
      <c r="BB147" s="16"/>
      <c r="BH147" s="19"/>
      <c r="CD147" s="19"/>
    </row>
    <row r="148" spans="12:82" x14ac:dyDescent="0.25">
      <c r="L148" s="17"/>
      <c r="P148" s="17"/>
      <c r="R148" s="16">
        <v>0</v>
      </c>
      <c r="U148" s="16"/>
      <c r="V148" s="16">
        <v>0</v>
      </c>
      <c r="Y148" s="16"/>
      <c r="Z148" s="16"/>
      <c r="AC148" s="16"/>
      <c r="AD148" s="16"/>
      <c r="AG148" s="16"/>
      <c r="AH148" s="16"/>
      <c r="AK148" s="16"/>
      <c r="AL148" s="16"/>
      <c r="AO148" s="16"/>
      <c r="AP148" s="16"/>
      <c r="AS148" s="16"/>
      <c r="AT148" s="16"/>
      <c r="AW148" s="16"/>
      <c r="AX148" s="16"/>
      <c r="BA148" s="16"/>
      <c r="BB148" s="16"/>
      <c r="BH148" s="19"/>
      <c r="CD148" s="19"/>
    </row>
    <row r="149" spans="12:82" x14ac:dyDescent="0.25">
      <c r="L149" s="17"/>
      <c r="P149" s="17"/>
      <c r="R149" s="16">
        <v>0</v>
      </c>
      <c r="U149" s="16"/>
      <c r="V149" s="16">
        <v>0</v>
      </c>
      <c r="Y149" s="16"/>
      <c r="Z149" s="16"/>
      <c r="AC149" s="16"/>
      <c r="AD149" s="16"/>
      <c r="AG149" s="16"/>
      <c r="AH149" s="16"/>
      <c r="AK149" s="16"/>
      <c r="AL149" s="16"/>
      <c r="AO149" s="16"/>
      <c r="AP149" s="16"/>
      <c r="AS149" s="16"/>
      <c r="AT149" s="16"/>
      <c r="AW149" s="16"/>
      <c r="AX149" s="16"/>
      <c r="BA149" s="16"/>
      <c r="BB149" s="16"/>
      <c r="BH149" s="19"/>
      <c r="CD149" s="19"/>
    </row>
    <row r="150" spans="12:82" x14ac:dyDescent="0.25">
      <c r="L150" s="17"/>
      <c r="P150" s="17"/>
      <c r="R150" s="16">
        <v>0</v>
      </c>
      <c r="U150" s="16"/>
      <c r="V150" s="16">
        <v>0</v>
      </c>
      <c r="Y150" s="16"/>
      <c r="Z150" s="16"/>
      <c r="AC150" s="16"/>
      <c r="AD150" s="16"/>
      <c r="AG150" s="16"/>
      <c r="AH150" s="16"/>
      <c r="AK150" s="16"/>
      <c r="AL150" s="16"/>
      <c r="AO150" s="16"/>
      <c r="AP150" s="16"/>
      <c r="AS150" s="16"/>
      <c r="AT150" s="16"/>
      <c r="AW150" s="16"/>
      <c r="AX150" s="16"/>
      <c r="BA150" s="16"/>
      <c r="BB150" s="16"/>
      <c r="BH150" s="19"/>
      <c r="CD150" s="19"/>
    </row>
    <row r="151" spans="12:82" x14ac:dyDescent="0.25">
      <c r="L151" s="17"/>
      <c r="P151" s="17"/>
      <c r="R151" s="16">
        <v>0</v>
      </c>
      <c r="U151" s="16"/>
      <c r="V151" s="16">
        <v>0</v>
      </c>
      <c r="Y151" s="16"/>
      <c r="Z151" s="16"/>
      <c r="AC151" s="16"/>
      <c r="AD151" s="16"/>
      <c r="AG151" s="16"/>
      <c r="AH151" s="16"/>
      <c r="AK151" s="16"/>
      <c r="AL151" s="16"/>
      <c r="AO151" s="16"/>
      <c r="AP151" s="16"/>
      <c r="AS151" s="16"/>
      <c r="AT151" s="16"/>
      <c r="AW151" s="16"/>
      <c r="AX151" s="16"/>
      <c r="BA151" s="16"/>
      <c r="BB151" s="16"/>
      <c r="BH151" s="19"/>
      <c r="CD151" s="19"/>
    </row>
    <row r="152" spans="12:82" x14ac:dyDescent="0.25">
      <c r="L152" s="17"/>
      <c r="P152" s="17"/>
      <c r="R152" s="16">
        <v>0</v>
      </c>
      <c r="U152" s="16"/>
      <c r="V152" s="16">
        <v>0</v>
      </c>
      <c r="Y152" s="16"/>
      <c r="Z152" s="16"/>
      <c r="AC152" s="16"/>
      <c r="AD152" s="16"/>
      <c r="AG152" s="16"/>
      <c r="AH152" s="16"/>
      <c r="AK152" s="16"/>
      <c r="AL152" s="16"/>
      <c r="AO152" s="16"/>
      <c r="AP152" s="16"/>
      <c r="AS152" s="16"/>
      <c r="AT152" s="16"/>
      <c r="AW152" s="16"/>
      <c r="AX152" s="16"/>
      <c r="BA152" s="16"/>
      <c r="BB152" s="16"/>
      <c r="BH152" s="19"/>
      <c r="CD152" s="19"/>
    </row>
    <row r="153" spans="12:82" x14ac:dyDescent="0.25">
      <c r="L153" s="17"/>
      <c r="P153" s="17"/>
      <c r="R153" s="16">
        <v>0</v>
      </c>
      <c r="U153" s="16"/>
      <c r="V153" s="16">
        <v>0</v>
      </c>
      <c r="Y153" s="16"/>
      <c r="Z153" s="16"/>
      <c r="AC153" s="16"/>
      <c r="AD153" s="16"/>
      <c r="AG153" s="16"/>
      <c r="AH153" s="16"/>
      <c r="AK153" s="16"/>
      <c r="AL153" s="16"/>
      <c r="AO153" s="16"/>
      <c r="AP153" s="16"/>
      <c r="AS153" s="16"/>
      <c r="AT153" s="16"/>
      <c r="AW153" s="16"/>
      <c r="AX153" s="16"/>
      <c r="BA153" s="16"/>
      <c r="BB153" s="16"/>
      <c r="BH153" s="19"/>
      <c r="CD153" s="19"/>
    </row>
    <row r="154" spans="12:82" x14ac:dyDescent="0.25">
      <c r="L154" s="17"/>
      <c r="P154" s="17"/>
      <c r="R154" s="16">
        <v>0</v>
      </c>
      <c r="U154" s="16"/>
      <c r="V154" s="16">
        <v>0</v>
      </c>
      <c r="Y154" s="16"/>
      <c r="Z154" s="16"/>
      <c r="AC154" s="16"/>
      <c r="AD154" s="16"/>
      <c r="AG154" s="16"/>
      <c r="AH154" s="16"/>
      <c r="AK154" s="16"/>
      <c r="AL154" s="16"/>
      <c r="AO154" s="16"/>
      <c r="AP154" s="16"/>
      <c r="AS154" s="16"/>
      <c r="AT154" s="16"/>
      <c r="AW154" s="16"/>
      <c r="AX154" s="16"/>
      <c r="BA154" s="16"/>
      <c r="BB154" s="16"/>
      <c r="BH154" s="19"/>
      <c r="CD154" s="19"/>
    </row>
    <row r="155" spans="12:82" x14ac:dyDescent="0.25">
      <c r="L155" s="17"/>
      <c r="P155" s="17"/>
      <c r="R155" s="16">
        <v>0</v>
      </c>
      <c r="U155" s="16"/>
      <c r="V155" s="16">
        <v>0</v>
      </c>
      <c r="Y155" s="16"/>
      <c r="Z155" s="16"/>
      <c r="AC155" s="16"/>
      <c r="AD155" s="16"/>
      <c r="AG155" s="16"/>
      <c r="AH155" s="16"/>
      <c r="AK155" s="16"/>
      <c r="AL155" s="16"/>
      <c r="AO155" s="16"/>
      <c r="AP155" s="16"/>
      <c r="AS155" s="16"/>
      <c r="AT155" s="16"/>
      <c r="AW155" s="16"/>
      <c r="AX155" s="16"/>
      <c r="BA155" s="16"/>
      <c r="BB155" s="16"/>
      <c r="BH155" s="19"/>
      <c r="CD155" s="19"/>
    </row>
    <row r="156" spans="12:82" x14ac:dyDescent="0.25">
      <c r="L156" s="17"/>
      <c r="P156" s="17"/>
      <c r="R156" s="16">
        <v>0</v>
      </c>
      <c r="U156" s="16"/>
      <c r="V156" s="16">
        <v>0</v>
      </c>
      <c r="Y156" s="16"/>
      <c r="Z156" s="16"/>
      <c r="AC156" s="16"/>
      <c r="AD156" s="16"/>
      <c r="AG156" s="16"/>
      <c r="AH156" s="16"/>
      <c r="AK156" s="16"/>
      <c r="AL156" s="16"/>
      <c r="AO156" s="16"/>
      <c r="AP156" s="16"/>
      <c r="AS156" s="16"/>
      <c r="AT156" s="16"/>
      <c r="AW156" s="16"/>
      <c r="AX156" s="16"/>
      <c r="BA156" s="16"/>
      <c r="BB156" s="16"/>
      <c r="BH156" s="19"/>
      <c r="CD156" s="19"/>
    </row>
    <row r="157" spans="12:82" x14ac:dyDescent="0.25">
      <c r="L157" s="17"/>
      <c r="P157" s="17"/>
      <c r="R157" s="16">
        <v>0</v>
      </c>
      <c r="U157" s="16"/>
      <c r="V157" s="16">
        <v>0</v>
      </c>
      <c r="Y157" s="16"/>
      <c r="Z157" s="16"/>
      <c r="AC157" s="16"/>
      <c r="AD157" s="16"/>
      <c r="AG157" s="16"/>
      <c r="AH157" s="16"/>
      <c r="AK157" s="16"/>
      <c r="AL157" s="16"/>
      <c r="AO157" s="16"/>
      <c r="AP157" s="16"/>
      <c r="AS157" s="16"/>
      <c r="AT157" s="16"/>
      <c r="AW157" s="16"/>
      <c r="AX157" s="16"/>
      <c r="BA157" s="16"/>
      <c r="BB157" s="16"/>
      <c r="BH157" s="19"/>
      <c r="CD157" s="19"/>
    </row>
    <row r="158" spans="12:82" x14ac:dyDescent="0.25">
      <c r="L158" s="17"/>
      <c r="P158" s="17"/>
      <c r="R158" s="16">
        <v>0</v>
      </c>
      <c r="U158" s="16"/>
      <c r="V158" s="16">
        <v>0</v>
      </c>
      <c r="Y158" s="16"/>
      <c r="Z158" s="16"/>
      <c r="AC158" s="16"/>
      <c r="AD158" s="16"/>
      <c r="AG158" s="16"/>
      <c r="AH158" s="16"/>
      <c r="AK158" s="16"/>
      <c r="AL158" s="16"/>
      <c r="AO158" s="16"/>
      <c r="AP158" s="16"/>
      <c r="AS158" s="16"/>
      <c r="AT158" s="16"/>
      <c r="AW158" s="16"/>
      <c r="AX158" s="16"/>
      <c r="BA158" s="16"/>
      <c r="BB158" s="16"/>
      <c r="BH158" s="19"/>
      <c r="CD158" s="19"/>
    </row>
    <row r="159" spans="12:82" x14ac:dyDescent="0.25">
      <c r="L159" s="17"/>
      <c r="P159" s="17"/>
      <c r="R159" s="16">
        <v>0</v>
      </c>
      <c r="U159" s="16"/>
      <c r="V159" s="16">
        <v>0</v>
      </c>
      <c r="Y159" s="16"/>
      <c r="Z159" s="16"/>
      <c r="AC159" s="16"/>
      <c r="AD159" s="16"/>
      <c r="AG159" s="16"/>
      <c r="AH159" s="16"/>
      <c r="AK159" s="16"/>
      <c r="AL159" s="16"/>
      <c r="AO159" s="16"/>
      <c r="AP159" s="16"/>
      <c r="AS159" s="16"/>
      <c r="AT159" s="16"/>
      <c r="AW159" s="16"/>
      <c r="AX159" s="16"/>
      <c r="BA159" s="16"/>
      <c r="BB159" s="16"/>
      <c r="BH159" s="19"/>
      <c r="CD159" s="19"/>
    </row>
    <row r="160" spans="12:82" x14ac:dyDescent="0.25">
      <c r="L160" s="17"/>
      <c r="P160" s="17"/>
      <c r="R160" s="16">
        <v>0</v>
      </c>
      <c r="U160" s="16"/>
      <c r="V160" s="16">
        <v>0</v>
      </c>
      <c r="Y160" s="16"/>
      <c r="Z160" s="16"/>
      <c r="AC160" s="16"/>
      <c r="AD160" s="16"/>
      <c r="AG160" s="16"/>
      <c r="AH160" s="16"/>
      <c r="AK160" s="16"/>
      <c r="AL160" s="16"/>
      <c r="AO160" s="16"/>
      <c r="AP160" s="16"/>
      <c r="AS160" s="16"/>
      <c r="AT160" s="16"/>
      <c r="AW160" s="16"/>
      <c r="AX160" s="16"/>
      <c r="BA160" s="16"/>
      <c r="BB160" s="16"/>
      <c r="BH160" s="19"/>
      <c r="CD160" s="19"/>
    </row>
    <row r="161" spans="12:82" x14ac:dyDescent="0.25">
      <c r="L161" s="17"/>
      <c r="P161" s="17"/>
      <c r="R161" s="16">
        <v>0</v>
      </c>
      <c r="U161" s="16"/>
      <c r="V161" s="16">
        <v>0</v>
      </c>
      <c r="Y161" s="16"/>
      <c r="Z161" s="16"/>
      <c r="AC161" s="16"/>
      <c r="AD161" s="16"/>
      <c r="AG161" s="16"/>
      <c r="AH161" s="16"/>
      <c r="AK161" s="16"/>
      <c r="AL161" s="16"/>
      <c r="AO161" s="16"/>
      <c r="AP161" s="16"/>
      <c r="AS161" s="16"/>
      <c r="AT161" s="16"/>
      <c r="AW161" s="16"/>
      <c r="AX161" s="16"/>
      <c r="BA161" s="16"/>
      <c r="BB161" s="16"/>
      <c r="BH161" s="19"/>
      <c r="CD161" s="19"/>
    </row>
    <row r="162" spans="12:82" x14ac:dyDescent="0.25">
      <c r="L162" s="17"/>
      <c r="P162" s="17"/>
      <c r="R162" s="16">
        <v>0</v>
      </c>
      <c r="U162" s="16"/>
      <c r="V162" s="16">
        <v>0</v>
      </c>
      <c r="Y162" s="16"/>
      <c r="Z162" s="16"/>
      <c r="AC162" s="16"/>
      <c r="AD162" s="16"/>
      <c r="AG162" s="16"/>
      <c r="AH162" s="16"/>
      <c r="AK162" s="16"/>
      <c r="AL162" s="16"/>
      <c r="AO162" s="16"/>
      <c r="AP162" s="16"/>
      <c r="AS162" s="16"/>
      <c r="AT162" s="16"/>
      <c r="AW162" s="16"/>
      <c r="AX162" s="16"/>
      <c r="BA162" s="16"/>
      <c r="BB162" s="16"/>
      <c r="BH162" s="19"/>
      <c r="CD162" s="19"/>
    </row>
    <row r="163" spans="12:82" x14ac:dyDescent="0.25">
      <c r="L163" s="17"/>
      <c r="P163" s="17"/>
      <c r="R163" s="16">
        <v>0</v>
      </c>
      <c r="U163" s="16"/>
      <c r="V163" s="16">
        <v>0</v>
      </c>
      <c r="Y163" s="16"/>
      <c r="Z163" s="16"/>
      <c r="AC163" s="16"/>
      <c r="AD163" s="16"/>
      <c r="AG163" s="16"/>
      <c r="AH163" s="16"/>
      <c r="AK163" s="16"/>
      <c r="AL163" s="16"/>
      <c r="AO163" s="16"/>
      <c r="AP163" s="16"/>
      <c r="AS163" s="16"/>
      <c r="AT163" s="16"/>
      <c r="AW163" s="16"/>
      <c r="AX163" s="16"/>
      <c r="BA163" s="16"/>
      <c r="BB163" s="16"/>
      <c r="BH163" s="19"/>
      <c r="CD163" s="19"/>
    </row>
    <row r="164" spans="12:82" x14ac:dyDescent="0.25">
      <c r="L164" s="17"/>
      <c r="P164" s="17"/>
      <c r="R164" s="16">
        <v>0</v>
      </c>
      <c r="U164" s="16"/>
      <c r="V164" s="16">
        <v>0</v>
      </c>
      <c r="Y164" s="16"/>
      <c r="Z164" s="16"/>
      <c r="AC164" s="16"/>
      <c r="AD164" s="16"/>
      <c r="AG164" s="16"/>
      <c r="AH164" s="16"/>
      <c r="AK164" s="16"/>
      <c r="AL164" s="16"/>
      <c r="AO164" s="16"/>
      <c r="AP164" s="16"/>
      <c r="AS164" s="16"/>
      <c r="AT164" s="16"/>
      <c r="AW164" s="16"/>
      <c r="AX164" s="16"/>
      <c r="BA164" s="16"/>
      <c r="BB164" s="16"/>
      <c r="BH164" s="19"/>
      <c r="CD164" s="19"/>
    </row>
    <row r="165" spans="12:82" x14ac:dyDescent="0.25">
      <c r="L165" s="17"/>
      <c r="P165" s="17"/>
      <c r="R165" s="16">
        <v>0</v>
      </c>
      <c r="U165" s="16"/>
      <c r="V165" s="16">
        <v>0</v>
      </c>
      <c r="Y165" s="16"/>
      <c r="Z165" s="16"/>
      <c r="AC165" s="16"/>
      <c r="AD165" s="16"/>
      <c r="AG165" s="16"/>
      <c r="AH165" s="16"/>
      <c r="AK165" s="16"/>
      <c r="AL165" s="16"/>
      <c r="AO165" s="16"/>
      <c r="AP165" s="16"/>
      <c r="AS165" s="16"/>
      <c r="AT165" s="16"/>
      <c r="AW165" s="16"/>
      <c r="AX165" s="16"/>
      <c r="BA165" s="16"/>
      <c r="BB165" s="16"/>
      <c r="BH165" s="19"/>
      <c r="CD165" s="19"/>
    </row>
    <row r="166" spans="12:82" x14ac:dyDescent="0.25">
      <c r="L166" s="17"/>
      <c r="P166" s="17"/>
      <c r="R166" s="16">
        <v>0</v>
      </c>
      <c r="U166" s="16"/>
      <c r="V166" s="16">
        <v>0</v>
      </c>
      <c r="Y166" s="16"/>
      <c r="Z166" s="16"/>
      <c r="AC166" s="16"/>
      <c r="AD166" s="16"/>
      <c r="AG166" s="16"/>
      <c r="AH166" s="16"/>
      <c r="AK166" s="16"/>
      <c r="AL166" s="16"/>
      <c r="AO166" s="16"/>
      <c r="AP166" s="16"/>
      <c r="AS166" s="16"/>
      <c r="AT166" s="16"/>
      <c r="AW166" s="16"/>
      <c r="AX166" s="16"/>
      <c r="BA166" s="16"/>
      <c r="BB166" s="16"/>
      <c r="BH166" s="19"/>
      <c r="CD166" s="19"/>
    </row>
    <row r="167" spans="12:82" x14ac:dyDescent="0.25">
      <c r="L167" s="17"/>
      <c r="P167" s="17"/>
      <c r="R167" s="16">
        <v>0</v>
      </c>
      <c r="U167" s="16"/>
      <c r="V167" s="16">
        <v>0</v>
      </c>
      <c r="Y167" s="16"/>
      <c r="Z167" s="16"/>
      <c r="AC167" s="16"/>
      <c r="AD167" s="16"/>
      <c r="AG167" s="16"/>
      <c r="AH167" s="16"/>
      <c r="AK167" s="16"/>
      <c r="AL167" s="16"/>
      <c r="AO167" s="16"/>
      <c r="AP167" s="16"/>
      <c r="AS167" s="16"/>
      <c r="AT167" s="16"/>
      <c r="AW167" s="16"/>
      <c r="AX167" s="16"/>
      <c r="BA167" s="16"/>
      <c r="BB167" s="16"/>
      <c r="BH167" s="19"/>
      <c r="CD167" s="19"/>
    </row>
    <row r="168" spans="12:82" x14ac:dyDescent="0.25">
      <c r="L168" s="17"/>
      <c r="P168" s="17"/>
      <c r="R168" s="16">
        <v>0</v>
      </c>
      <c r="U168" s="16"/>
      <c r="V168" s="16">
        <v>0</v>
      </c>
      <c r="Y168" s="16"/>
      <c r="Z168" s="16"/>
      <c r="AC168" s="16"/>
      <c r="AD168" s="16"/>
      <c r="AG168" s="16"/>
      <c r="AH168" s="16"/>
      <c r="AK168" s="16"/>
      <c r="AL168" s="16"/>
      <c r="AO168" s="16"/>
      <c r="AP168" s="16"/>
      <c r="AS168" s="16"/>
      <c r="AT168" s="16"/>
      <c r="AW168" s="16"/>
      <c r="AX168" s="16"/>
      <c r="BA168" s="16"/>
      <c r="BB168" s="16"/>
      <c r="BH168" s="19"/>
      <c r="CD168" s="19"/>
    </row>
    <row r="169" spans="12:82" x14ac:dyDescent="0.25">
      <c r="L169" s="17"/>
      <c r="P169" s="17"/>
      <c r="R169" s="16">
        <v>0</v>
      </c>
      <c r="U169" s="16"/>
      <c r="V169" s="16">
        <v>0</v>
      </c>
      <c r="Y169" s="16"/>
      <c r="Z169" s="16"/>
      <c r="AC169" s="16"/>
      <c r="AD169" s="16"/>
      <c r="AG169" s="16"/>
      <c r="AH169" s="16"/>
      <c r="AK169" s="16"/>
      <c r="AL169" s="16"/>
      <c r="AO169" s="16"/>
      <c r="AP169" s="16"/>
      <c r="AS169" s="16"/>
      <c r="AT169" s="16"/>
      <c r="AW169" s="16"/>
      <c r="AX169" s="16"/>
      <c r="BA169" s="16"/>
      <c r="BB169" s="16"/>
      <c r="BH169" s="19"/>
      <c r="CD169" s="19"/>
    </row>
    <row r="170" spans="12:82" x14ac:dyDescent="0.25">
      <c r="L170" s="17"/>
      <c r="P170" s="17"/>
      <c r="R170" s="16">
        <v>0</v>
      </c>
      <c r="U170" s="16"/>
      <c r="V170" s="16">
        <v>0</v>
      </c>
      <c r="Y170" s="16"/>
      <c r="Z170" s="16"/>
      <c r="AC170" s="16"/>
      <c r="AD170" s="16"/>
      <c r="AG170" s="16"/>
      <c r="AH170" s="16"/>
      <c r="AK170" s="16"/>
      <c r="AL170" s="16"/>
      <c r="AO170" s="16"/>
      <c r="AP170" s="16"/>
      <c r="AS170" s="16"/>
      <c r="AT170" s="16"/>
      <c r="AW170" s="16"/>
      <c r="AX170" s="16"/>
      <c r="BA170" s="16"/>
      <c r="BB170" s="16"/>
      <c r="BH170" s="19"/>
      <c r="CD170" s="19"/>
    </row>
    <row r="171" spans="12:82" x14ac:dyDescent="0.25">
      <c r="L171" s="17"/>
      <c r="P171" s="17"/>
      <c r="R171" s="16">
        <v>0</v>
      </c>
      <c r="U171" s="16"/>
      <c r="V171" s="16">
        <v>0</v>
      </c>
      <c r="Y171" s="16"/>
      <c r="Z171" s="16"/>
      <c r="AC171" s="16"/>
      <c r="AD171" s="16"/>
      <c r="AG171" s="16"/>
      <c r="AH171" s="16"/>
      <c r="AK171" s="16"/>
      <c r="AL171" s="16"/>
      <c r="AO171" s="16"/>
      <c r="AP171" s="16"/>
      <c r="AS171" s="16"/>
      <c r="AT171" s="16"/>
      <c r="AW171" s="16"/>
      <c r="AX171" s="16"/>
      <c r="BA171" s="16"/>
      <c r="BB171" s="16"/>
      <c r="BH171" s="19"/>
      <c r="CD171" s="19"/>
    </row>
    <row r="172" spans="12:82" x14ac:dyDescent="0.25">
      <c r="L172" s="17"/>
      <c r="P172" s="17"/>
      <c r="R172" s="16">
        <v>0</v>
      </c>
      <c r="U172" s="16"/>
      <c r="V172" s="16">
        <v>0</v>
      </c>
      <c r="Y172" s="16"/>
      <c r="Z172" s="16"/>
      <c r="AC172" s="16"/>
      <c r="AD172" s="16"/>
      <c r="AG172" s="16"/>
      <c r="AH172" s="16"/>
      <c r="AK172" s="16"/>
      <c r="AL172" s="16"/>
      <c r="AO172" s="16"/>
      <c r="AP172" s="16"/>
      <c r="AS172" s="16"/>
      <c r="AT172" s="16"/>
      <c r="AW172" s="16"/>
      <c r="AX172" s="16"/>
      <c r="BA172" s="16"/>
      <c r="BB172" s="16"/>
      <c r="BH172" s="19"/>
      <c r="CD172" s="19"/>
    </row>
    <row r="173" spans="12:82" x14ac:dyDescent="0.25">
      <c r="L173" s="17"/>
      <c r="P173" s="17"/>
      <c r="R173" s="16">
        <v>0</v>
      </c>
      <c r="U173" s="16"/>
      <c r="V173" s="16">
        <v>0</v>
      </c>
      <c r="Y173" s="16"/>
      <c r="Z173" s="16"/>
      <c r="AC173" s="16"/>
      <c r="AD173" s="16"/>
      <c r="AG173" s="16"/>
      <c r="AH173" s="16"/>
      <c r="AK173" s="16"/>
      <c r="AL173" s="16"/>
      <c r="AO173" s="16"/>
      <c r="AP173" s="16"/>
      <c r="AS173" s="16"/>
      <c r="AT173" s="16"/>
      <c r="AW173" s="16"/>
      <c r="AX173" s="16"/>
      <c r="BA173" s="16"/>
      <c r="BB173" s="16"/>
      <c r="BH173" s="19"/>
      <c r="CD173" s="19"/>
    </row>
    <row r="174" spans="12:82" x14ac:dyDescent="0.25">
      <c r="L174" s="17"/>
      <c r="P174" s="17"/>
      <c r="R174" s="16">
        <v>0</v>
      </c>
      <c r="U174" s="16"/>
      <c r="V174" s="16">
        <v>0</v>
      </c>
      <c r="Y174" s="16"/>
      <c r="Z174" s="16"/>
      <c r="AC174" s="16"/>
      <c r="AD174" s="16"/>
      <c r="AG174" s="16"/>
      <c r="AH174" s="16"/>
      <c r="AK174" s="16"/>
      <c r="AL174" s="16"/>
      <c r="AO174" s="16"/>
      <c r="AP174" s="16"/>
      <c r="AS174" s="16"/>
      <c r="AT174" s="16"/>
      <c r="AW174" s="16"/>
      <c r="AX174" s="16"/>
      <c r="BA174" s="16"/>
      <c r="BB174" s="16"/>
      <c r="BH174" s="19"/>
      <c r="CD174" s="19"/>
    </row>
    <row r="175" spans="12:82" x14ac:dyDescent="0.25">
      <c r="L175" s="17"/>
      <c r="P175" s="17"/>
      <c r="R175" s="16">
        <v>0</v>
      </c>
      <c r="U175" s="16"/>
      <c r="V175" s="16">
        <v>0</v>
      </c>
      <c r="Y175" s="16"/>
      <c r="Z175" s="16"/>
      <c r="AC175" s="16"/>
      <c r="AD175" s="16"/>
      <c r="AG175" s="16"/>
      <c r="AH175" s="16"/>
      <c r="AK175" s="16"/>
      <c r="AL175" s="16"/>
      <c r="AO175" s="16"/>
      <c r="AP175" s="16"/>
      <c r="AS175" s="16"/>
      <c r="AT175" s="16"/>
      <c r="AW175" s="16"/>
      <c r="AX175" s="16"/>
      <c r="BA175" s="16"/>
      <c r="BB175" s="16"/>
      <c r="BH175" s="19"/>
      <c r="CD175" s="19"/>
    </row>
    <row r="176" spans="12:82" x14ac:dyDescent="0.25">
      <c r="L176" s="17"/>
      <c r="P176" s="17"/>
      <c r="R176" s="16">
        <v>0</v>
      </c>
      <c r="U176" s="16"/>
      <c r="V176" s="16">
        <v>0</v>
      </c>
      <c r="Y176" s="16"/>
      <c r="Z176" s="16"/>
      <c r="AC176" s="16"/>
      <c r="AD176" s="16"/>
      <c r="AG176" s="16"/>
      <c r="AH176" s="16"/>
      <c r="AK176" s="16"/>
      <c r="AL176" s="16"/>
      <c r="AO176" s="16"/>
      <c r="AP176" s="16"/>
      <c r="AS176" s="16"/>
      <c r="AT176" s="16"/>
      <c r="AW176" s="16"/>
      <c r="AX176" s="16"/>
      <c r="BA176" s="16"/>
      <c r="BB176" s="16"/>
      <c r="BH176" s="19"/>
      <c r="CD176" s="19"/>
    </row>
    <row r="177" spans="12:82" x14ac:dyDescent="0.25">
      <c r="L177" s="17"/>
      <c r="P177" s="17"/>
      <c r="R177" s="16">
        <v>0</v>
      </c>
      <c r="U177" s="16"/>
      <c r="V177" s="16">
        <v>0</v>
      </c>
      <c r="Y177" s="16"/>
      <c r="Z177" s="16"/>
      <c r="AC177" s="16"/>
      <c r="AD177" s="16"/>
      <c r="AG177" s="16"/>
      <c r="AH177" s="16"/>
      <c r="AK177" s="16"/>
      <c r="AL177" s="16"/>
      <c r="AO177" s="16"/>
      <c r="AP177" s="16"/>
      <c r="AS177" s="16"/>
      <c r="AT177" s="16"/>
      <c r="AW177" s="16"/>
      <c r="AX177" s="16"/>
      <c r="BA177" s="16"/>
      <c r="BB177" s="16"/>
      <c r="BH177" s="19"/>
      <c r="CD177" s="19"/>
    </row>
    <row r="178" spans="12:82" x14ac:dyDescent="0.25">
      <c r="L178" s="17"/>
      <c r="P178" s="17"/>
      <c r="R178" s="16">
        <v>0</v>
      </c>
      <c r="U178" s="16"/>
      <c r="V178" s="16">
        <v>0</v>
      </c>
      <c r="Y178" s="16"/>
      <c r="Z178" s="16"/>
      <c r="AC178" s="16"/>
      <c r="AD178" s="16"/>
      <c r="AG178" s="16"/>
      <c r="AH178" s="16"/>
      <c r="AK178" s="16"/>
      <c r="AL178" s="16"/>
      <c r="AO178" s="16"/>
      <c r="AP178" s="16"/>
      <c r="AS178" s="16"/>
      <c r="AT178" s="16"/>
      <c r="AW178" s="16"/>
      <c r="AX178" s="16"/>
      <c r="BA178" s="16"/>
      <c r="BB178" s="16"/>
      <c r="BH178" s="19"/>
      <c r="CD178" s="19"/>
    </row>
    <row r="179" spans="12:82" x14ac:dyDescent="0.25">
      <c r="L179" s="17"/>
      <c r="P179" s="17"/>
      <c r="R179" s="16">
        <v>0</v>
      </c>
      <c r="U179" s="16"/>
      <c r="V179" s="16">
        <v>0</v>
      </c>
      <c r="Y179" s="16"/>
      <c r="Z179" s="16"/>
      <c r="AC179" s="16"/>
      <c r="AD179" s="16"/>
      <c r="AG179" s="16"/>
      <c r="AH179" s="16"/>
      <c r="AK179" s="16"/>
      <c r="AL179" s="16"/>
      <c r="AO179" s="16"/>
      <c r="AP179" s="16"/>
      <c r="AS179" s="16"/>
      <c r="AT179" s="16"/>
      <c r="AW179" s="16"/>
      <c r="AX179" s="16"/>
      <c r="BA179" s="16"/>
      <c r="BB179" s="16"/>
      <c r="BH179" s="19"/>
      <c r="CD179" s="19"/>
    </row>
    <row r="180" spans="12:82" x14ac:dyDescent="0.25">
      <c r="L180" s="17"/>
      <c r="P180" s="17"/>
      <c r="R180" s="16">
        <v>0</v>
      </c>
      <c r="U180" s="16"/>
      <c r="V180" s="16">
        <v>0</v>
      </c>
      <c r="Y180" s="16"/>
      <c r="Z180" s="16"/>
      <c r="AC180" s="16"/>
      <c r="AD180" s="16"/>
      <c r="AG180" s="16"/>
      <c r="AH180" s="16"/>
      <c r="AK180" s="16"/>
      <c r="AL180" s="16"/>
      <c r="AO180" s="16"/>
      <c r="AP180" s="16"/>
      <c r="AS180" s="16"/>
      <c r="AT180" s="16"/>
      <c r="AW180" s="16"/>
      <c r="AX180" s="16"/>
      <c r="BA180" s="16"/>
      <c r="BB180" s="16"/>
      <c r="BH180" s="19"/>
      <c r="CD180" s="19"/>
    </row>
    <row r="181" spans="12:82" x14ac:dyDescent="0.25">
      <c r="L181" s="17"/>
      <c r="P181" s="17"/>
      <c r="R181" s="16">
        <v>0</v>
      </c>
      <c r="U181" s="16"/>
      <c r="V181" s="16">
        <v>0</v>
      </c>
      <c r="Y181" s="16"/>
      <c r="Z181" s="16"/>
      <c r="AC181" s="16"/>
      <c r="AD181" s="16"/>
      <c r="AG181" s="16"/>
      <c r="AH181" s="16"/>
      <c r="AK181" s="16"/>
      <c r="AL181" s="16"/>
      <c r="AO181" s="16"/>
      <c r="AP181" s="16"/>
      <c r="AS181" s="16"/>
      <c r="AT181" s="16"/>
      <c r="AW181" s="16"/>
      <c r="AX181" s="16"/>
      <c r="BA181" s="16"/>
      <c r="BB181" s="16"/>
      <c r="BH181" s="19"/>
      <c r="CD181" s="19"/>
    </row>
    <row r="182" spans="12:82" x14ac:dyDescent="0.25">
      <c r="L182" s="17"/>
      <c r="P182" s="17"/>
      <c r="R182" s="16">
        <v>0</v>
      </c>
      <c r="U182" s="16"/>
      <c r="V182" s="16">
        <v>0</v>
      </c>
      <c r="Y182" s="16"/>
      <c r="Z182" s="16"/>
      <c r="AC182" s="16"/>
      <c r="AD182" s="16"/>
      <c r="AG182" s="16"/>
      <c r="AH182" s="16"/>
      <c r="AK182" s="16"/>
      <c r="AL182" s="16"/>
      <c r="AO182" s="16"/>
      <c r="AP182" s="16"/>
      <c r="AS182" s="16"/>
      <c r="AT182" s="16"/>
      <c r="AW182" s="16"/>
      <c r="AX182" s="16"/>
      <c r="BA182" s="16"/>
      <c r="BB182" s="16"/>
      <c r="BH182" s="19"/>
      <c r="CD182" s="19"/>
    </row>
    <row r="183" spans="12:82" x14ac:dyDescent="0.25">
      <c r="L183" s="17"/>
      <c r="P183" s="17"/>
      <c r="R183" s="16">
        <v>0</v>
      </c>
      <c r="U183" s="16"/>
      <c r="V183" s="16">
        <v>0</v>
      </c>
      <c r="Y183" s="16"/>
      <c r="Z183" s="16"/>
      <c r="AC183" s="16"/>
      <c r="AD183" s="16"/>
      <c r="AG183" s="16"/>
      <c r="AH183" s="16"/>
      <c r="AK183" s="16"/>
      <c r="AL183" s="16"/>
      <c r="AO183" s="16"/>
      <c r="AP183" s="16"/>
      <c r="AS183" s="16"/>
      <c r="AT183" s="16"/>
      <c r="AW183" s="16"/>
      <c r="AX183" s="16"/>
      <c r="BA183" s="16"/>
      <c r="BB183" s="16"/>
      <c r="BH183" s="19"/>
      <c r="CD183" s="19"/>
    </row>
    <row r="184" spans="12:82" x14ac:dyDescent="0.25">
      <c r="L184" s="17"/>
      <c r="P184" s="17"/>
      <c r="R184" s="16">
        <v>0</v>
      </c>
      <c r="U184" s="16"/>
      <c r="V184" s="16">
        <v>0</v>
      </c>
      <c r="Y184" s="16"/>
      <c r="Z184" s="16"/>
      <c r="AC184" s="16"/>
      <c r="AD184" s="16"/>
      <c r="AG184" s="16"/>
      <c r="AH184" s="16"/>
      <c r="AK184" s="16"/>
      <c r="AL184" s="16"/>
      <c r="AO184" s="16"/>
      <c r="AP184" s="16"/>
      <c r="AS184" s="16"/>
      <c r="AT184" s="16"/>
      <c r="AW184" s="16"/>
      <c r="AX184" s="16"/>
      <c r="BA184" s="16"/>
      <c r="BB184" s="16"/>
      <c r="BH184" s="19"/>
      <c r="CD184" s="19"/>
    </row>
    <row r="185" spans="12:82" x14ac:dyDescent="0.25">
      <c r="L185" s="17"/>
      <c r="P185" s="17"/>
      <c r="R185" s="16">
        <v>0</v>
      </c>
      <c r="U185" s="16"/>
      <c r="V185" s="16">
        <v>0</v>
      </c>
      <c r="Y185" s="16"/>
      <c r="Z185" s="16"/>
      <c r="AC185" s="16"/>
      <c r="AD185" s="16"/>
      <c r="AG185" s="16"/>
      <c r="AH185" s="16"/>
      <c r="AK185" s="16"/>
      <c r="AL185" s="16"/>
      <c r="AO185" s="16"/>
      <c r="AP185" s="16"/>
      <c r="AS185" s="16"/>
      <c r="AT185" s="16"/>
      <c r="AW185" s="16"/>
      <c r="AX185" s="16"/>
      <c r="BA185" s="16"/>
      <c r="BB185" s="16"/>
      <c r="BH185" s="19"/>
      <c r="CD185" s="19"/>
    </row>
    <row r="186" spans="12:82" x14ac:dyDescent="0.25">
      <c r="L186" s="17"/>
      <c r="P186" s="17"/>
      <c r="R186" s="16">
        <v>0</v>
      </c>
      <c r="U186" s="16"/>
      <c r="V186" s="16">
        <v>0</v>
      </c>
      <c r="Y186" s="16"/>
      <c r="Z186" s="16"/>
      <c r="AC186" s="16"/>
      <c r="AD186" s="16"/>
      <c r="AG186" s="16"/>
      <c r="AH186" s="16"/>
      <c r="AK186" s="16"/>
      <c r="AL186" s="16"/>
      <c r="AO186" s="16"/>
      <c r="AP186" s="16"/>
      <c r="AS186" s="16"/>
      <c r="AT186" s="16"/>
      <c r="AW186" s="16"/>
      <c r="AX186" s="16"/>
      <c r="BA186" s="16"/>
      <c r="BB186" s="16"/>
      <c r="BH186" s="19"/>
      <c r="CD186" s="19"/>
    </row>
    <row r="187" spans="12:82" x14ac:dyDescent="0.25">
      <c r="L187" s="17"/>
      <c r="P187" s="17"/>
      <c r="R187" s="16">
        <v>0</v>
      </c>
      <c r="U187" s="16"/>
      <c r="V187" s="16">
        <v>0</v>
      </c>
      <c r="Y187" s="16"/>
      <c r="Z187" s="16"/>
      <c r="AC187" s="16"/>
      <c r="AD187" s="16"/>
      <c r="AG187" s="16"/>
      <c r="AH187" s="16"/>
      <c r="AK187" s="16"/>
      <c r="AL187" s="16"/>
      <c r="AO187" s="16"/>
      <c r="AP187" s="16"/>
      <c r="AS187" s="16"/>
      <c r="AT187" s="16"/>
      <c r="AW187" s="16"/>
      <c r="AX187" s="16"/>
      <c r="BA187" s="16"/>
      <c r="BB187" s="16"/>
      <c r="BH187" s="19"/>
      <c r="CD187" s="19"/>
    </row>
    <row r="188" spans="12:82" x14ac:dyDescent="0.25">
      <c r="L188" s="17"/>
      <c r="P188" s="17"/>
      <c r="R188" s="16">
        <v>0</v>
      </c>
      <c r="U188" s="16"/>
      <c r="V188" s="16">
        <v>0</v>
      </c>
      <c r="Y188" s="16"/>
      <c r="Z188" s="16"/>
      <c r="AC188" s="16"/>
      <c r="AD188" s="16"/>
      <c r="AG188" s="16"/>
      <c r="AH188" s="16"/>
      <c r="AK188" s="16"/>
      <c r="AL188" s="16"/>
      <c r="AO188" s="16"/>
      <c r="AP188" s="16"/>
      <c r="AS188" s="16"/>
      <c r="AT188" s="16"/>
      <c r="AW188" s="16"/>
      <c r="AX188" s="16"/>
      <c r="BA188" s="16"/>
      <c r="BB188" s="16"/>
      <c r="BH188" s="19"/>
      <c r="CD188" s="19"/>
    </row>
    <row r="189" spans="12:82" x14ac:dyDescent="0.25">
      <c r="L189" s="17"/>
      <c r="P189" s="17"/>
      <c r="R189" s="16">
        <v>0</v>
      </c>
      <c r="U189" s="16"/>
      <c r="V189" s="16">
        <v>0</v>
      </c>
      <c r="Y189" s="16"/>
      <c r="Z189" s="16"/>
      <c r="AC189" s="16"/>
      <c r="AD189" s="16"/>
      <c r="AG189" s="16"/>
      <c r="AH189" s="16"/>
      <c r="AK189" s="16"/>
      <c r="AL189" s="16"/>
      <c r="AO189" s="16"/>
      <c r="AP189" s="16"/>
      <c r="AS189" s="16"/>
      <c r="AT189" s="16"/>
      <c r="AW189" s="16"/>
      <c r="AX189" s="16"/>
      <c r="BA189" s="16"/>
      <c r="BB189" s="16"/>
      <c r="BH189" s="19"/>
      <c r="CD189" s="19"/>
    </row>
    <row r="190" spans="12:82" x14ac:dyDescent="0.25">
      <c r="L190" s="17"/>
      <c r="P190" s="17"/>
      <c r="R190" s="16">
        <v>0</v>
      </c>
      <c r="U190" s="16"/>
      <c r="V190" s="16">
        <v>0</v>
      </c>
      <c r="Y190" s="16"/>
      <c r="Z190" s="16"/>
      <c r="AC190" s="16"/>
      <c r="AD190" s="16"/>
      <c r="AG190" s="16"/>
      <c r="AH190" s="16"/>
      <c r="AK190" s="16"/>
      <c r="AL190" s="16"/>
      <c r="AO190" s="16"/>
      <c r="AP190" s="16"/>
      <c r="AS190" s="16"/>
      <c r="AT190" s="16"/>
      <c r="AW190" s="16"/>
      <c r="AX190" s="16"/>
      <c r="BA190" s="16"/>
      <c r="BB190" s="16"/>
      <c r="BH190" s="19"/>
      <c r="CD190" s="19"/>
    </row>
    <row r="191" spans="12:82" x14ac:dyDescent="0.25">
      <c r="L191" s="17"/>
      <c r="P191" s="17"/>
      <c r="R191" s="16">
        <v>0</v>
      </c>
      <c r="U191" s="16"/>
      <c r="V191" s="16">
        <v>0</v>
      </c>
      <c r="Y191" s="16"/>
      <c r="Z191" s="16"/>
      <c r="AC191" s="16"/>
      <c r="AD191" s="16"/>
      <c r="AG191" s="16"/>
      <c r="AH191" s="16"/>
      <c r="AK191" s="16"/>
      <c r="AL191" s="16"/>
      <c r="AO191" s="16"/>
      <c r="AP191" s="16"/>
      <c r="AS191" s="16"/>
      <c r="AT191" s="16"/>
      <c r="AW191" s="16"/>
      <c r="AX191" s="16"/>
      <c r="BA191" s="16"/>
      <c r="BB191" s="16"/>
      <c r="BH191" s="19"/>
      <c r="CD191" s="19"/>
    </row>
    <row r="192" spans="12:82" x14ac:dyDescent="0.25">
      <c r="L192" s="17"/>
      <c r="P192" s="17"/>
      <c r="R192" s="16">
        <v>0</v>
      </c>
      <c r="U192" s="16"/>
      <c r="V192" s="16">
        <v>0</v>
      </c>
      <c r="Y192" s="16"/>
      <c r="Z192" s="16"/>
      <c r="AC192" s="16"/>
      <c r="AD192" s="16"/>
      <c r="AG192" s="16"/>
      <c r="AH192" s="16"/>
      <c r="AK192" s="16"/>
      <c r="AL192" s="16"/>
      <c r="AO192" s="16"/>
      <c r="AP192" s="16"/>
      <c r="AS192" s="16"/>
      <c r="AT192" s="16"/>
      <c r="AW192" s="16"/>
      <c r="AX192" s="16"/>
      <c r="BA192" s="16"/>
      <c r="BB192" s="16"/>
      <c r="BH192" s="19"/>
      <c r="CD192" s="19"/>
    </row>
    <row r="193" spans="12:82" x14ac:dyDescent="0.25">
      <c r="L193" s="17"/>
      <c r="P193" s="17"/>
      <c r="R193" s="16">
        <v>0</v>
      </c>
      <c r="U193" s="16"/>
      <c r="V193" s="16">
        <v>0</v>
      </c>
      <c r="Y193" s="16"/>
      <c r="Z193" s="16"/>
      <c r="AC193" s="16"/>
      <c r="AD193" s="16"/>
      <c r="AG193" s="16"/>
      <c r="AH193" s="16"/>
      <c r="AK193" s="16"/>
      <c r="AL193" s="16"/>
      <c r="AO193" s="16"/>
      <c r="AP193" s="16"/>
      <c r="AS193" s="16"/>
      <c r="AT193" s="16"/>
      <c r="AW193" s="16"/>
      <c r="AX193" s="16"/>
      <c r="BA193" s="16"/>
      <c r="BB193" s="16"/>
      <c r="BH193" s="19"/>
      <c r="CD193" s="19"/>
    </row>
    <row r="194" spans="12:82" x14ac:dyDescent="0.25">
      <c r="L194" s="17"/>
      <c r="P194" s="17"/>
      <c r="R194" s="16">
        <v>0</v>
      </c>
      <c r="U194" s="16"/>
      <c r="V194" s="16">
        <v>0</v>
      </c>
      <c r="Y194" s="16"/>
      <c r="Z194" s="16"/>
      <c r="AC194" s="16"/>
      <c r="AD194" s="16"/>
      <c r="AG194" s="16"/>
      <c r="AH194" s="16"/>
      <c r="AK194" s="16"/>
      <c r="AL194" s="16"/>
      <c r="AO194" s="16"/>
      <c r="AP194" s="16"/>
      <c r="AS194" s="16"/>
      <c r="AT194" s="16"/>
      <c r="AW194" s="16"/>
      <c r="AX194" s="16"/>
      <c r="BA194" s="16"/>
      <c r="BB194" s="16"/>
      <c r="BH194" s="19"/>
      <c r="CD194" s="19"/>
    </row>
    <row r="195" spans="12:82" x14ac:dyDescent="0.25">
      <c r="L195" s="17"/>
      <c r="P195" s="17"/>
      <c r="R195" s="16">
        <v>0</v>
      </c>
      <c r="U195" s="16"/>
      <c r="V195" s="16">
        <v>0</v>
      </c>
      <c r="Y195" s="16"/>
      <c r="Z195" s="16"/>
      <c r="AC195" s="16"/>
      <c r="AD195" s="16"/>
      <c r="AG195" s="16"/>
      <c r="AH195" s="16"/>
      <c r="AK195" s="16"/>
      <c r="AL195" s="16"/>
      <c r="AO195" s="16"/>
      <c r="AP195" s="16"/>
      <c r="AS195" s="16"/>
      <c r="AT195" s="16"/>
      <c r="AW195" s="16"/>
      <c r="AX195" s="16"/>
      <c r="BA195" s="16"/>
      <c r="BB195" s="16"/>
      <c r="BH195" s="19"/>
      <c r="CD195" s="19"/>
    </row>
    <row r="196" spans="12:82" x14ac:dyDescent="0.25">
      <c r="L196" s="17"/>
      <c r="P196" s="17"/>
      <c r="R196" s="16">
        <v>0</v>
      </c>
      <c r="U196" s="16"/>
      <c r="V196" s="16">
        <v>0</v>
      </c>
      <c r="Y196" s="16"/>
      <c r="Z196" s="16"/>
      <c r="AC196" s="16"/>
      <c r="AD196" s="16"/>
      <c r="AG196" s="16"/>
      <c r="AH196" s="16"/>
      <c r="AK196" s="16"/>
      <c r="AL196" s="16"/>
      <c r="AO196" s="16"/>
      <c r="AP196" s="16"/>
      <c r="AS196" s="16"/>
      <c r="AT196" s="16"/>
      <c r="AW196" s="16"/>
      <c r="AX196" s="16"/>
      <c r="BA196" s="16"/>
      <c r="BB196" s="16"/>
      <c r="BH196" s="19"/>
      <c r="CD196" s="19"/>
    </row>
    <row r="197" spans="12:82" x14ac:dyDescent="0.25">
      <c r="L197" s="17"/>
      <c r="P197" s="17"/>
      <c r="R197" s="16">
        <v>0</v>
      </c>
      <c r="U197" s="16"/>
      <c r="V197" s="16">
        <v>0</v>
      </c>
      <c r="Y197" s="16"/>
      <c r="Z197" s="16"/>
      <c r="AC197" s="16"/>
      <c r="AD197" s="16"/>
      <c r="AG197" s="16"/>
      <c r="AH197" s="16"/>
      <c r="AK197" s="16"/>
      <c r="AL197" s="16"/>
      <c r="AO197" s="16"/>
      <c r="AP197" s="16"/>
      <c r="AS197" s="16"/>
      <c r="AT197" s="16"/>
      <c r="AW197" s="16"/>
      <c r="AX197" s="16"/>
      <c r="BA197" s="16"/>
      <c r="BB197" s="16"/>
      <c r="BH197" s="19"/>
      <c r="CD197" s="19"/>
    </row>
    <row r="198" spans="12:82" x14ac:dyDescent="0.25">
      <c r="L198" s="17"/>
      <c r="P198" s="17"/>
      <c r="R198" s="16">
        <v>0</v>
      </c>
      <c r="U198" s="16"/>
      <c r="V198" s="16">
        <v>0</v>
      </c>
      <c r="Y198" s="16"/>
      <c r="Z198" s="16"/>
      <c r="AC198" s="16"/>
      <c r="AD198" s="16"/>
      <c r="AG198" s="16"/>
      <c r="AH198" s="16"/>
      <c r="AK198" s="16"/>
      <c r="AL198" s="16"/>
      <c r="AO198" s="16"/>
      <c r="AP198" s="16"/>
      <c r="AS198" s="16"/>
      <c r="AT198" s="16"/>
      <c r="AW198" s="16"/>
      <c r="AX198" s="16"/>
      <c r="BA198" s="16"/>
      <c r="BB198" s="16"/>
      <c r="BH198" s="19"/>
      <c r="CD198" s="19"/>
    </row>
    <row r="199" spans="12:82" x14ac:dyDescent="0.25">
      <c r="L199" s="17"/>
      <c r="P199" s="17"/>
      <c r="R199" s="16">
        <v>0</v>
      </c>
      <c r="U199" s="16"/>
      <c r="V199" s="16">
        <v>0</v>
      </c>
      <c r="Y199" s="16"/>
      <c r="Z199" s="16"/>
      <c r="AC199" s="16"/>
      <c r="AD199" s="16"/>
      <c r="AG199" s="16"/>
      <c r="AH199" s="16"/>
      <c r="AK199" s="16"/>
      <c r="AL199" s="16"/>
      <c r="AO199" s="16"/>
      <c r="AP199" s="16"/>
      <c r="AS199" s="16"/>
      <c r="AT199" s="16"/>
      <c r="AW199" s="16"/>
      <c r="AX199" s="16"/>
      <c r="BA199" s="16"/>
      <c r="BB199" s="16"/>
      <c r="BH199" s="19"/>
      <c r="CD199" s="19"/>
    </row>
    <row r="200" spans="12:82" x14ac:dyDescent="0.25">
      <c r="L200" s="17"/>
      <c r="P200" s="17"/>
      <c r="R200" s="16">
        <v>0</v>
      </c>
      <c r="U200" s="16"/>
      <c r="V200" s="16">
        <v>0</v>
      </c>
      <c r="Y200" s="16"/>
      <c r="Z200" s="16"/>
      <c r="AC200" s="16"/>
      <c r="AD200" s="16"/>
      <c r="AG200" s="16"/>
      <c r="AH200" s="16"/>
      <c r="AK200" s="16"/>
      <c r="AL200" s="16"/>
      <c r="AO200" s="16"/>
      <c r="AP200" s="16"/>
      <c r="AS200" s="16"/>
      <c r="AT200" s="16"/>
      <c r="AW200" s="16"/>
      <c r="AX200" s="16"/>
      <c r="BA200" s="16"/>
      <c r="BB200" s="16"/>
      <c r="BH200" s="19"/>
      <c r="CD200" s="19"/>
    </row>
    <row r="201" spans="12:82" x14ac:dyDescent="0.25">
      <c r="L201" s="17"/>
      <c r="P201" s="17"/>
      <c r="R201" s="16">
        <v>0</v>
      </c>
      <c r="U201" s="16"/>
      <c r="V201" s="16">
        <v>0</v>
      </c>
      <c r="Y201" s="16"/>
      <c r="Z201" s="16"/>
      <c r="AC201" s="16"/>
      <c r="AD201" s="16"/>
      <c r="AG201" s="16"/>
      <c r="AH201" s="16"/>
      <c r="AK201" s="16"/>
      <c r="AL201" s="16"/>
      <c r="AO201" s="16"/>
      <c r="AP201" s="16"/>
      <c r="AS201" s="16"/>
      <c r="AT201" s="16"/>
      <c r="AW201" s="16"/>
      <c r="AX201" s="16"/>
      <c r="BA201" s="16"/>
      <c r="BB201" s="16"/>
      <c r="BH201" s="19"/>
      <c r="CD201" s="19"/>
    </row>
    <row r="202" spans="12:82" x14ac:dyDescent="0.25">
      <c r="L202" s="17"/>
      <c r="P202" s="17"/>
      <c r="R202" s="16">
        <v>0</v>
      </c>
      <c r="U202" s="16"/>
      <c r="V202" s="16">
        <v>0</v>
      </c>
      <c r="Y202" s="16"/>
      <c r="Z202" s="16"/>
      <c r="AC202" s="16"/>
      <c r="AD202" s="16"/>
      <c r="AG202" s="16"/>
      <c r="AH202" s="16"/>
      <c r="AK202" s="16"/>
      <c r="AL202" s="16"/>
      <c r="AO202" s="16"/>
      <c r="AP202" s="16"/>
      <c r="AS202" s="16"/>
      <c r="AT202" s="16"/>
      <c r="AW202" s="16"/>
      <c r="AX202" s="16"/>
      <c r="BA202" s="16"/>
      <c r="BB202" s="16"/>
      <c r="BH202" s="19"/>
      <c r="CD202" s="19"/>
    </row>
    <row r="203" spans="12:82" x14ac:dyDescent="0.25">
      <c r="L203" s="17"/>
      <c r="P203" s="17"/>
      <c r="R203" s="16">
        <v>0</v>
      </c>
      <c r="U203" s="16"/>
      <c r="V203" s="16">
        <v>0</v>
      </c>
      <c r="Y203" s="16"/>
      <c r="Z203" s="16"/>
      <c r="AC203" s="16"/>
      <c r="AD203" s="16"/>
      <c r="AG203" s="16"/>
      <c r="AH203" s="16"/>
      <c r="AK203" s="16"/>
      <c r="AL203" s="16"/>
      <c r="AO203" s="16"/>
      <c r="AP203" s="16"/>
      <c r="AS203" s="16"/>
      <c r="AT203" s="16"/>
      <c r="AW203" s="16"/>
      <c r="AX203" s="16"/>
      <c r="BA203" s="16"/>
      <c r="BB203" s="16"/>
      <c r="BH203" s="19"/>
      <c r="CD203" s="19"/>
    </row>
    <row r="204" spans="12:82" x14ac:dyDescent="0.25">
      <c r="L204" s="17"/>
      <c r="P204" s="17"/>
      <c r="R204" s="16">
        <v>0</v>
      </c>
      <c r="U204" s="16"/>
      <c r="V204" s="16">
        <v>0</v>
      </c>
      <c r="Y204" s="16"/>
      <c r="Z204" s="16"/>
      <c r="AC204" s="16"/>
      <c r="AD204" s="16"/>
      <c r="AG204" s="16"/>
      <c r="AH204" s="16"/>
      <c r="AK204" s="16"/>
      <c r="AL204" s="16"/>
      <c r="AO204" s="16"/>
      <c r="AP204" s="16"/>
      <c r="AS204" s="16"/>
      <c r="AT204" s="16"/>
      <c r="AW204" s="16"/>
      <c r="AX204" s="16"/>
      <c r="BA204" s="16"/>
      <c r="BB204" s="16"/>
      <c r="BH204" s="19"/>
      <c r="CD204" s="19"/>
    </row>
    <row r="205" spans="12:82" x14ac:dyDescent="0.25">
      <c r="L205" s="17"/>
      <c r="P205" s="17"/>
      <c r="R205" s="16">
        <v>0</v>
      </c>
      <c r="U205" s="16"/>
      <c r="V205" s="16">
        <v>0</v>
      </c>
      <c r="Y205" s="16"/>
      <c r="Z205" s="16"/>
      <c r="AC205" s="16"/>
      <c r="AD205" s="16"/>
      <c r="AG205" s="16"/>
      <c r="AH205" s="16"/>
      <c r="AK205" s="16"/>
      <c r="AL205" s="16"/>
      <c r="AO205" s="16"/>
      <c r="AP205" s="16"/>
      <c r="AS205" s="16"/>
      <c r="AT205" s="16"/>
      <c r="AW205" s="16"/>
      <c r="AX205" s="16"/>
      <c r="BA205" s="16"/>
      <c r="BB205" s="16"/>
      <c r="BH205" s="19"/>
      <c r="CD205" s="19"/>
    </row>
    <row r="206" spans="12:82" x14ac:dyDescent="0.25">
      <c r="L206" s="17"/>
      <c r="P206" s="17"/>
      <c r="R206" s="16">
        <v>0</v>
      </c>
      <c r="U206" s="16"/>
      <c r="V206" s="16">
        <v>0</v>
      </c>
      <c r="Y206" s="16"/>
      <c r="Z206" s="16"/>
      <c r="AC206" s="16"/>
      <c r="AD206" s="16"/>
      <c r="AG206" s="16"/>
      <c r="AH206" s="16"/>
      <c r="AK206" s="16"/>
      <c r="AL206" s="16"/>
      <c r="AO206" s="16"/>
      <c r="AP206" s="16"/>
      <c r="AS206" s="16"/>
      <c r="AT206" s="16"/>
      <c r="AW206" s="16"/>
      <c r="AX206" s="16"/>
      <c r="BA206" s="16"/>
      <c r="BB206" s="16"/>
      <c r="BH206" s="19"/>
      <c r="CD206" s="19"/>
    </row>
    <row r="207" spans="12:82" x14ac:dyDescent="0.25">
      <c r="L207" s="17"/>
      <c r="P207" s="17"/>
      <c r="R207" s="16">
        <v>0</v>
      </c>
      <c r="U207" s="16"/>
      <c r="V207" s="16">
        <v>0</v>
      </c>
      <c r="Y207" s="16"/>
      <c r="Z207" s="16"/>
      <c r="AC207" s="16"/>
      <c r="AD207" s="16"/>
      <c r="AG207" s="16"/>
      <c r="AH207" s="16"/>
      <c r="AK207" s="16"/>
      <c r="AL207" s="16"/>
      <c r="AO207" s="16"/>
      <c r="AP207" s="16"/>
      <c r="AS207" s="16"/>
      <c r="AT207" s="16"/>
      <c r="AW207" s="16"/>
      <c r="AX207" s="16"/>
      <c r="BA207" s="16"/>
      <c r="BB207" s="16"/>
      <c r="BH207" s="19"/>
      <c r="CD207" s="19"/>
    </row>
    <row r="208" spans="12:82" x14ac:dyDescent="0.25">
      <c r="L208" s="17"/>
      <c r="P208" s="17"/>
      <c r="R208" s="16">
        <v>0</v>
      </c>
      <c r="U208" s="16"/>
      <c r="V208" s="16">
        <v>0</v>
      </c>
      <c r="Y208" s="16"/>
      <c r="Z208" s="16"/>
      <c r="AC208" s="16"/>
      <c r="AD208" s="16"/>
      <c r="AG208" s="16"/>
      <c r="AH208" s="16"/>
      <c r="AK208" s="16"/>
      <c r="AL208" s="16"/>
      <c r="AO208" s="16"/>
      <c r="AP208" s="16"/>
      <c r="AS208" s="16"/>
      <c r="AT208" s="16"/>
      <c r="AW208" s="16"/>
      <c r="AX208" s="16"/>
      <c r="BA208" s="16"/>
      <c r="BB208" s="16"/>
      <c r="BH208" s="19"/>
      <c r="CD208" s="19"/>
    </row>
    <row r="209" spans="12:82" x14ac:dyDescent="0.25">
      <c r="L209" s="17"/>
      <c r="P209" s="17"/>
      <c r="R209" s="16">
        <v>0</v>
      </c>
      <c r="U209" s="16"/>
      <c r="V209" s="16">
        <v>0</v>
      </c>
      <c r="Y209" s="16"/>
      <c r="Z209" s="16"/>
      <c r="AC209" s="16"/>
      <c r="AD209" s="16"/>
      <c r="AG209" s="16"/>
      <c r="AH209" s="16"/>
      <c r="AK209" s="16"/>
      <c r="AL209" s="16"/>
      <c r="AO209" s="16"/>
      <c r="AP209" s="16"/>
      <c r="AS209" s="16"/>
      <c r="AT209" s="16"/>
      <c r="AW209" s="16"/>
      <c r="AX209" s="16"/>
      <c r="BA209" s="16"/>
      <c r="BB209" s="16"/>
      <c r="BH209" s="19"/>
      <c r="CD209" s="19"/>
    </row>
    <row r="210" spans="12:82" x14ac:dyDescent="0.25">
      <c r="L210" s="17"/>
      <c r="P210" s="17"/>
      <c r="R210" s="16">
        <v>0</v>
      </c>
      <c r="U210" s="16"/>
      <c r="V210" s="16">
        <v>0</v>
      </c>
      <c r="Y210" s="16"/>
      <c r="Z210" s="16"/>
      <c r="AC210" s="16"/>
      <c r="AD210" s="16"/>
      <c r="AG210" s="16"/>
      <c r="AH210" s="16"/>
      <c r="AK210" s="16"/>
      <c r="AL210" s="16"/>
      <c r="AO210" s="16"/>
      <c r="AP210" s="16"/>
      <c r="AS210" s="16"/>
      <c r="AT210" s="16"/>
      <c r="AW210" s="16"/>
      <c r="AX210" s="16"/>
      <c r="BA210" s="16"/>
      <c r="BB210" s="16"/>
      <c r="BH210" s="19"/>
      <c r="CD210" s="19"/>
    </row>
    <row r="211" spans="12:82" x14ac:dyDescent="0.25">
      <c r="L211" s="17"/>
      <c r="P211" s="17"/>
      <c r="R211" s="16">
        <v>0</v>
      </c>
      <c r="U211" s="16"/>
      <c r="V211" s="16">
        <v>0</v>
      </c>
      <c r="Y211" s="16"/>
      <c r="Z211" s="16"/>
      <c r="AC211" s="16"/>
      <c r="AD211" s="16"/>
      <c r="AG211" s="16"/>
      <c r="AH211" s="16"/>
      <c r="AK211" s="16"/>
      <c r="AL211" s="16"/>
      <c r="AO211" s="16"/>
      <c r="AP211" s="16"/>
      <c r="AS211" s="16"/>
      <c r="AT211" s="16"/>
      <c r="AW211" s="16"/>
      <c r="AX211" s="16"/>
      <c r="BA211" s="16"/>
      <c r="BB211" s="16"/>
      <c r="BH211" s="19"/>
      <c r="CD211" s="19"/>
    </row>
    <row r="212" spans="12:82" x14ac:dyDescent="0.25">
      <c r="L212" s="17"/>
      <c r="P212" s="17"/>
      <c r="R212" s="16">
        <v>0</v>
      </c>
      <c r="U212" s="16"/>
      <c r="V212" s="16">
        <v>0</v>
      </c>
      <c r="Y212" s="16"/>
      <c r="Z212" s="16"/>
      <c r="AC212" s="16"/>
      <c r="AD212" s="16"/>
      <c r="AG212" s="16"/>
      <c r="AH212" s="16"/>
      <c r="AK212" s="16"/>
      <c r="AL212" s="16"/>
      <c r="AO212" s="16"/>
      <c r="AP212" s="16"/>
      <c r="AS212" s="16"/>
      <c r="AT212" s="16"/>
      <c r="AW212" s="16"/>
      <c r="AX212" s="16"/>
      <c r="BA212" s="16"/>
      <c r="BB212" s="16"/>
      <c r="BH212" s="19"/>
      <c r="CD212" s="19"/>
    </row>
    <row r="213" spans="12:82" x14ac:dyDescent="0.25">
      <c r="L213" s="17"/>
      <c r="P213" s="17"/>
      <c r="R213" s="16">
        <v>0</v>
      </c>
      <c r="U213" s="16"/>
      <c r="V213" s="16">
        <v>0</v>
      </c>
      <c r="Y213" s="16"/>
      <c r="Z213" s="16"/>
      <c r="AC213" s="16"/>
      <c r="AD213" s="16"/>
      <c r="AG213" s="16"/>
      <c r="AH213" s="16"/>
      <c r="AK213" s="16"/>
      <c r="AL213" s="16"/>
      <c r="AO213" s="16"/>
      <c r="AP213" s="16"/>
      <c r="AS213" s="16"/>
      <c r="AT213" s="16"/>
      <c r="AW213" s="16"/>
      <c r="AX213" s="16"/>
      <c r="BA213" s="16"/>
      <c r="BB213" s="16"/>
      <c r="BH213" s="19"/>
      <c r="CD213" s="19"/>
    </row>
    <row r="214" spans="12:82" x14ac:dyDescent="0.25">
      <c r="L214" s="17"/>
      <c r="P214" s="17"/>
      <c r="R214" s="16">
        <v>0</v>
      </c>
      <c r="U214" s="16"/>
      <c r="V214" s="16">
        <v>0</v>
      </c>
      <c r="Y214" s="16"/>
      <c r="Z214" s="16"/>
      <c r="AC214" s="16"/>
      <c r="AD214" s="16"/>
      <c r="AG214" s="16"/>
      <c r="AH214" s="16"/>
      <c r="AK214" s="16"/>
      <c r="AL214" s="16"/>
      <c r="AO214" s="16"/>
      <c r="AP214" s="16"/>
      <c r="AS214" s="16"/>
      <c r="AT214" s="16"/>
      <c r="AW214" s="16"/>
      <c r="AX214" s="16"/>
      <c r="BA214" s="16"/>
      <c r="BB214" s="16"/>
      <c r="BH214" s="19"/>
      <c r="CD214" s="19"/>
    </row>
    <row r="215" spans="12:82" x14ac:dyDescent="0.25">
      <c r="L215" s="17"/>
      <c r="P215" s="17"/>
      <c r="R215" s="16">
        <v>0</v>
      </c>
      <c r="U215" s="16"/>
      <c r="V215" s="16">
        <v>0</v>
      </c>
      <c r="Y215" s="16"/>
      <c r="Z215" s="16"/>
      <c r="AC215" s="16"/>
      <c r="AD215" s="16"/>
      <c r="AG215" s="16"/>
      <c r="AH215" s="16"/>
      <c r="AK215" s="16"/>
      <c r="AL215" s="16"/>
      <c r="AO215" s="16"/>
      <c r="AP215" s="16"/>
      <c r="AS215" s="16"/>
      <c r="AT215" s="16"/>
      <c r="AW215" s="16"/>
      <c r="AX215" s="16"/>
      <c r="BA215" s="16"/>
      <c r="BB215" s="16"/>
      <c r="BH215" s="19"/>
      <c r="CD215" s="19"/>
    </row>
    <row r="216" spans="12:82" x14ac:dyDescent="0.25">
      <c r="L216" s="17"/>
      <c r="P216" s="17"/>
      <c r="R216" s="16">
        <v>0</v>
      </c>
      <c r="U216" s="16"/>
      <c r="V216" s="16">
        <v>0</v>
      </c>
      <c r="Y216" s="16"/>
      <c r="Z216" s="16"/>
      <c r="AC216" s="16"/>
      <c r="AD216" s="16"/>
      <c r="AG216" s="16"/>
      <c r="AH216" s="16"/>
      <c r="AK216" s="16"/>
      <c r="AL216" s="16"/>
      <c r="AO216" s="16"/>
      <c r="AP216" s="16"/>
      <c r="AS216" s="16"/>
      <c r="AT216" s="16"/>
      <c r="AW216" s="16"/>
      <c r="AX216" s="16"/>
      <c r="BA216" s="16"/>
      <c r="BB216" s="16"/>
      <c r="BH216" s="19"/>
      <c r="CD216" s="19"/>
    </row>
    <row r="217" spans="12:82" x14ac:dyDescent="0.25">
      <c r="L217" s="17"/>
      <c r="P217" s="17"/>
      <c r="R217" s="16">
        <v>0</v>
      </c>
      <c r="U217" s="16"/>
      <c r="V217" s="16">
        <v>0</v>
      </c>
      <c r="Y217" s="16"/>
      <c r="Z217" s="16"/>
      <c r="AC217" s="16"/>
      <c r="AD217" s="16"/>
      <c r="AG217" s="16"/>
      <c r="AH217" s="16"/>
      <c r="AK217" s="16"/>
      <c r="AL217" s="16"/>
      <c r="AO217" s="16"/>
      <c r="AP217" s="16"/>
      <c r="AS217" s="16"/>
      <c r="AT217" s="16"/>
      <c r="AW217" s="16"/>
      <c r="AX217" s="16"/>
      <c r="BA217" s="16"/>
      <c r="BB217" s="16"/>
      <c r="BH217" s="19"/>
      <c r="CD217" s="19"/>
    </row>
    <row r="218" spans="12:82" x14ac:dyDescent="0.25">
      <c r="L218" s="17"/>
      <c r="P218" s="17"/>
      <c r="R218" s="16">
        <v>0</v>
      </c>
      <c r="U218" s="16"/>
      <c r="V218" s="16">
        <v>0</v>
      </c>
      <c r="Y218" s="16"/>
      <c r="Z218" s="16"/>
      <c r="AC218" s="16"/>
      <c r="AD218" s="16"/>
      <c r="AG218" s="16"/>
      <c r="AH218" s="16"/>
      <c r="AK218" s="16"/>
      <c r="AL218" s="16"/>
      <c r="AO218" s="16"/>
      <c r="AP218" s="16"/>
      <c r="AS218" s="16"/>
      <c r="AT218" s="16"/>
      <c r="AW218" s="16"/>
      <c r="AX218" s="16"/>
      <c r="BA218" s="16"/>
      <c r="BB218" s="16"/>
      <c r="BH218" s="19"/>
      <c r="CD218" s="19"/>
    </row>
    <row r="219" spans="12:82" x14ac:dyDescent="0.25">
      <c r="L219" s="17"/>
      <c r="P219" s="17"/>
      <c r="R219" s="16">
        <v>0</v>
      </c>
      <c r="U219" s="16"/>
      <c r="V219" s="16">
        <v>0</v>
      </c>
      <c r="Y219" s="16"/>
      <c r="Z219" s="16"/>
      <c r="AC219" s="16"/>
      <c r="AD219" s="16"/>
      <c r="AG219" s="16"/>
      <c r="AH219" s="16"/>
      <c r="AK219" s="16"/>
      <c r="AL219" s="16"/>
      <c r="AO219" s="16"/>
      <c r="AP219" s="16"/>
      <c r="AS219" s="16"/>
      <c r="AT219" s="16"/>
      <c r="AW219" s="16"/>
      <c r="AX219" s="16"/>
      <c r="BA219" s="16"/>
      <c r="BB219" s="16"/>
      <c r="BH219" s="19"/>
      <c r="CD219" s="19"/>
    </row>
    <row r="220" spans="12:82" x14ac:dyDescent="0.25">
      <c r="L220" s="17"/>
      <c r="P220" s="17"/>
      <c r="R220" s="16">
        <v>0</v>
      </c>
      <c r="U220" s="16"/>
      <c r="V220" s="16">
        <v>0</v>
      </c>
      <c r="Y220" s="16"/>
      <c r="Z220" s="16"/>
      <c r="AC220" s="16"/>
      <c r="AD220" s="16"/>
      <c r="AG220" s="16"/>
      <c r="AH220" s="16"/>
      <c r="AK220" s="16"/>
      <c r="AL220" s="16"/>
      <c r="AO220" s="16"/>
      <c r="AP220" s="16"/>
      <c r="AS220" s="16"/>
      <c r="AT220" s="16"/>
      <c r="AW220" s="16"/>
      <c r="AX220" s="16"/>
      <c r="BA220" s="16"/>
      <c r="BB220" s="16"/>
      <c r="BH220" s="19"/>
      <c r="CD220" s="19"/>
    </row>
    <row r="221" spans="12:82" x14ac:dyDescent="0.25">
      <c r="L221" s="17"/>
      <c r="P221" s="17"/>
      <c r="R221" s="16">
        <v>0</v>
      </c>
      <c r="U221" s="16"/>
      <c r="V221" s="16">
        <v>0</v>
      </c>
      <c r="Y221" s="16"/>
      <c r="Z221" s="16"/>
      <c r="AC221" s="16"/>
      <c r="AD221" s="16"/>
      <c r="AG221" s="16"/>
      <c r="AH221" s="16"/>
      <c r="AK221" s="16"/>
      <c r="AL221" s="16"/>
      <c r="AO221" s="16"/>
      <c r="AP221" s="16"/>
      <c r="AS221" s="16"/>
      <c r="AT221" s="16"/>
      <c r="AW221" s="16"/>
      <c r="AX221" s="16"/>
      <c r="BA221" s="16"/>
      <c r="BB221" s="16"/>
      <c r="BH221" s="19"/>
      <c r="CD221" s="19"/>
    </row>
    <row r="222" spans="12:82" x14ac:dyDescent="0.25">
      <c r="L222" s="17"/>
      <c r="P222" s="17"/>
      <c r="R222" s="16">
        <v>0</v>
      </c>
      <c r="U222" s="16"/>
      <c r="V222" s="16">
        <v>0</v>
      </c>
      <c r="Y222" s="16"/>
      <c r="Z222" s="16"/>
      <c r="AC222" s="16"/>
      <c r="AD222" s="16"/>
      <c r="AG222" s="16"/>
      <c r="AH222" s="16"/>
      <c r="AK222" s="16"/>
      <c r="AL222" s="16"/>
      <c r="AO222" s="16"/>
      <c r="AP222" s="16"/>
      <c r="AS222" s="16"/>
      <c r="AT222" s="16"/>
      <c r="AW222" s="16"/>
      <c r="AX222" s="16"/>
      <c r="BA222" s="16"/>
      <c r="BB222" s="16"/>
      <c r="BH222" s="19"/>
      <c r="CD222" s="19"/>
    </row>
    <row r="223" spans="12:82" x14ac:dyDescent="0.25">
      <c r="L223" s="17"/>
      <c r="P223" s="17"/>
      <c r="R223" s="16">
        <v>0</v>
      </c>
      <c r="U223" s="16"/>
      <c r="V223" s="16">
        <v>0</v>
      </c>
      <c r="Y223" s="16"/>
      <c r="Z223" s="16"/>
      <c r="AC223" s="16"/>
      <c r="AD223" s="16"/>
      <c r="AG223" s="16"/>
      <c r="AH223" s="16"/>
      <c r="AK223" s="16"/>
      <c r="AL223" s="16"/>
      <c r="AO223" s="16"/>
      <c r="AP223" s="16"/>
      <c r="AS223" s="16"/>
      <c r="AT223" s="16"/>
      <c r="AW223" s="16"/>
      <c r="AX223" s="16"/>
      <c r="BA223" s="16"/>
      <c r="BB223" s="16"/>
      <c r="BH223" s="19"/>
      <c r="CD223" s="19"/>
    </row>
    <row r="224" spans="12:82" x14ac:dyDescent="0.25">
      <c r="L224" s="17"/>
      <c r="P224" s="17"/>
      <c r="R224" s="16">
        <v>0</v>
      </c>
      <c r="U224" s="16"/>
      <c r="V224" s="16">
        <v>0</v>
      </c>
      <c r="Y224" s="16"/>
      <c r="Z224" s="16"/>
      <c r="AC224" s="16"/>
      <c r="AD224" s="16"/>
      <c r="AG224" s="16"/>
      <c r="AH224" s="16"/>
      <c r="AK224" s="16"/>
      <c r="AL224" s="16"/>
      <c r="AO224" s="16"/>
      <c r="AP224" s="16"/>
      <c r="AS224" s="16"/>
      <c r="AT224" s="16"/>
      <c r="AW224" s="16"/>
      <c r="AX224" s="16"/>
      <c r="BA224" s="16"/>
      <c r="BB224" s="16"/>
      <c r="BH224" s="19"/>
      <c r="CD224" s="19"/>
    </row>
    <row r="225" spans="12:82" x14ac:dyDescent="0.25">
      <c r="L225" s="17"/>
      <c r="P225" s="17"/>
      <c r="R225" s="16">
        <v>0</v>
      </c>
      <c r="U225" s="16"/>
      <c r="V225" s="16">
        <v>0</v>
      </c>
      <c r="Y225" s="16"/>
      <c r="Z225" s="16"/>
      <c r="AC225" s="16"/>
      <c r="AD225" s="16"/>
      <c r="AG225" s="16"/>
      <c r="AH225" s="16"/>
      <c r="AK225" s="16"/>
      <c r="AL225" s="16"/>
      <c r="AO225" s="16"/>
      <c r="AP225" s="16"/>
      <c r="AS225" s="16"/>
      <c r="AT225" s="16"/>
      <c r="AW225" s="16"/>
      <c r="AX225" s="16"/>
      <c r="BA225" s="16"/>
      <c r="BB225" s="16"/>
      <c r="BH225" s="19"/>
      <c r="CD225" s="19"/>
    </row>
    <row r="226" spans="12:82" x14ac:dyDescent="0.25">
      <c r="L226" s="17"/>
      <c r="P226" s="17"/>
      <c r="R226" s="16">
        <v>0</v>
      </c>
      <c r="U226" s="16"/>
      <c r="V226" s="16">
        <v>0</v>
      </c>
      <c r="Y226" s="16"/>
      <c r="Z226" s="16"/>
      <c r="AC226" s="16"/>
      <c r="AD226" s="16"/>
      <c r="AG226" s="16"/>
      <c r="AH226" s="16"/>
      <c r="AK226" s="16"/>
      <c r="AL226" s="16"/>
      <c r="AO226" s="16"/>
      <c r="AP226" s="16"/>
      <c r="AS226" s="16"/>
      <c r="AT226" s="16"/>
      <c r="AW226" s="16"/>
      <c r="AX226" s="16"/>
      <c r="BA226" s="16"/>
      <c r="BB226" s="16"/>
      <c r="BH226" s="19"/>
      <c r="CD226" s="19"/>
    </row>
    <row r="227" spans="12:82" x14ac:dyDescent="0.25">
      <c r="L227" s="17"/>
      <c r="P227" s="17"/>
      <c r="R227" s="16">
        <v>0</v>
      </c>
      <c r="U227" s="16"/>
      <c r="V227" s="16">
        <v>0</v>
      </c>
      <c r="Y227" s="16"/>
      <c r="Z227" s="16"/>
      <c r="AC227" s="16"/>
      <c r="AD227" s="16"/>
      <c r="AG227" s="16"/>
      <c r="AH227" s="16"/>
      <c r="AK227" s="16"/>
      <c r="AL227" s="16"/>
      <c r="AO227" s="16"/>
      <c r="AP227" s="16"/>
      <c r="AS227" s="16"/>
      <c r="AT227" s="16"/>
      <c r="AW227" s="16"/>
      <c r="AX227" s="16"/>
      <c r="BA227" s="16"/>
      <c r="BB227" s="16"/>
      <c r="BH227" s="19"/>
      <c r="CD227" s="19"/>
    </row>
    <row r="228" spans="12:82" x14ac:dyDescent="0.25">
      <c r="L228" s="17"/>
      <c r="P228" s="17"/>
      <c r="R228" s="16">
        <v>0</v>
      </c>
      <c r="U228" s="16"/>
      <c r="V228" s="16">
        <v>0</v>
      </c>
      <c r="Y228" s="16"/>
      <c r="Z228" s="16"/>
      <c r="AC228" s="16"/>
      <c r="AD228" s="16"/>
      <c r="AG228" s="16"/>
      <c r="AH228" s="16"/>
      <c r="AK228" s="16"/>
      <c r="AL228" s="16"/>
      <c r="AO228" s="16"/>
      <c r="AP228" s="16"/>
      <c r="AS228" s="16"/>
      <c r="AT228" s="16"/>
      <c r="AW228" s="16"/>
      <c r="AX228" s="16"/>
      <c r="BA228" s="16"/>
      <c r="BB228" s="16"/>
      <c r="BH228" s="19"/>
      <c r="CD228" s="19"/>
    </row>
    <row r="229" spans="12:82" x14ac:dyDescent="0.25">
      <c r="L229" s="17"/>
      <c r="P229" s="17"/>
      <c r="R229" s="16">
        <v>0</v>
      </c>
      <c r="U229" s="16"/>
      <c r="V229" s="16">
        <v>0</v>
      </c>
      <c r="Y229" s="16"/>
      <c r="Z229" s="16"/>
      <c r="AC229" s="16"/>
      <c r="AD229" s="16"/>
      <c r="AG229" s="16"/>
      <c r="AH229" s="16"/>
      <c r="AK229" s="16"/>
      <c r="AL229" s="16"/>
      <c r="AO229" s="16"/>
      <c r="AP229" s="16"/>
      <c r="AS229" s="16"/>
      <c r="AT229" s="16"/>
      <c r="AW229" s="16"/>
      <c r="AX229" s="16"/>
      <c r="BA229" s="16"/>
      <c r="BB229" s="16"/>
      <c r="BH229" s="19"/>
      <c r="CD229" s="19"/>
    </row>
    <row r="230" spans="12:82" x14ac:dyDescent="0.25">
      <c r="L230" s="17"/>
      <c r="P230" s="17"/>
      <c r="R230" s="16">
        <v>0</v>
      </c>
      <c r="U230" s="16"/>
      <c r="V230" s="16">
        <v>0</v>
      </c>
      <c r="Y230" s="16"/>
      <c r="Z230" s="16"/>
      <c r="AC230" s="16"/>
      <c r="AD230" s="16"/>
      <c r="AG230" s="16"/>
      <c r="AH230" s="16"/>
      <c r="AK230" s="16"/>
      <c r="AL230" s="16"/>
      <c r="AO230" s="16"/>
      <c r="AP230" s="16"/>
      <c r="AS230" s="16"/>
      <c r="AT230" s="16"/>
      <c r="AW230" s="16"/>
      <c r="AX230" s="16"/>
      <c r="BA230" s="16"/>
      <c r="BB230" s="16"/>
      <c r="BH230" s="19"/>
      <c r="CD230" s="19"/>
    </row>
    <row r="231" spans="12:82" x14ac:dyDescent="0.25">
      <c r="L231" s="17"/>
      <c r="P231" s="17"/>
      <c r="R231" s="16">
        <v>0</v>
      </c>
      <c r="U231" s="16"/>
      <c r="V231" s="16">
        <v>0</v>
      </c>
      <c r="Y231" s="16"/>
      <c r="Z231" s="16"/>
      <c r="AC231" s="16"/>
      <c r="AD231" s="16"/>
      <c r="AG231" s="16"/>
      <c r="AH231" s="16"/>
      <c r="AK231" s="16"/>
      <c r="AL231" s="16"/>
      <c r="AO231" s="16"/>
      <c r="AP231" s="16"/>
      <c r="AS231" s="16"/>
      <c r="AT231" s="16"/>
      <c r="AW231" s="16"/>
      <c r="AX231" s="16"/>
      <c r="BA231" s="16"/>
      <c r="BB231" s="16"/>
      <c r="BH231" s="19"/>
      <c r="CD231" s="19"/>
    </row>
    <row r="232" spans="12:82" x14ac:dyDescent="0.25">
      <c r="L232" s="17"/>
      <c r="P232" s="17"/>
      <c r="R232" s="16">
        <v>0</v>
      </c>
      <c r="U232" s="16"/>
      <c r="V232" s="16">
        <v>0</v>
      </c>
      <c r="Y232" s="16"/>
      <c r="Z232" s="16"/>
      <c r="AC232" s="16"/>
      <c r="AD232" s="16"/>
      <c r="AG232" s="16"/>
      <c r="AH232" s="16"/>
      <c r="AK232" s="16"/>
      <c r="AL232" s="16"/>
      <c r="AO232" s="16"/>
      <c r="AP232" s="16"/>
      <c r="AS232" s="16"/>
      <c r="AT232" s="16"/>
      <c r="AW232" s="16"/>
      <c r="AX232" s="16"/>
      <c r="BA232" s="16"/>
      <c r="BB232" s="16"/>
      <c r="BH232" s="19"/>
      <c r="CD232" s="19"/>
    </row>
    <row r="233" spans="12:82" x14ac:dyDescent="0.25">
      <c r="L233" s="17"/>
      <c r="P233" s="17"/>
      <c r="R233" s="16">
        <v>0</v>
      </c>
      <c r="U233" s="16"/>
      <c r="V233" s="16">
        <v>0</v>
      </c>
      <c r="Y233" s="16"/>
      <c r="Z233" s="16"/>
      <c r="AC233" s="16"/>
      <c r="AD233" s="16"/>
      <c r="AG233" s="16"/>
      <c r="AH233" s="16"/>
      <c r="AK233" s="16"/>
      <c r="AL233" s="16"/>
      <c r="AO233" s="16"/>
      <c r="AP233" s="16"/>
      <c r="AS233" s="16"/>
      <c r="AT233" s="16"/>
      <c r="AW233" s="16"/>
      <c r="AX233" s="16"/>
      <c r="BA233" s="16"/>
      <c r="BB233" s="16"/>
      <c r="BH233" s="19"/>
      <c r="CD233" s="19"/>
    </row>
    <row r="234" spans="12:82" x14ac:dyDescent="0.25">
      <c r="L234" s="17"/>
      <c r="P234" s="17"/>
      <c r="R234" s="16">
        <v>0</v>
      </c>
      <c r="U234" s="16"/>
      <c r="V234" s="16">
        <v>0</v>
      </c>
      <c r="Y234" s="16"/>
      <c r="Z234" s="16"/>
      <c r="AC234" s="16"/>
      <c r="AD234" s="16"/>
      <c r="AG234" s="16"/>
      <c r="AH234" s="16"/>
      <c r="AK234" s="16"/>
      <c r="AL234" s="16"/>
      <c r="AO234" s="16"/>
      <c r="AP234" s="16"/>
      <c r="AS234" s="16"/>
      <c r="AT234" s="16"/>
      <c r="AW234" s="16"/>
      <c r="AX234" s="16"/>
      <c r="BA234" s="16"/>
      <c r="BB234" s="16"/>
      <c r="BH234" s="19"/>
      <c r="CD234" s="19"/>
    </row>
    <row r="235" spans="12:82" x14ac:dyDescent="0.25">
      <c r="L235" s="17"/>
      <c r="P235" s="17"/>
      <c r="R235" s="16">
        <v>0</v>
      </c>
      <c r="U235" s="16"/>
      <c r="V235" s="16">
        <v>0</v>
      </c>
      <c r="Y235" s="16"/>
      <c r="Z235" s="16"/>
      <c r="AC235" s="16"/>
      <c r="AD235" s="16"/>
      <c r="AG235" s="16"/>
      <c r="AH235" s="16"/>
      <c r="AK235" s="16"/>
      <c r="AL235" s="16"/>
      <c r="AO235" s="16"/>
      <c r="AP235" s="16"/>
      <c r="AS235" s="16"/>
      <c r="AT235" s="16"/>
      <c r="AW235" s="16"/>
      <c r="AX235" s="16"/>
      <c r="BA235" s="16"/>
      <c r="BB235" s="16"/>
      <c r="BH235" s="19"/>
      <c r="CD235" s="19"/>
    </row>
    <row r="236" spans="12:82" x14ac:dyDescent="0.25">
      <c r="L236" s="17"/>
      <c r="P236" s="17"/>
      <c r="R236" s="16">
        <v>0</v>
      </c>
      <c r="U236" s="16"/>
      <c r="V236" s="16">
        <v>0</v>
      </c>
      <c r="Y236" s="16"/>
      <c r="Z236" s="16"/>
      <c r="AC236" s="16"/>
      <c r="AD236" s="16"/>
      <c r="AG236" s="16"/>
      <c r="AH236" s="16"/>
      <c r="AK236" s="16"/>
      <c r="AL236" s="16"/>
      <c r="AO236" s="16"/>
      <c r="AP236" s="16"/>
      <c r="AS236" s="16"/>
      <c r="AT236" s="16"/>
      <c r="AW236" s="16"/>
      <c r="AX236" s="16"/>
      <c r="BA236" s="16"/>
      <c r="BB236" s="16"/>
      <c r="BH236" s="19"/>
      <c r="CD236" s="19"/>
    </row>
    <row r="237" spans="12:82" x14ac:dyDescent="0.25">
      <c r="L237" s="17"/>
      <c r="P237" s="17"/>
      <c r="R237" s="16">
        <v>0</v>
      </c>
      <c r="U237" s="16"/>
      <c r="V237" s="16">
        <v>0</v>
      </c>
      <c r="Y237" s="16"/>
      <c r="Z237" s="16"/>
      <c r="AC237" s="16"/>
      <c r="AD237" s="16"/>
      <c r="AG237" s="16"/>
      <c r="AH237" s="16"/>
      <c r="AK237" s="16"/>
      <c r="AL237" s="16"/>
      <c r="AO237" s="16"/>
      <c r="AP237" s="16"/>
      <c r="AS237" s="16"/>
      <c r="AT237" s="16"/>
      <c r="AW237" s="16"/>
      <c r="AX237" s="16"/>
      <c r="BA237" s="16"/>
      <c r="BB237" s="16"/>
      <c r="BH237" s="19"/>
      <c r="CD237" s="19"/>
    </row>
    <row r="238" spans="12:82" x14ac:dyDescent="0.25">
      <c r="L238" s="17"/>
      <c r="P238" s="17"/>
      <c r="R238" s="16">
        <v>0</v>
      </c>
      <c r="U238" s="16"/>
      <c r="V238" s="16">
        <v>0</v>
      </c>
      <c r="Y238" s="16"/>
      <c r="Z238" s="16"/>
      <c r="AC238" s="16"/>
      <c r="AD238" s="16"/>
      <c r="AG238" s="16"/>
      <c r="AH238" s="16"/>
      <c r="AK238" s="16"/>
      <c r="AL238" s="16"/>
      <c r="AO238" s="16"/>
      <c r="AP238" s="16"/>
      <c r="AS238" s="16"/>
      <c r="AT238" s="16"/>
      <c r="AW238" s="16"/>
      <c r="AX238" s="16"/>
      <c r="BA238" s="16"/>
      <c r="BB238" s="16"/>
      <c r="BH238" s="19"/>
      <c r="CD238" s="19"/>
    </row>
    <row r="239" spans="12:82" x14ac:dyDescent="0.25">
      <c r="L239" s="17"/>
      <c r="P239" s="17"/>
      <c r="R239" s="16">
        <v>0</v>
      </c>
      <c r="U239" s="16"/>
      <c r="V239" s="16">
        <v>0</v>
      </c>
      <c r="Y239" s="16"/>
      <c r="Z239" s="16"/>
      <c r="AC239" s="16"/>
      <c r="AD239" s="16"/>
      <c r="AG239" s="16"/>
      <c r="AH239" s="16"/>
      <c r="AK239" s="16"/>
      <c r="AL239" s="16"/>
      <c r="AO239" s="16"/>
      <c r="AP239" s="16"/>
      <c r="AS239" s="16"/>
      <c r="AT239" s="16"/>
      <c r="AW239" s="16"/>
      <c r="AX239" s="16"/>
      <c r="BA239" s="16"/>
      <c r="BB239" s="16"/>
      <c r="BH239" s="19"/>
      <c r="CD239" s="19"/>
    </row>
    <row r="240" spans="12:82" x14ac:dyDescent="0.25">
      <c r="L240" s="17"/>
      <c r="P240" s="17"/>
      <c r="R240" s="16">
        <v>0</v>
      </c>
      <c r="U240" s="16"/>
      <c r="V240" s="16">
        <v>0</v>
      </c>
      <c r="Y240" s="16"/>
      <c r="Z240" s="16"/>
      <c r="AC240" s="16"/>
      <c r="AD240" s="16"/>
      <c r="AG240" s="16"/>
      <c r="AH240" s="16"/>
      <c r="AK240" s="16"/>
      <c r="AL240" s="16"/>
      <c r="AO240" s="16"/>
      <c r="AP240" s="16"/>
      <c r="AS240" s="16"/>
      <c r="AT240" s="16"/>
      <c r="AW240" s="16"/>
      <c r="AX240" s="16"/>
      <c r="BA240" s="16"/>
      <c r="BB240" s="16"/>
      <c r="BH240" s="19"/>
      <c r="CD240" s="19"/>
    </row>
    <row r="241" spans="12:82" x14ac:dyDescent="0.25">
      <c r="L241" s="17"/>
      <c r="P241" s="17"/>
      <c r="R241" s="16">
        <v>0</v>
      </c>
      <c r="U241" s="16"/>
      <c r="V241" s="16">
        <v>0</v>
      </c>
      <c r="Y241" s="16"/>
      <c r="Z241" s="16"/>
      <c r="AC241" s="16"/>
      <c r="AD241" s="16"/>
      <c r="AG241" s="16"/>
      <c r="AH241" s="16"/>
      <c r="AK241" s="16"/>
      <c r="AL241" s="16"/>
      <c r="AO241" s="16"/>
      <c r="AP241" s="16"/>
      <c r="AS241" s="16"/>
      <c r="AT241" s="16"/>
      <c r="AW241" s="16"/>
      <c r="AX241" s="16"/>
      <c r="BA241" s="16"/>
      <c r="BB241" s="16"/>
      <c r="BH241" s="19"/>
      <c r="CD241" s="19"/>
    </row>
    <row r="242" spans="12:82" x14ac:dyDescent="0.25">
      <c r="L242" s="17"/>
      <c r="P242" s="17"/>
      <c r="R242" s="16">
        <v>0</v>
      </c>
      <c r="U242" s="16"/>
      <c r="V242" s="16">
        <v>0</v>
      </c>
      <c r="Y242" s="16"/>
      <c r="Z242" s="16"/>
      <c r="AC242" s="16"/>
      <c r="AD242" s="16"/>
      <c r="AG242" s="16"/>
      <c r="AH242" s="16"/>
      <c r="AK242" s="16"/>
      <c r="AL242" s="16"/>
      <c r="AO242" s="16"/>
      <c r="AP242" s="16"/>
      <c r="AS242" s="16"/>
      <c r="AT242" s="16"/>
      <c r="AW242" s="16"/>
      <c r="AX242" s="16"/>
      <c r="BA242" s="16"/>
      <c r="BB242" s="16"/>
      <c r="BH242" s="19"/>
      <c r="CD242" s="19"/>
    </row>
    <row r="243" spans="12:82" x14ac:dyDescent="0.25">
      <c r="L243" s="17"/>
      <c r="P243" s="17"/>
      <c r="R243" s="16">
        <v>0</v>
      </c>
      <c r="U243" s="16"/>
      <c r="V243" s="16">
        <v>0</v>
      </c>
      <c r="Y243" s="16"/>
      <c r="Z243" s="16"/>
      <c r="AC243" s="16"/>
      <c r="AD243" s="16"/>
      <c r="AG243" s="16"/>
      <c r="AH243" s="16"/>
      <c r="AK243" s="16"/>
      <c r="AL243" s="16"/>
      <c r="AO243" s="16"/>
      <c r="AP243" s="16"/>
      <c r="AS243" s="16"/>
      <c r="AT243" s="16"/>
      <c r="AW243" s="16"/>
      <c r="AX243" s="16"/>
      <c r="BA243" s="16"/>
      <c r="BB243" s="16"/>
      <c r="BH243" s="19"/>
      <c r="CD243" s="19"/>
    </row>
    <row r="244" spans="12:82" x14ac:dyDescent="0.25">
      <c r="L244" s="17"/>
      <c r="P244" s="17"/>
      <c r="R244" s="16">
        <v>0</v>
      </c>
      <c r="U244" s="16"/>
      <c r="V244" s="16">
        <v>0</v>
      </c>
      <c r="Y244" s="16"/>
      <c r="Z244" s="16"/>
      <c r="AC244" s="16"/>
      <c r="AD244" s="16"/>
      <c r="AG244" s="16"/>
      <c r="AH244" s="16"/>
      <c r="AK244" s="16"/>
      <c r="AL244" s="16"/>
      <c r="AO244" s="16"/>
      <c r="AP244" s="16"/>
      <c r="AS244" s="16"/>
      <c r="AT244" s="16"/>
      <c r="AW244" s="16"/>
      <c r="AX244" s="16"/>
      <c r="BA244" s="16"/>
      <c r="BB244" s="16"/>
      <c r="BH244" s="19"/>
      <c r="CD244" s="19"/>
    </row>
    <row r="245" spans="12:82" x14ac:dyDescent="0.25">
      <c r="L245" s="17"/>
      <c r="P245" s="17"/>
      <c r="R245" s="16">
        <v>0</v>
      </c>
      <c r="U245" s="16"/>
      <c r="V245" s="16">
        <v>0</v>
      </c>
      <c r="Y245" s="16"/>
      <c r="Z245" s="16"/>
      <c r="AC245" s="16"/>
      <c r="AD245" s="16"/>
      <c r="AG245" s="16"/>
      <c r="AH245" s="16"/>
      <c r="AK245" s="16"/>
      <c r="AL245" s="16"/>
      <c r="AO245" s="16"/>
      <c r="AP245" s="16"/>
      <c r="AS245" s="16"/>
      <c r="AT245" s="16"/>
      <c r="AW245" s="16"/>
      <c r="AX245" s="16"/>
      <c r="BA245" s="16"/>
      <c r="BB245" s="16"/>
      <c r="BH245" s="19"/>
      <c r="CD245" s="19"/>
    </row>
    <row r="246" spans="12:82" x14ac:dyDescent="0.25">
      <c r="L246" s="17"/>
      <c r="P246" s="17"/>
      <c r="R246" s="16">
        <v>0</v>
      </c>
      <c r="U246" s="16"/>
      <c r="V246" s="16">
        <v>0</v>
      </c>
      <c r="Y246" s="16"/>
      <c r="Z246" s="16"/>
      <c r="AC246" s="16"/>
      <c r="AD246" s="16"/>
      <c r="AG246" s="16"/>
      <c r="AH246" s="16"/>
      <c r="AK246" s="16"/>
      <c r="AL246" s="16"/>
      <c r="AO246" s="16"/>
      <c r="AP246" s="16"/>
      <c r="AS246" s="16"/>
      <c r="AT246" s="16"/>
      <c r="AW246" s="16"/>
      <c r="AX246" s="16"/>
      <c r="BA246" s="16"/>
      <c r="BB246" s="16"/>
      <c r="BH246" s="19"/>
      <c r="CD246" s="19"/>
    </row>
    <row r="247" spans="12:82" x14ac:dyDescent="0.25">
      <c r="L247" s="17"/>
      <c r="P247" s="17"/>
      <c r="R247" s="16">
        <v>0</v>
      </c>
      <c r="U247" s="16"/>
      <c r="V247" s="16">
        <v>0</v>
      </c>
      <c r="Y247" s="16"/>
      <c r="Z247" s="16"/>
      <c r="AC247" s="16"/>
      <c r="AD247" s="16"/>
      <c r="AG247" s="16"/>
      <c r="AH247" s="16"/>
      <c r="AK247" s="16"/>
      <c r="AL247" s="16"/>
      <c r="AO247" s="16"/>
      <c r="AP247" s="16"/>
      <c r="AS247" s="16"/>
      <c r="AT247" s="16"/>
      <c r="AW247" s="16"/>
      <c r="AX247" s="16"/>
      <c r="BA247" s="16"/>
      <c r="BB247" s="16"/>
      <c r="BH247" s="19"/>
      <c r="CD247" s="19"/>
    </row>
    <row r="248" spans="12:82" x14ac:dyDescent="0.25">
      <c r="L248" s="17"/>
      <c r="P248" s="17"/>
      <c r="R248" s="16">
        <v>0</v>
      </c>
      <c r="U248" s="16"/>
      <c r="V248" s="16">
        <v>0</v>
      </c>
      <c r="Y248" s="16"/>
      <c r="Z248" s="16"/>
      <c r="AC248" s="16"/>
      <c r="AD248" s="16"/>
      <c r="AG248" s="16"/>
      <c r="AH248" s="16"/>
      <c r="AK248" s="16"/>
      <c r="AL248" s="16"/>
      <c r="AO248" s="16"/>
      <c r="AP248" s="16"/>
      <c r="AS248" s="16"/>
      <c r="AT248" s="16"/>
      <c r="AW248" s="16"/>
      <c r="AX248" s="16"/>
      <c r="BA248" s="16"/>
      <c r="BB248" s="16"/>
      <c r="BH248" s="19"/>
      <c r="CD248" s="19"/>
    </row>
    <row r="249" spans="12:82" x14ac:dyDescent="0.25">
      <c r="L249" s="17"/>
      <c r="P249" s="17"/>
      <c r="R249" s="16">
        <v>0</v>
      </c>
      <c r="U249" s="16"/>
      <c r="V249" s="16">
        <v>0</v>
      </c>
      <c r="Y249" s="16"/>
      <c r="Z249" s="16"/>
      <c r="AC249" s="16"/>
      <c r="AD249" s="16"/>
      <c r="AG249" s="16"/>
      <c r="AH249" s="16"/>
      <c r="AK249" s="16"/>
      <c r="AL249" s="16"/>
      <c r="AO249" s="16"/>
      <c r="AP249" s="16"/>
      <c r="AS249" s="16"/>
      <c r="AT249" s="16"/>
      <c r="AW249" s="16"/>
      <c r="AX249" s="16"/>
      <c r="BA249" s="16"/>
      <c r="BB249" s="16"/>
      <c r="BH249" s="19"/>
      <c r="CD249" s="19"/>
    </row>
    <row r="250" spans="12:82" x14ac:dyDescent="0.25">
      <c r="L250" s="17"/>
      <c r="P250" s="17"/>
      <c r="R250" s="16">
        <v>0</v>
      </c>
      <c r="U250" s="16"/>
      <c r="V250" s="16">
        <v>0</v>
      </c>
      <c r="Y250" s="16"/>
      <c r="Z250" s="16"/>
      <c r="AC250" s="16"/>
      <c r="AD250" s="16"/>
      <c r="AG250" s="16"/>
      <c r="AH250" s="16"/>
      <c r="AK250" s="16"/>
      <c r="AL250" s="16"/>
      <c r="AO250" s="16"/>
      <c r="AP250" s="16"/>
      <c r="AS250" s="16"/>
      <c r="AT250" s="16"/>
      <c r="AW250" s="16"/>
      <c r="AX250" s="16"/>
      <c r="BA250" s="16"/>
      <c r="BB250" s="16"/>
      <c r="BH250" s="19"/>
      <c r="CD250" s="19"/>
    </row>
    <row r="251" spans="12:82" x14ac:dyDescent="0.25">
      <c r="L251" s="17"/>
      <c r="P251" s="17"/>
      <c r="R251" s="16">
        <v>0</v>
      </c>
      <c r="U251" s="16"/>
      <c r="V251" s="16">
        <v>0</v>
      </c>
      <c r="Y251" s="16"/>
      <c r="Z251" s="16"/>
      <c r="AC251" s="16"/>
      <c r="AD251" s="16"/>
      <c r="AG251" s="16"/>
      <c r="AH251" s="16"/>
      <c r="AK251" s="16"/>
      <c r="AL251" s="16"/>
      <c r="AO251" s="16"/>
      <c r="AP251" s="16"/>
      <c r="AS251" s="16"/>
      <c r="AT251" s="16"/>
      <c r="AW251" s="16"/>
      <c r="AX251" s="16"/>
      <c r="BA251" s="16"/>
      <c r="BB251" s="16"/>
      <c r="BH251" s="19"/>
      <c r="CD251" s="19"/>
    </row>
    <row r="252" spans="12:82" x14ac:dyDescent="0.25">
      <c r="L252" s="17"/>
      <c r="P252" s="17"/>
      <c r="R252" s="16">
        <v>0</v>
      </c>
      <c r="U252" s="16"/>
      <c r="V252" s="16">
        <v>0</v>
      </c>
      <c r="Y252" s="16"/>
      <c r="Z252" s="16"/>
      <c r="AC252" s="16"/>
      <c r="AD252" s="16"/>
      <c r="AG252" s="16"/>
      <c r="AH252" s="16"/>
      <c r="AK252" s="16"/>
      <c r="AL252" s="16"/>
      <c r="AO252" s="16"/>
      <c r="AP252" s="16"/>
      <c r="AS252" s="16"/>
      <c r="AT252" s="16"/>
      <c r="AW252" s="16"/>
      <c r="AX252" s="16"/>
      <c r="BA252" s="16"/>
      <c r="BB252" s="16"/>
      <c r="BH252" s="19"/>
      <c r="CD252" s="19"/>
    </row>
    <row r="253" spans="12:82" x14ac:dyDescent="0.25">
      <c r="L253" s="17"/>
      <c r="P253" s="17"/>
      <c r="R253" s="16">
        <v>0</v>
      </c>
      <c r="U253" s="16"/>
      <c r="V253" s="16">
        <v>0</v>
      </c>
      <c r="Y253" s="16"/>
      <c r="Z253" s="16"/>
      <c r="AC253" s="16"/>
      <c r="AD253" s="16"/>
      <c r="AG253" s="16"/>
      <c r="AH253" s="16"/>
      <c r="AK253" s="16"/>
      <c r="AL253" s="16"/>
      <c r="AO253" s="16"/>
      <c r="AP253" s="16"/>
      <c r="AS253" s="16"/>
      <c r="AT253" s="16"/>
      <c r="AW253" s="16"/>
      <c r="AX253" s="16"/>
      <c r="BA253" s="16"/>
      <c r="BB253" s="16"/>
      <c r="BH253" s="19"/>
      <c r="CD253" s="19"/>
    </row>
    <row r="254" spans="12:82" x14ac:dyDescent="0.25">
      <c r="L254" s="17"/>
      <c r="P254" s="17"/>
      <c r="R254" s="16">
        <v>0</v>
      </c>
      <c r="U254" s="16"/>
      <c r="V254" s="16">
        <v>0</v>
      </c>
      <c r="Y254" s="16"/>
      <c r="Z254" s="16"/>
      <c r="AC254" s="16"/>
      <c r="AD254" s="16"/>
      <c r="AG254" s="16"/>
      <c r="AH254" s="16"/>
      <c r="AK254" s="16"/>
      <c r="AL254" s="16"/>
      <c r="AO254" s="16"/>
      <c r="AP254" s="16"/>
      <c r="AS254" s="16"/>
      <c r="AT254" s="16"/>
      <c r="AW254" s="16"/>
      <c r="AX254" s="16"/>
      <c r="BA254" s="16"/>
      <c r="BB254" s="16"/>
      <c r="BH254" s="19"/>
      <c r="CD254" s="19"/>
    </row>
    <row r="255" spans="12:82" x14ac:dyDescent="0.25">
      <c r="L255" s="17"/>
      <c r="P255" s="17"/>
      <c r="R255" s="16">
        <v>0</v>
      </c>
      <c r="U255" s="16"/>
      <c r="V255" s="16">
        <v>0</v>
      </c>
      <c r="Y255" s="16"/>
      <c r="Z255" s="16"/>
      <c r="AC255" s="16"/>
      <c r="AD255" s="16"/>
      <c r="AG255" s="16"/>
      <c r="AH255" s="16"/>
      <c r="AK255" s="16"/>
      <c r="AL255" s="16"/>
      <c r="AO255" s="16"/>
      <c r="AP255" s="16"/>
      <c r="AS255" s="16"/>
      <c r="AT255" s="16"/>
      <c r="AW255" s="16"/>
      <c r="AX255" s="16"/>
      <c r="BA255" s="16"/>
      <c r="BB255" s="16"/>
      <c r="BH255" s="19"/>
      <c r="CD255" s="19"/>
    </row>
    <row r="256" spans="12:82" x14ac:dyDescent="0.25">
      <c r="L256" s="17"/>
      <c r="P256" s="17"/>
      <c r="R256" s="16">
        <v>0</v>
      </c>
      <c r="U256" s="16"/>
      <c r="V256" s="16">
        <v>0</v>
      </c>
      <c r="Y256" s="16"/>
      <c r="Z256" s="16"/>
      <c r="AC256" s="16"/>
      <c r="AD256" s="16"/>
      <c r="AG256" s="16"/>
      <c r="AH256" s="16"/>
      <c r="AK256" s="16"/>
      <c r="AL256" s="16"/>
      <c r="AO256" s="16"/>
      <c r="AP256" s="16"/>
      <c r="AS256" s="16"/>
      <c r="AT256" s="16"/>
      <c r="AW256" s="16"/>
      <c r="AX256" s="16"/>
      <c r="BA256" s="16"/>
      <c r="BB256" s="16"/>
      <c r="BH256" s="19"/>
      <c r="CD256" s="19"/>
    </row>
    <row r="257" spans="12:82" x14ac:dyDescent="0.25">
      <c r="L257" s="17"/>
      <c r="P257" s="17"/>
      <c r="R257" s="16">
        <v>0</v>
      </c>
      <c r="U257" s="16"/>
      <c r="V257" s="16">
        <v>0</v>
      </c>
      <c r="Y257" s="16"/>
      <c r="Z257" s="16"/>
      <c r="AC257" s="16"/>
      <c r="AD257" s="16"/>
      <c r="AG257" s="16"/>
      <c r="AH257" s="16"/>
      <c r="AK257" s="16"/>
      <c r="AL257" s="16"/>
      <c r="AO257" s="16"/>
      <c r="AP257" s="16"/>
      <c r="AS257" s="16"/>
      <c r="AT257" s="16"/>
      <c r="AW257" s="16"/>
      <c r="AX257" s="16"/>
      <c r="BA257" s="16"/>
      <c r="BB257" s="16"/>
      <c r="BH257" s="19"/>
      <c r="CD257" s="19"/>
    </row>
    <row r="258" spans="12:82" x14ac:dyDescent="0.25">
      <c r="L258" s="17"/>
      <c r="P258" s="17"/>
      <c r="R258" s="16">
        <v>0</v>
      </c>
      <c r="U258" s="16"/>
      <c r="V258" s="16">
        <v>0</v>
      </c>
      <c r="Y258" s="16"/>
      <c r="Z258" s="16"/>
      <c r="AC258" s="16"/>
      <c r="AD258" s="16"/>
      <c r="AG258" s="16"/>
      <c r="AH258" s="16"/>
      <c r="AK258" s="16"/>
      <c r="AL258" s="16"/>
      <c r="AO258" s="16"/>
      <c r="AP258" s="16"/>
      <c r="AS258" s="16"/>
      <c r="AT258" s="16"/>
      <c r="AW258" s="16"/>
      <c r="AX258" s="16"/>
      <c r="BA258" s="16"/>
      <c r="BB258" s="16"/>
      <c r="BH258" s="19"/>
      <c r="CD258" s="19"/>
    </row>
    <row r="259" spans="12:82" x14ac:dyDescent="0.25">
      <c r="L259" s="17"/>
      <c r="P259" s="17"/>
      <c r="R259" s="16">
        <v>0</v>
      </c>
      <c r="U259" s="16"/>
      <c r="V259" s="16">
        <v>0</v>
      </c>
      <c r="Y259" s="16"/>
      <c r="Z259" s="16"/>
      <c r="AC259" s="16"/>
      <c r="AD259" s="16"/>
      <c r="AG259" s="16"/>
      <c r="AH259" s="16"/>
      <c r="AK259" s="16"/>
      <c r="AL259" s="16"/>
      <c r="AO259" s="16"/>
      <c r="AP259" s="16"/>
      <c r="AS259" s="16"/>
      <c r="AT259" s="16"/>
      <c r="AW259" s="16"/>
      <c r="AX259" s="16"/>
      <c r="BA259" s="16"/>
      <c r="BB259" s="16"/>
      <c r="BH259" s="19"/>
      <c r="CD259" s="19"/>
    </row>
    <row r="260" spans="12:82" x14ac:dyDescent="0.25">
      <c r="L260" s="17"/>
      <c r="P260" s="17"/>
      <c r="R260" s="16">
        <v>0</v>
      </c>
      <c r="U260" s="16"/>
      <c r="V260" s="16">
        <v>0</v>
      </c>
      <c r="Y260" s="16"/>
      <c r="Z260" s="16"/>
      <c r="AC260" s="16"/>
      <c r="AD260" s="16"/>
      <c r="AG260" s="16"/>
      <c r="AH260" s="16"/>
      <c r="AK260" s="16"/>
      <c r="AL260" s="16"/>
      <c r="AO260" s="16"/>
      <c r="AP260" s="16"/>
      <c r="AS260" s="16"/>
      <c r="AT260" s="16"/>
      <c r="AW260" s="16"/>
      <c r="AX260" s="16"/>
      <c r="BA260" s="16"/>
      <c r="BB260" s="16"/>
      <c r="BH260" s="19"/>
      <c r="CD260" s="19"/>
    </row>
    <row r="261" spans="12:82" x14ac:dyDescent="0.25">
      <c r="L261" s="17"/>
      <c r="P261" s="17"/>
      <c r="R261" s="16">
        <v>0</v>
      </c>
      <c r="U261" s="16"/>
      <c r="V261" s="16">
        <v>0</v>
      </c>
      <c r="Y261" s="16"/>
      <c r="Z261" s="16"/>
      <c r="AC261" s="16"/>
      <c r="AD261" s="16"/>
      <c r="AG261" s="16"/>
      <c r="AH261" s="16"/>
      <c r="AK261" s="16"/>
      <c r="AL261" s="16"/>
      <c r="AO261" s="16"/>
      <c r="AP261" s="16"/>
      <c r="AS261" s="16"/>
      <c r="AT261" s="16"/>
      <c r="AW261" s="16"/>
      <c r="AX261" s="16"/>
      <c r="BA261" s="16"/>
      <c r="BB261" s="16"/>
      <c r="BH261" s="19"/>
      <c r="CD261" s="19"/>
    </row>
    <row r="262" spans="12:82" x14ac:dyDescent="0.25">
      <c r="L262" s="17"/>
      <c r="P262" s="17"/>
      <c r="R262" s="16">
        <v>0</v>
      </c>
      <c r="U262" s="16"/>
      <c r="V262" s="16">
        <v>0</v>
      </c>
      <c r="Y262" s="16"/>
      <c r="Z262" s="16"/>
      <c r="AC262" s="16"/>
      <c r="AD262" s="16"/>
      <c r="AG262" s="16"/>
      <c r="AH262" s="16"/>
      <c r="AK262" s="16"/>
      <c r="AL262" s="16"/>
      <c r="AO262" s="16"/>
      <c r="AP262" s="16"/>
      <c r="AS262" s="16"/>
      <c r="AT262" s="16"/>
      <c r="AW262" s="16"/>
      <c r="AX262" s="16"/>
      <c r="BA262" s="16"/>
      <c r="BB262" s="16"/>
      <c r="BH262" s="19"/>
      <c r="CD262" s="19"/>
    </row>
    <row r="263" spans="12:82" x14ac:dyDescent="0.25">
      <c r="L263" s="17"/>
      <c r="P263" s="17"/>
      <c r="R263" s="16">
        <v>0</v>
      </c>
      <c r="U263" s="16"/>
      <c r="V263" s="16">
        <v>0</v>
      </c>
      <c r="Y263" s="16"/>
      <c r="Z263" s="16"/>
      <c r="AC263" s="16"/>
      <c r="AD263" s="16"/>
      <c r="AG263" s="16"/>
      <c r="AH263" s="16"/>
      <c r="AK263" s="16"/>
      <c r="AL263" s="16"/>
      <c r="AO263" s="16"/>
      <c r="AP263" s="16"/>
      <c r="AS263" s="16"/>
      <c r="AT263" s="16"/>
      <c r="AW263" s="16"/>
      <c r="AX263" s="16"/>
      <c r="BA263" s="16"/>
      <c r="BB263" s="16"/>
      <c r="BH263" s="19"/>
      <c r="CD263" s="19"/>
    </row>
    <row r="264" spans="12:82" x14ac:dyDescent="0.25">
      <c r="L264" s="17"/>
      <c r="P264" s="17"/>
      <c r="R264" s="16">
        <v>0</v>
      </c>
      <c r="U264" s="16"/>
      <c r="V264" s="16">
        <v>0</v>
      </c>
      <c r="Y264" s="16"/>
      <c r="Z264" s="16"/>
      <c r="AC264" s="16"/>
      <c r="AD264" s="16"/>
      <c r="AG264" s="16"/>
      <c r="AH264" s="16"/>
      <c r="AK264" s="16"/>
      <c r="AL264" s="16"/>
      <c r="AO264" s="16"/>
      <c r="AP264" s="16"/>
      <c r="AS264" s="16"/>
      <c r="AT264" s="16"/>
      <c r="AW264" s="16"/>
      <c r="AX264" s="16"/>
      <c r="BA264" s="16"/>
      <c r="BB264" s="16"/>
      <c r="BH264" s="19"/>
      <c r="CD264" s="19"/>
    </row>
    <row r="265" spans="12:82" x14ac:dyDescent="0.25">
      <c r="L265" s="17"/>
      <c r="P265" s="17"/>
      <c r="R265" s="16">
        <v>0</v>
      </c>
      <c r="U265" s="16"/>
      <c r="V265" s="16">
        <v>0</v>
      </c>
      <c r="Y265" s="16"/>
      <c r="Z265" s="16"/>
      <c r="AC265" s="16"/>
      <c r="AD265" s="16"/>
      <c r="AG265" s="16"/>
      <c r="AH265" s="16"/>
      <c r="AK265" s="16"/>
      <c r="AL265" s="16"/>
      <c r="AO265" s="16"/>
      <c r="AP265" s="16"/>
      <c r="AS265" s="16"/>
      <c r="AT265" s="16"/>
      <c r="AW265" s="16"/>
      <c r="AX265" s="16"/>
      <c r="BA265" s="16"/>
      <c r="BB265" s="16"/>
      <c r="BH265" s="19"/>
      <c r="CD265" s="19"/>
    </row>
    <row r="266" spans="12:82" x14ac:dyDescent="0.25">
      <c r="L266" s="17"/>
      <c r="P266" s="17"/>
      <c r="R266" s="16">
        <v>0</v>
      </c>
      <c r="U266" s="16"/>
      <c r="V266" s="16">
        <v>0</v>
      </c>
      <c r="Y266" s="16"/>
      <c r="Z266" s="16"/>
      <c r="AC266" s="16"/>
      <c r="AD266" s="16"/>
      <c r="AG266" s="16"/>
      <c r="AH266" s="16"/>
      <c r="AK266" s="16"/>
      <c r="AL266" s="16"/>
      <c r="AO266" s="16"/>
      <c r="AP266" s="16"/>
      <c r="AS266" s="16"/>
      <c r="AT266" s="16"/>
      <c r="AW266" s="16"/>
      <c r="AX266" s="16"/>
      <c r="BA266" s="16"/>
      <c r="BB266" s="16"/>
      <c r="BH266" s="19"/>
      <c r="CD266" s="19"/>
    </row>
    <row r="267" spans="12:82" x14ac:dyDescent="0.25">
      <c r="L267" s="17"/>
      <c r="P267" s="17"/>
      <c r="R267" s="16">
        <v>0</v>
      </c>
      <c r="U267" s="16"/>
      <c r="V267" s="16">
        <v>0</v>
      </c>
      <c r="Y267" s="16"/>
      <c r="Z267" s="16"/>
      <c r="AC267" s="16"/>
      <c r="AD267" s="16"/>
      <c r="AG267" s="16"/>
      <c r="AH267" s="16"/>
      <c r="AK267" s="16"/>
      <c r="AL267" s="16"/>
      <c r="AO267" s="16"/>
      <c r="AP267" s="16"/>
      <c r="AS267" s="16"/>
      <c r="AT267" s="16"/>
      <c r="AW267" s="16"/>
      <c r="AX267" s="16"/>
      <c r="BA267" s="16"/>
      <c r="BB267" s="16"/>
      <c r="BH267" s="19"/>
      <c r="CD267" s="19"/>
    </row>
    <row r="268" spans="12:82" x14ac:dyDescent="0.25">
      <c r="L268" s="17"/>
      <c r="P268" s="17"/>
      <c r="R268" s="16">
        <v>0</v>
      </c>
      <c r="U268" s="16"/>
      <c r="V268" s="16">
        <v>0</v>
      </c>
      <c r="Y268" s="16"/>
      <c r="Z268" s="16"/>
      <c r="AC268" s="16"/>
      <c r="AD268" s="16"/>
      <c r="AG268" s="16"/>
      <c r="AH268" s="16"/>
      <c r="AK268" s="16"/>
      <c r="AL268" s="16"/>
      <c r="AO268" s="16"/>
      <c r="AP268" s="16"/>
      <c r="AS268" s="16"/>
      <c r="AT268" s="16"/>
      <c r="AW268" s="16"/>
      <c r="AX268" s="16"/>
      <c r="BA268" s="16"/>
      <c r="BB268" s="16"/>
      <c r="BH268" s="19"/>
      <c r="CD268" s="19"/>
    </row>
    <row r="269" spans="12:82" x14ac:dyDescent="0.25">
      <c r="L269" s="17"/>
      <c r="P269" s="17"/>
      <c r="R269" s="16">
        <v>0</v>
      </c>
      <c r="U269" s="16"/>
      <c r="V269" s="16">
        <v>0</v>
      </c>
      <c r="Y269" s="16"/>
      <c r="Z269" s="16"/>
      <c r="AC269" s="16"/>
      <c r="AD269" s="16"/>
      <c r="AG269" s="16"/>
      <c r="AH269" s="16"/>
      <c r="AK269" s="16"/>
      <c r="AL269" s="16"/>
      <c r="AO269" s="16"/>
      <c r="AP269" s="16"/>
      <c r="AS269" s="16"/>
      <c r="AT269" s="16"/>
      <c r="AW269" s="16"/>
      <c r="AX269" s="16"/>
      <c r="BA269" s="16"/>
      <c r="BB269" s="16"/>
      <c r="BH269" s="19"/>
      <c r="CD269" s="19"/>
    </row>
    <row r="270" spans="12:82" x14ac:dyDescent="0.25">
      <c r="L270" s="17"/>
      <c r="P270" s="17"/>
      <c r="R270" s="16">
        <v>0</v>
      </c>
      <c r="U270" s="16"/>
      <c r="V270" s="16">
        <v>0</v>
      </c>
      <c r="Y270" s="16"/>
      <c r="Z270" s="16"/>
      <c r="AC270" s="16"/>
      <c r="AD270" s="16"/>
      <c r="AG270" s="16"/>
      <c r="AH270" s="16"/>
      <c r="AK270" s="16"/>
      <c r="AL270" s="16"/>
      <c r="AO270" s="16"/>
      <c r="AP270" s="16"/>
      <c r="AS270" s="16"/>
      <c r="AT270" s="16"/>
      <c r="AW270" s="16"/>
      <c r="AX270" s="16"/>
      <c r="BA270" s="16"/>
      <c r="BB270" s="16"/>
      <c r="BH270" s="19"/>
      <c r="CD270" s="19"/>
    </row>
    <row r="271" spans="12:82" x14ac:dyDescent="0.25">
      <c r="L271" s="17"/>
      <c r="P271" s="17"/>
      <c r="R271" s="16">
        <v>0</v>
      </c>
      <c r="U271" s="16"/>
      <c r="V271" s="16">
        <v>0</v>
      </c>
      <c r="Y271" s="16"/>
      <c r="Z271" s="16"/>
      <c r="AC271" s="16"/>
      <c r="AD271" s="16"/>
      <c r="AG271" s="16"/>
      <c r="AH271" s="16"/>
      <c r="AK271" s="16"/>
      <c r="AL271" s="16"/>
      <c r="AO271" s="16"/>
      <c r="AP271" s="16"/>
      <c r="AS271" s="16"/>
      <c r="AT271" s="16"/>
      <c r="AW271" s="16"/>
      <c r="AX271" s="16"/>
      <c r="BA271" s="16"/>
      <c r="BB271" s="16"/>
      <c r="BH271" s="19"/>
      <c r="CD271" s="19"/>
    </row>
    <row r="272" spans="12:82" x14ac:dyDescent="0.25">
      <c r="L272" s="17"/>
      <c r="P272" s="17"/>
      <c r="R272" s="16">
        <v>0</v>
      </c>
      <c r="U272" s="16"/>
      <c r="V272" s="16">
        <v>0</v>
      </c>
      <c r="Y272" s="16"/>
      <c r="Z272" s="16"/>
      <c r="AC272" s="16"/>
      <c r="AD272" s="16"/>
      <c r="AG272" s="16"/>
      <c r="AH272" s="16"/>
      <c r="AK272" s="16"/>
      <c r="AL272" s="16"/>
      <c r="AO272" s="16"/>
      <c r="AP272" s="16"/>
      <c r="AS272" s="16"/>
      <c r="AT272" s="16"/>
      <c r="AW272" s="16"/>
      <c r="AX272" s="16"/>
      <c r="BA272" s="16"/>
      <c r="BB272" s="16"/>
      <c r="BH272" s="19"/>
      <c r="CD272" s="19"/>
    </row>
    <row r="273" spans="12:82" x14ac:dyDescent="0.25">
      <c r="L273" s="17"/>
      <c r="P273" s="17"/>
      <c r="R273" s="16">
        <v>0</v>
      </c>
      <c r="U273" s="16"/>
      <c r="V273" s="16">
        <v>0</v>
      </c>
      <c r="Y273" s="16"/>
      <c r="Z273" s="16"/>
      <c r="AC273" s="16"/>
      <c r="AD273" s="16"/>
      <c r="AG273" s="16"/>
      <c r="AH273" s="16"/>
      <c r="AK273" s="16"/>
      <c r="AL273" s="16"/>
      <c r="AO273" s="16"/>
      <c r="AP273" s="16"/>
      <c r="AS273" s="16"/>
      <c r="AT273" s="16"/>
      <c r="AW273" s="16"/>
      <c r="AX273" s="16"/>
      <c r="BA273" s="16"/>
      <c r="BB273" s="16"/>
      <c r="BH273" s="19"/>
      <c r="CD273" s="19"/>
    </row>
    <row r="274" spans="12:82" x14ac:dyDescent="0.25">
      <c r="L274" s="17"/>
      <c r="P274" s="17"/>
      <c r="R274" s="16">
        <v>0</v>
      </c>
      <c r="U274" s="16"/>
      <c r="V274" s="16">
        <v>0</v>
      </c>
      <c r="Y274" s="16"/>
      <c r="Z274" s="16"/>
      <c r="AC274" s="16"/>
      <c r="AD274" s="16"/>
      <c r="AG274" s="16"/>
      <c r="AH274" s="16"/>
      <c r="AK274" s="16"/>
      <c r="AL274" s="16"/>
      <c r="AO274" s="16"/>
      <c r="AP274" s="16"/>
      <c r="AS274" s="16"/>
      <c r="AT274" s="16"/>
      <c r="AW274" s="16"/>
      <c r="AX274" s="16"/>
      <c r="BA274" s="16"/>
      <c r="BB274" s="16"/>
      <c r="BH274" s="19"/>
      <c r="CD274" s="19"/>
    </row>
    <row r="275" spans="12:82" x14ac:dyDescent="0.25">
      <c r="L275" s="17"/>
      <c r="P275" s="17"/>
      <c r="R275" s="16">
        <v>0</v>
      </c>
      <c r="U275" s="16"/>
      <c r="V275" s="16">
        <v>0</v>
      </c>
      <c r="Y275" s="16"/>
      <c r="Z275" s="16"/>
      <c r="AC275" s="16"/>
      <c r="AD275" s="16"/>
      <c r="AG275" s="16"/>
      <c r="AH275" s="16"/>
      <c r="AK275" s="16"/>
      <c r="AL275" s="16"/>
      <c r="AO275" s="16"/>
      <c r="AP275" s="16"/>
      <c r="AS275" s="16"/>
      <c r="AT275" s="16"/>
      <c r="AW275" s="16"/>
      <c r="AX275" s="16"/>
      <c r="BA275" s="16"/>
      <c r="BB275" s="16"/>
      <c r="BH275" s="19"/>
      <c r="CD275" s="19"/>
    </row>
    <row r="276" spans="12:82" x14ac:dyDescent="0.25">
      <c r="L276" s="17"/>
      <c r="P276" s="17"/>
      <c r="R276" s="16">
        <v>0</v>
      </c>
      <c r="U276" s="16"/>
      <c r="V276" s="16">
        <v>0</v>
      </c>
      <c r="Y276" s="16"/>
      <c r="Z276" s="16"/>
      <c r="AC276" s="16"/>
      <c r="AD276" s="16"/>
      <c r="AG276" s="16"/>
      <c r="AH276" s="16"/>
      <c r="AK276" s="16"/>
      <c r="AL276" s="16"/>
      <c r="AO276" s="16"/>
      <c r="AP276" s="16"/>
      <c r="AS276" s="16"/>
      <c r="AT276" s="16"/>
      <c r="AW276" s="16"/>
      <c r="AX276" s="16"/>
      <c r="BA276" s="16"/>
      <c r="BB276" s="16"/>
      <c r="BH276" s="19"/>
      <c r="CD276" s="19"/>
    </row>
    <row r="277" spans="12:82" x14ac:dyDescent="0.25">
      <c r="L277" s="17"/>
      <c r="P277" s="17"/>
      <c r="R277" s="16">
        <v>0</v>
      </c>
      <c r="U277" s="16"/>
      <c r="V277" s="16">
        <v>0</v>
      </c>
      <c r="Y277" s="16"/>
      <c r="Z277" s="16"/>
      <c r="AC277" s="16"/>
      <c r="AD277" s="16"/>
      <c r="AG277" s="16"/>
      <c r="AH277" s="16"/>
      <c r="AK277" s="16"/>
      <c r="AL277" s="16"/>
      <c r="AO277" s="16"/>
      <c r="AP277" s="16"/>
      <c r="AS277" s="16"/>
      <c r="AT277" s="16"/>
      <c r="AW277" s="16"/>
      <c r="AX277" s="16"/>
      <c r="BA277" s="16"/>
      <c r="BB277" s="16"/>
      <c r="BH277" s="19"/>
      <c r="CD277" s="19"/>
    </row>
    <row r="278" spans="12:82" x14ac:dyDescent="0.25">
      <c r="L278" s="17"/>
      <c r="P278" s="17"/>
      <c r="R278" s="16">
        <v>0</v>
      </c>
      <c r="U278" s="16"/>
      <c r="V278" s="16">
        <v>0</v>
      </c>
      <c r="Y278" s="16"/>
      <c r="Z278" s="16"/>
      <c r="AC278" s="16"/>
      <c r="AD278" s="16"/>
      <c r="AG278" s="16"/>
      <c r="AH278" s="16"/>
      <c r="AK278" s="16"/>
      <c r="AL278" s="16"/>
      <c r="AO278" s="16"/>
      <c r="AP278" s="16"/>
      <c r="AS278" s="16"/>
      <c r="AT278" s="16"/>
      <c r="AW278" s="16"/>
      <c r="AX278" s="16"/>
      <c r="BA278" s="16"/>
      <c r="BB278" s="16"/>
      <c r="BH278" s="19"/>
      <c r="CD278" s="19"/>
    </row>
    <row r="279" spans="12:82" x14ac:dyDescent="0.25">
      <c r="L279" s="17"/>
      <c r="P279" s="17"/>
      <c r="R279" s="16">
        <v>0</v>
      </c>
      <c r="U279" s="16"/>
      <c r="V279" s="16">
        <v>0</v>
      </c>
      <c r="Y279" s="16"/>
      <c r="Z279" s="16"/>
      <c r="AC279" s="16"/>
      <c r="AD279" s="16"/>
      <c r="AG279" s="16"/>
      <c r="AH279" s="16"/>
      <c r="AK279" s="16"/>
      <c r="AL279" s="16"/>
      <c r="AO279" s="16"/>
      <c r="AP279" s="16"/>
      <c r="AS279" s="16"/>
      <c r="AT279" s="16"/>
      <c r="AW279" s="16"/>
      <c r="AX279" s="16"/>
      <c r="BA279" s="16"/>
      <c r="BB279" s="16"/>
      <c r="BH279" s="19"/>
      <c r="CD279" s="19"/>
    </row>
    <row r="280" spans="12:82" x14ac:dyDescent="0.25">
      <c r="L280" s="17"/>
      <c r="P280" s="17"/>
      <c r="R280" s="16">
        <v>0</v>
      </c>
      <c r="U280" s="16"/>
      <c r="V280" s="16">
        <v>0</v>
      </c>
      <c r="Y280" s="16"/>
      <c r="Z280" s="16"/>
      <c r="AC280" s="16"/>
      <c r="AD280" s="16"/>
      <c r="AG280" s="16"/>
      <c r="AH280" s="16"/>
      <c r="AK280" s="16"/>
      <c r="AL280" s="16"/>
      <c r="AO280" s="16"/>
      <c r="AP280" s="16"/>
      <c r="AS280" s="16"/>
      <c r="AT280" s="16"/>
      <c r="AW280" s="16"/>
      <c r="AX280" s="16"/>
      <c r="BA280" s="16"/>
      <c r="BB280" s="16"/>
      <c r="BH280" s="19"/>
      <c r="CD280" s="19"/>
    </row>
    <row r="281" spans="12:82" x14ac:dyDescent="0.25">
      <c r="L281" s="17"/>
      <c r="P281" s="17"/>
      <c r="R281" s="16">
        <v>0</v>
      </c>
      <c r="U281" s="16"/>
      <c r="V281" s="16">
        <v>0</v>
      </c>
      <c r="Y281" s="16"/>
      <c r="Z281" s="16"/>
      <c r="AC281" s="16"/>
      <c r="AD281" s="16"/>
      <c r="AG281" s="16"/>
      <c r="AH281" s="16"/>
      <c r="AK281" s="16"/>
      <c r="AL281" s="16"/>
      <c r="AO281" s="16"/>
      <c r="AP281" s="16"/>
      <c r="AS281" s="16"/>
      <c r="AT281" s="16"/>
      <c r="AW281" s="16"/>
      <c r="AX281" s="16"/>
      <c r="BA281" s="16"/>
      <c r="BB281" s="16"/>
      <c r="BH281" s="19"/>
      <c r="CD281" s="19"/>
    </row>
    <row r="282" spans="12:82" x14ac:dyDescent="0.25">
      <c r="L282" s="17"/>
      <c r="P282" s="17"/>
      <c r="R282" s="16">
        <v>0</v>
      </c>
      <c r="U282" s="16"/>
      <c r="V282" s="16">
        <v>0</v>
      </c>
      <c r="Y282" s="16"/>
      <c r="Z282" s="16"/>
      <c r="AC282" s="16"/>
      <c r="AD282" s="16"/>
      <c r="AG282" s="16"/>
      <c r="AH282" s="16"/>
      <c r="AK282" s="16"/>
      <c r="AL282" s="16"/>
      <c r="AO282" s="16"/>
      <c r="AP282" s="16"/>
      <c r="AS282" s="16"/>
      <c r="AT282" s="16"/>
      <c r="AW282" s="16"/>
      <c r="AX282" s="16"/>
      <c r="BA282" s="16"/>
      <c r="BB282" s="16"/>
      <c r="BH282" s="19"/>
      <c r="CD282" s="19"/>
    </row>
    <row r="283" spans="12:82" x14ac:dyDescent="0.25">
      <c r="L283" s="17"/>
      <c r="P283" s="17"/>
      <c r="R283" s="16">
        <v>0</v>
      </c>
      <c r="U283" s="16"/>
      <c r="V283" s="16">
        <v>0</v>
      </c>
      <c r="Y283" s="16"/>
      <c r="Z283" s="16"/>
      <c r="AC283" s="16"/>
      <c r="AD283" s="16"/>
      <c r="AG283" s="16"/>
      <c r="AH283" s="16"/>
      <c r="AK283" s="16"/>
      <c r="AL283" s="16"/>
      <c r="AO283" s="16"/>
      <c r="AP283" s="16"/>
      <c r="AS283" s="16"/>
      <c r="AT283" s="16"/>
      <c r="AW283" s="16"/>
      <c r="AX283" s="16"/>
      <c r="BA283" s="16"/>
      <c r="BB283" s="16"/>
      <c r="BH283" s="19"/>
      <c r="CD283" s="19"/>
    </row>
    <row r="284" spans="12:82" x14ac:dyDescent="0.25">
      <c r="L284" s="17"/>
      <c r="P284" s="17"/>
      <c r="R284" s="16">
        <v>0</v>
      </c>
      <c r="U284" s="16"/>
      <c r="V284" s="16">
        <v>0</v>
      </c>
      <c r="Y284" s="16"/>
      <c r="Z284" s="16"/>
      <c r="AC284" s="16"/>
      <c r="AD284" s="16"/>
      <c r="AG284" s="16"/>
      <c r="AH284" s="16"/>
      <c r="AK284" s="16"/>
      <c r="AL284" s="16"/>
      <c r="AO284" s="16"/>
      <c r="AP284" s="16"/>
      <c r="AS284" s="16"/>
      <c r="AT284" s="16"/>
      <c r="AW284" s="16"/>
      <c r="AX284" s="16"/>
      <c r="BA284" s="16"/>
      <c r="BB284" s="16"/>
      <c r="BH284" s="19"/>
      <c r="CD284" s="19"/>
    </row>
    <row r="285" spans="12:82" x14ac:dyDescent="0.25">
      <c r="L285" s="17"/>
      <c r="P285" s="17"/>
      <c r="R285" s="16">
        <v>0</v>
      </c>
      <c r="U285" s="16"/>
      <c r="V285" s="16">
        <v>0</v>
      </c>
      <c r="Y285" s="16"/>
      <c r="Z285" s="16"/>
      <c r="AC285" s="16"/>
      <c r="AD285" s="16"/>
      <c r="AG285" s="16"/>
      <c r="AH285" s="16"/>
      <c r="AK285" s="16"/>
      <c r="AL285" s="16"/>
      <c r="AO285" s="16"/>
      <c r="AP285" s="16"/>
      <c r="AS285" s="16"/>
      <c r="AT285" s="16"/>
      <c r="AW285" s="16"/>
      <c r="AX285" s="16"/>
      <c r="BA285" s="16"/>
      <c r="BB285" s="16"/>
      <c r="BH285" s="19"/>
      <c r="CD285" s="19"/>
    </row>
    <row r="286" spans="12:82" x14ac:dyDescent="0.25">
      <c r="L286" s="17"/>
      <c r="P286" s="17"/>
      <c r="R286" s="16">
        <v>0</v>
      </c>
      <c r="U286" s="16"/>
      <c r="V286" s="16">
        <v>0</v>
      </c>
      <c r="Y286" s="16"/>
      <c r="Z286" s="16"/>
      <c r="AC286" s="16"/>
      <c r="AD286" s="16"/>
      <c r="AG286" s="16"/>
      <c r="AH286" s="16"/>
      <c r="AK286" s="16"/>
      <c r="AL286" s="16"/>
      <c r="AO286" s="16"/>
      <c r="AP286" s="16"/>
      <c r="AS286" s="16"/>
      <c r="AT286" s="16"/>
      <c r="AW286" s="16"/>
      <c r="AX286" s="16"/>
      <c r="BA286" s="16"/>
      <c r="BB286" s="16"/>
      <c r="BH286" s="19"/>
      <c r="CD286" s="19"/>
    </row>
    <row r="287" spans="12:82" x14ac:dyDescent="0.25">
      <c r="L287" s="17"/>
      <c r="P287" s="17"/>
      <c r="R287" s="16">
        <v>0</v>
      </c>
      <c r="U287" s="16"/>
      <c r="V287" s="16">
        <v>0</v>
      </c>
      <c r="Y287" s="16"/>
      <c r="Z287" s="16"/>
      <c r="AC287" s="16"/>
      <c r="AD287" s="16"/>
      <c r="AG287" s="16"/>
      <c r="AH287" s="16"/>
      <c r="AK287" s="16"/>
      <c r="AL287" s="16"/>
      <c r="AO287" s="16"/>
      <c r="AP287" s="16"/>
      <c r="AS287" s="16"/>
      <c r="AT287" s="16"/>
      <c r="AW287" s="16"/>
      <c r="AX287" s="16"/>
      <c r="BA287" s="16"/>
      <c r="BB287" s="16"/>
      <c r="BH287" s="19"/>
      <c r="CD287" s="19"/>
    </row>
    <row r="288" spans="12:82" x14ac:dyDescent="0.25">
      <c r="L288" s="17"/>
      <c r="P288" s="17"/>
      <c r="R288" s="16">
        <v>0</v>
      </c>
      <c r="U288" s="16"/>
      <c r="V288" s="16">
        <v>0</v>
      </c>
      <c r="Y288" s="16"/>
      <c r="Z288" s="16"/>
      <c r="AC288" s="16"/>
      <c r="AD288" s="16"/>
      <c r="AG288" s="16"/>
      <c r="AH288" s="16"/>
      <c r="AK288" s="16"/>
      <c r="AL288" s="16"/>
      <c r="AO288" s="16"/>
      <c r="AP288" s="16"/>
      <c r="AS288" s="16"/>
      <c r="AT288" s="16"/>
      <c r="AW288" s="16"/>
      <c r="AX288" s="16"/>
      <c r="BA288" s="16"/>
      <c r="BB288" s="16"/>
      <c r="BH288" s="19"/>
      <c r="CD288" s="19"/>
    </row>
    <row r="289" spans="12:82" x14ac:dyDescent="0.25">
      <c r="L289" s="17"/>
      <c r="P289" s="17"/>
      <c r="R289" s="16">
        <v>0</v>
      </c>
      <c r="U289" s="16"/>
      <c r="V289" s="16">
        <v>0</v>
      </c>
      <c r="Y289" s="16"/>
      <c r="Z289" s="16"/>
      <c r="AC289" s="16"/>
      <c r="AD289" s="16"/>
      <c r="AG289" s="16"/>
      <c r="AH289" s="16"/>
      <c r="AK289" s="16"/>
      <c r="AL289" s="16"/>
      <c r="AO289" s="16"/>
      <c r="AP289" s="16"/>
      <c r="AS289" s="16"/>
      <c r="AT289" s="16"/>
      <c r="AW289" s="16"/>
      <c r="AX289" s="16"/>
      <c r="BA289" s="16"/>
      <c r="BB289" s="16"/>
      <c r="BH289" s="19"/>
      <c r="CD289" s="19"/>
    </row>
    <row r="290" spans="12:82" x14ac:dyDescent="0.25">
      <c r="L290" s="17"/>
      <c r="P290" s="17"/>
      <c r="R290" s="16">
        <v>0</v>
      </c>
      <c r="U290" s="16"/>
      <c r="V290" s="16">
        <v>0</v>
      </c>
      <c r="Y290" s="16"/>
      <c r="Z290" s="16"/>
      <c r="AC290" s="16"/>
      <c r="AD290" s="16"/>
      <c r="AG290" s="16"/>
      <c r="AH290" s="16"/>
      <c r="AK290" s="16"/>
      <c r="AL290" s="16"/>
      <c r="AO290" s="16"/>
      <c r="AP290" s="16"/>
      <c r="AS290" s="16"/>
      <c r="AT290" s="16"/>
      <c r="AW290" s="16"/>
      <c r="AX290" s="16"/>
      <c r="BA290" s="16"/>
      <c r="BB290" s="16"/>
      <c r="BH290" s="19"/>
      <c r="CD290" s="19"/>
    </row>
    <row r="291" spans="12:82" x14ac:dyDescent="0.25">
      <c r="L291" s="17"/>
      <c r="P291" s="17"/>
      <c r="R291" s="16">
        <v>0</v>
      </c>
      <c r="U291" s="16"/>
      <c r="V291" s="16">
        <v>0</v>
      </c>
      <c r="Y291" s="16"/>
      <c r="Z291" s="16"/>
      <c r="AC291" s="16"/>
      <c r="AD291" s="16"/>
      <c r="AG291" s="16"/>
      <c r="AH291" s="16"/>
      <c r="AK291" s="16"/>
      <c r="AL291" s="16"/>
      <c r="AO291" s="16"/>
      <c r="AP291" s="16"/>
      <c r="AS291" s="16"/>
      <c r="AT291" s="16"/>
      <c r="AW291" s="16"/>
      <c r="AX291" s="16"/>
      <c r="BA291" s="16"/>
      <c r="BB291" s="16"/>
      <c r="BH291" s="19"/>
      <c r="CD291" s="19"/>
    </row>
    <row r="292" spans="12:82" x14ac:dyDescent="0.25">
      <c r="L292" s="17"/>
      <c r="P292" s="17"/>
      <c r="R292" s="16">
        <v>0</v>
      </c>
      <c r="U292" s="16"/>
      <c r="V292" s="16">
        <v>0</v>
      </c>
      <c r="Y292" s="16"/>
      <c r="Z292" s="16"/>
      <c r="AC292" s="16"/>
      <c r="AD292" s="16"/>
      <c r="AG292" s="16"/>
      <c r="AH292" s="16"/>
      <c r="AK292" s="16"/>
      <c r="AL292" s="16"/>
      <c r="AO292" s="16"/>
      <c r="AP292" s="16"/>
      <c r="AS292" s="16"/>
      <c r="AT292" s="16"/>
      <c r="AW292" s="16"/>
      <c r="AX292" s="16"/>
      <c r="BA292" s="16"/>
      <c r="BB292" s="16"/>
      <c r="BH292" s="19"/>
      <c r="CD292" s="19"/>
    </row>
    <row r="293" spans="12:82" x14ac:dyDescent="0.25">
      <c r="L293" s="17"/>
      <c r="P293" s="17"/>
      <c r="R293" s="16">
        <v>0</v>
      </c>
      <c r="U293" s="16"/>
      <c r="V293" s="16">
        <v>0</v>
      </c>
      <c r="Y293" s="16"/>
      <c r="Z293" s="16"/>
      <c r="AC293" s="16"/>
      <c r="AD293" s="16"/>
      <c r="AG293" s="16"/>
      <c r="AH293" s="16"/>
      <c r="AK293" s="16"/>
      <c r="AL293" s="16"/>
      <c r="AO293" s="16"/>
      <c r="AP293" s="16"/>
      <c r="AS293" s="16"/>
      <c r="AT293" s="16"/>
      <c r="AW293" s="16"/>
      <c r="AX293" s="16"/>
      <c r="BA293" s="16"/>
      <c r="BB293" s="16"/>
      <c r="BH293" s="19"/>
      <c r="CD293" s="19"/>
    </row>
    <row r="294" spans="12:82" x14ac:dyDescent="0.25">
      <c r="L294" s="17"/>
      <c r="P294" s="17"/>
      <c r="R294" s="16">
        <v>0</v>
      </c>
      <c r="U294" s="16"/>
      <c r="V294" s="16">
        <v>0</v>
      </c>
      <c r="Y294" s="16"/>
      <c r="Z294" s="16"/>
      <c r="AC294" s="16"/>
      <c r="AD294" s="16"/>
      <c r="AG294" s="16"/>
      <c r="AH294" s="16"/>
      <c r="AK294" s="16"/>
      <c r="AL294" s="16"/>
      <c r="AO294" s="16"/>
      <c r="AP294" s="16"/>
      <c r="AS294" s="16"/>
      <c r="AT294" s="16"/>
      <c r="AW294" s="16"/>
      <c r="AX294" s="16"/>
      <c r="BA294" s="16"/>
      <c r="BB294" s="16"/>
      <c r="BH294" s="19"/>
      <c r="CD294" s="19"/>
    </row>
    <row r="295" spans="12:82" x14ac:dyDescent="0.25">
      <c r="L295" s="17"/>
      <c r="P295" s="17"/>
      <c r="R295" s="16">
        <v>0</v>
      </c>
      <c r="U295" s="16"/>
      <c r="V295" s="16">
        <v>0</v>
      </c>
      <c r="Y295" s="16"/>
      <c r="Z295" s="16"/>
      <c r="AC295" s="16"/>
      <c r="AD295" s="16"/>
      <c r="AG295" s="16"/>
      <c r="AH295" s="16"/>
      <c r="AK295" s="16"/>
      <c r="AL295" s="16"/>
      <c r="AO295" s="16"/>
      <c r="AP295" s="16"/>
      <c r="AS295" s="16"/>
      <c r="AT295" s="16"/>
      <c r="AW295" s="16"/>
      <c r="AX295" s="16"/>
      <c r="BA295" s="16"/>
      <c r="BB295" s="16"/>
      <c r="BH295" s="19"/>
      <c r="CD295" s="19"/>
    </row>
    <row r="296" spans="12:82" x14ac:dyDescent="0.25">
      <c r="L296" s="17"/>
      <c r="P296" s="17"/>
      <c r="R296" s="16">
        <v>0</v>
      </c>
      <c r="U296" s="16"/>
      <c r="V296" s="16">
        <v>0</v>
      </c>
      <c r="Y296" s="16"/>
      <c r="Z296" s="16"/>
      <c r="AC296" s="16"/>
      <c r="AD296" s="16"/>
      <c r="AG296" s="16"/>
      <c r="AH296" s="16"/>
      <c r="AK296" s="16"/>
      <c r="AL296" s="16"/>
      <c r="AO296" s="16"/>
      <c r="AP296" s="16"/>
      <c r="AS296" s="16"/>
      <c r="AT296" s="16"/>
      <c r="AW296" s="16"/>
      <c r="AX296" s="16"/>
      <c r="BA296" s="16"/>
      <c r="BB296" s="16"/>
      <c r="BH296" s="19"/>
      <c r="CD296" s="19"/>
    </row>
    <row r="297" spans="12:82" x14ac:dyDescent="0.25">
      <c r="L297" s="17"/>
      <c r="P297" s="17"/>
      <c r="R297" s="16">
        <v>0</v>
      </c>
      <c r="U297" s="16"/>
      <c r="V297" s="16">
        <v>0</v>
      </c>
      <c r="Y297" s="16"/>
      <c r="Z297" s="16"/>
      <c r="AC297" s="16"/>
      <c r="AD297" s="16"/>
      <c r="AG297" s="16"/>
      <c r="AH297" s="16"/>
      <c r="AK297" s="16"/>
      <c r="AL297" s="16"/>
      <c r="AO297" s="16"/>
      <c r="AP297" s="16"/>
      <c r="AS297" s="16"/>
      <c r="AT297" s="16"/>
      <c r="AW297" s="16"/>
      <c r="AX297" s="16"/>
      <c r="BA297" s="16"/>
      <c r="BB297" s="16"/>
      <c r="BH297" s="19"/>
      <c r="CD297" s="19"/>
    </row>
    <row r="298" spans="12:82" x14ac:dyDescent="0.25">
      <c r="L298" s="17"/>
      <c r="P298" s="17"/>
      <c r="R298" s="16">
        <v>0</v>
      </c>
      <c r="U298" s="16"/>
      <c r="V298" s="16">
        <v>0</v>
      </c>
      <c r="Y298" s="16"/>
      <c r="Z298" s="16"/>
      <c r="AC298" s="16"/>
      <c r="AD298" s="16"/>
      <c r="AG298" s="16"/>
      <c r="AH298" s="16"/>
      <c r="AK298" s="16"/>
      <c r="AL298" s="16"/>
      <c r="AO298" s="16"/>
      <c r="AP298" s="16"/>
      <c r="AS298" s="16"/>
      <c r="AT298" s="16"/>
      <c r="AW298" s="16"/>
      <c r="AX298" s="16"/>
      <c r="BA298" s="16"/>
      <c r="BB298" s="16"/>
      <c r="BH298" s="19"/>
      <c r="CD298" s="19"/>
    </row>
    <row r="299" spans="12:82" x14ac:dyDescent="0.25">
      <c r="L299" s="17"/>
      <c r="P299" s="17"/>
      <c r="R299" s="16">
        <v>0</v>
      </c>
      <c r="U299" s="16"/>
      <c r="V299" s="16">
        <v>0</v>
      </c>
      <c r="Y299" s="16"/>
      <c r="Z299" s="16"/>
      <c r="AC299" s="16"/>
      <c r="AD299" s="16"/>
      <c r="AG299" s="16"/>
      <c r="AH299" s="16"/>
      <c r="AK299" s="16"/>
      <c r="AL299" s="16"/>
      <c r="AO299" s="16"/>
      <c r="AP299" s="16"/>
      <c r="AS299" s="16"/>
      <c r="AT299" s="16"/>
      <c r="AW299" s="16"/>
      <c r="AX299" s="16"/>
      <c r="BA299" s="16"/>
      <c r="BB299" s="16"/>
      <c r="BH299" s="19"/>
      <c r="CD299" s="19"/>
    </row>
    <row r="300" spans="12:82" x14ac:dyDescent="0.25">
      <c r="L300" s="17"/>
      <c r="P300" s="17"/>
      <c r="R300" s="16">
        <v>0</v>
      </c>
      <c r="U300" s="16"/>
      <c r="V300" s="16">
        <v>0</v>
      </c>
      <c r="Y300" s="16"/>
      <c r="Z300" s="16"/>
      <c r="AC300" s="16"/>
      <c r="AD300" s="16"/>
      <c r="AG300" s="16"/>
      <c r="AH300" s="16"/>
      <c r="AK300" s="16"/>
      <c r="AL300" s="16"/>
      <c r="AO300" s="16"/>
      <c r="AP300" s="16"/>
      <c r="AS300" s="16"/>
      <c r="AT300" s="16"/>
      <c r="AW300" s="16"/>
      <c r="AX300" s="16"/>
      <c r="BA300" s="16"/>
      <c r="BB300" s="16"/>
      <c r="BH300" s="19"/>
      <c r="CD300" s="19"/>
    </row>
    <row r="301" spans="12:82" x14ac:dyDescent="0.25">
      <c r="L301" s="17"/>
      <c r="P301" s="17"/>
      <c r="R301" s="16">
        <v>0</v>
      </c>
      <c r="U301" s="16"/>
      <c r="V301" s="16">
        <v>0</v>
      </c>
      <c r="Y301" s="16"/>
      <c r="Z301" s="16"/>
      <c r="AC301" s="16"/>
      <c r="AD301" s="16"/>
      <c r="AG301" s="16"/>
      <c r="AH301" s="16"/>
      <c r="AK301" s="16"/>
      <c r="AL301" s="16"/>
      <c r="AO301" s="16"/>
      <c r="AP301" s="16"/>
      <c r="AS301" s="16"/>
      <c r="AT301" s="16"/>
      <c r="AW301" s="16"/>
      <c r="AX301" s="16"/>
      <c r="BA301" s="16"/>
      <c r="BB301" s="16"/>
      <c r="BH301" s="19"/>
      <c r="CD301" s="19"/>
    </row>
    <row r="302" spans="12:82" x14ac:dyDescent="0.25">
      <c r="L302" s="17"/>
      <c r="P302" s="17"/>
      <c r="R302" s="16">
        <v>0</v>
      </c>
      <c r="U302" s="16"/>
      <c r="V302" s="16">
        <v>0</v>
      </c>
      <c r="Y302" s="16"/>
      <c r="Z302" s="16"/>
      <c r="AC302" s="16"/>
      <c r="AD302" s="16"/>
      <c r="AG302" s="16"/>
      <c r="AH302" s="16"/>
      <c r="AK302" s="16"/>
      <c r="AL302" s="16"/>
      <c r="AO302" s="16"/>
      <c r="AP302" s="16"/>
      <c r="AS302" s="16"/>
      <c r="AT302" s="16"/>
      <c r="AW302" s="16"/>
      <c r="AX302" s="16"/>
      <c r="BA302" s="16"/>
      <c r="BB302" s="16"/>
      <c r="BH302" s="19"/>
      <c r="CD302" s="19"/>
    </row>
    <row r="303" spans="12:82" x14ac:dyDescent="0.25">
      <c r="L303" s="17"/>
      <c r="P303" s="17"/>
      <c r="R303" s="16">
        <v>0</v>
      </c>
      <c r="U303" s="16"/>
      <c r="V303" s="16">
        <v>0</v>
      </c>
      <c r="Y303" s="16"/>
      <c r="Z303" s="16"/>
      <c r="AC303" s="16"/>
      <c r="AD303" s="16"/>
      <c r="AG303" s="16"/>
      <c r="AH303" s="16"/>
      <c r="AK303" s="16"/>
      <c r="AL303" s="16"/>
      <c r="AO303" s="16"/>
      <c r="AP303" s="16"/>
      <c r="AS303" s="16"/>
      <c r="AT303" s="16"/>
      <c r="AW303" s="16"/>
      <c r="AX303" s="16"/>
      <c r="BA303" s="16"/>
      <c r="BB303" s="16"/>
      <c r="BH303" s="19"/>
      <c r="CD303" s="19"/>
    </row>
    <row r="304" spans="12:82" x14ac:dyDescent="0.25">
      <c r="L304" s="17"/>
      <c r="P304" s="17"/>
      <c r="R304" s="16">
        <v>0</v>
      </c>
      <c r="U304" s="16"/>
      <c r="V304" s="16">
        <v>0</v>
      </c>
      <c r="Y304" s="16"/>
      <c r="Z304" s="16"/>
      <c r="AC304" s="16"/>
      <c r="AD304" s="16"/>
      <c r="AG304" s="16"/>
      <c r="AH304" s="16"/>
      <c r="AK304" s="16"/>
      <c r="AL304" s="16"/>
      <c r="AO304" s="16"/>
      <c r="AP304" s="16"/>
      <c r="AS304" s="16"/>
      <c r="AT304" s="16"/>
      <c r="AW304" s="16"/>
      <c r="AX304" s="16"/>
      <c r="BA304" s="16"/>
      <c r="BB304" s="16"/>
      <c r="BH304" s="19"/>
      <c r="CD304" s="19"/>
    </row>
    <row r="305" spans="12:82" x14ac:dyDescent="0.25">
      <c r="L305" s="17"/>
      <c r="P305" s="17"/>
      <c r="R305" s="16">
        <v>0</v>
      </c>
      <c r="U305" s="16"/>
      <c r="V305" s="16">
        <v>0</v>
      </c>
      <c r="Y305" s="16"/>
      <c r="Z305" s="16"/>
      <c r="AC305" s="16"/>
      <c r="AD305" s="16"/>
      <c r="AG305" s="16"/>
      <c r="AH305" s="16"/>
      <c r="AK305" s="16"/>
      <c r="AL305" s="16"/>
      <c r="AO305" s="16"/>
      <c r="AP305" s="16"/>
      <c r="AS305" s="16"/>
      <c r="AT305" s="16"/>
      <c r="AW305" s="16"/>
      <c r="AX305" s="16"/>
      <c r="BA305" s="16"/>
      <c r="BB305" s="16"/>
      <c r="BH305" s="19"/>
      <c r="CD305" s="19"/>
    </row>
    <row r="306" spans="12:82" x14ac:dyDescent="0.25">
      <c r="L306" s="17"/>
      <c r="P306" s="17"/>
      <c r="R306" s="16">
        <v>0</v>
      </c>
      <c r="U306" s="16"/>
      <c r="V306" s="16">
        <v>0</v>
      </c>
      <c r="Y306" s="16"/>
      <c r="Z306" s="16"/>
      <c r="AC306" s="16"/>
      <c r="AD306" s="16"/>
      <c r="AG306" s="16"/>
      <c r="AH306" s="16"/>
      <c r="AK306" s="16"/>
      <c r="AL306" s="16"/>
      <c r="AO306" s="16"/>
      <c r="AP306" s="16"/>
      <c r="AS306" s="16"/>
      <c r="AT306" s="16"/>
      <c r="AW306" s="16"/>
      <c r="AX306" s="16"/>
      <c r="BA306" s="16"/>
      <c r="BB306" s="16"/>
      <c r="BH306" s="19"/>
      <c r="CD306" s="19"/>
    </row>
    <row r="307" spans="12:82" x14ac:dyDescent="0.25">
      <c r="L307" s="17"/>
      <c r="P307" s="17"/>
      <c r="R307" s="16">
        <v>0</v>
      </c>
      <c r="U307" s="16"/>
      <c r="V307" s="16">
        <v>0</v>
      </c>
      <c r="Y307" s="16"/>
      <c r="Z307" s="16"/>
      <c r="AC307" s="16"/>
      <c r="AD307" s="16"/>
      <c r="AG307" s="16"/>
      <c r="AH307" s="16"/>
      <c r="AK307" s="16"/>
      <c r="AL307" s="16"/>
      <c r="AO307" s="16"/>
      <c r="AP307" s="16"/>
      <c r="AS307" s="16"/>
      <c r="AT307" s="16"/>
      <c r="AW307" s="16"/>
      <c r="AX307" s="16"/>
      <c r="BA307" s="16"/>
      <c r="BB307" s="16"/>
      <c r="BH307" s="19"/>
      <c r="CD307" s="19"/>
    </row>
    <row r="308" spans="12:82" x14ac:dyDescent="0.25">
      <c r="L308" s="17"/>
      <c r="P308" s="17"/>
      <c r="R308" s="16">
        <v>0</v>
      </c>
      <c r="U308" s="16"/>
      <c r="V308" s="16">
        <v>0</v>
      </c>
      <c r="Y308" s="16"/>
      <c r="Z308" s="16"/>
      <c r="AC308" s="16"/>
      <c r="AD308" s="16"/>
      <c r="AG308" s="16"/>
      <c r="AH308" s="16"/>
      <c r="AK308" s="16"/>
      <c r="AL308" s="16"/>
      <c r="AO308" s="16"/>
      <c r="AP308" s="16"/>
      <c r="AS308" s="16"/>
      <c r="AT308" s="16"/>
      <c r="AW308" s="16"/>
      <c r="AX308" s="16"/>
      <c r="BA308" s="16"/>
      <c r="BB308" s="16"/>
      <c r="BH308" s="19"/>
      <c r="CD308" s="19"/>
    </row>
    <row r="309" spans="12:82" x14ac:dyDescent="0.25">
      <c r="L309" s="17"/>
      <c r="P309" s="17"/>
      <c r="R309" s="16">
        <v>0</v>
      </c>
      <c r="U309" s="16"/>
      <c r="V309" s="16">
        <v>0</v>
      </c>
      <c r="Y309" s="16"/>
      <c r="Z309" s="16"/>
      <c r="AC309" s="16"/>
      <c r="AD309" s="16"/>
      <c r="AG309" s="16"/>
      <c r="AH309" s="16"/>
      <c r="AK309" s="16"/>
      <c r="AL309" s="16"/>
      <c r="AO309" s="16"/>
      <c r="AP309" s="16"/>
      <c r="AS309" s="16"/>
      <c r="AT309" s="16"/>
      <c r="AW309" s="16"/>
      <c r="AX309" s="16"/>
      <c r="BA309" s="16"/>
      <c r="BB309" s="16"/>
      <c r="BH309" s="19"/>
      <c r="CD309" s="19"/>
    </row>
    <row r="310" spans="12:82" x14ac:dyDescent="0.25">
      <c r="L310" s="17"/>
      <c r="P310" s="17"/>
      <c r="R310" s="16">
        <v>0</v>
      </c>
      <c r="U310" s="16"/>
      <c r="V310" s="16">
        <v>0</v>
      </c>
      <c r="Y310" s="16"/>
      <c r="Z310" s="16"/>
      <c r="AC310" s="16"/>
      <c r="AD310" s="16"/>
      <c r="AG310" s="16"/>
      <c r="AH310" s="16"/>
      <c r="AK310" s="16"/>
      <c r="AL310" s="16"/>
      <c r="AO310" s="16"/>
      <c r="AP310" s="16"/>
      <c r="AS310" s="16"/>
      <c r="AT310" s="16"/>
      <c r="AW310" s="16"/>
      <c r="AX310" s="16"/>
      <c r="BA310" s="16"/>
      <c r="BB310" s="16"/>
      <c r="BH310" s="19"/>
      <c r="CD310" s="19"/>
    </row>
    <row r="311" spans="12:82" x14ac:dyDescent="0.25">
      <c r="L311" s="17"/>
      <c r="P311" s="17"/>
      <c r="R311" s="16">
        <v>0</v>
      </c>
      <c r="U311" s="16"/>
      <c r="V311" s="16">
        <v>0</v>
      </c>
      <c r="Y311" s="16"/>
      <c r="Z311" s="16"/>
      <c r="AC311" s="16"/>
      <c r="AD311" s="16"/>
      <c r="AG311" s="16"/>
      <c r="AH311" s="16"/>
      <c r="AK311" s="16"/>
      <c r="AL311" s="16"/>
      <c r="AO311" s="16"/>
      <c r="AP311" s="16"/>
      <c r="AS311" s="16"/>
      <c r="AT311" s="16"/>
      <c r="AW311" s="16"/>
      <c r="AX311" s="16"/>
      <c r="BA311" s="16"/>
      <c r="BB311" s="16"/>
      <c r="BH311" s="19"/>
      <c r="CD311" s="19"/>
    </row>
    <row r="312" spans="12:82" x14ac:dyDescent="0.25">
      <c r="L312" s="17"/>
      <c r="P312" s="17"/>
      <c r="R312" s="16">
        <v>0</v>
      </c>
      <c r="U312" s="16"/>
      <c r="V312" s="16">
        <v>0</v>
      </c>
      <c r="Y312" s="16"/>
      <c r="Z312" s="16"/>
      <c r="AC312" s="16"/>
      <c r="AD312" s="16"/>
      <c r="AG312" s="16"/>
      <c r="AH312" s="16"/>
      <c r="AK312" s="16"/>
      <c r="AL312" s="16"/>
      <c r="AO312" s="16"/>
      <c r="AP312" s="16"/>
      <c r="AS312" s="16"/>
      <c r="AT312" s="16"/>
      <c r="AW312" s="16"/>
      <c r="AX312" s="16"/>
      <c r="BA312" s="16"/>
      <c r="BB312" s="16"/>
      <c r="BH312" s="19"/>
      <c r="CD312" s="19"/>
    </row>
    <row r="313" spans="12:82" x14ac:dyDescent="0.25">
      <c r="L313" s="17"/>
      <c r="P313" s="17"/>
      <c r="R313" s="16">
        <v>0</v>
      </c>
      <c r="U313" s="16"/>
      <c r="V313" s="16">
        <v>0</v>
      </c>
      <c r="Y313" s="16"/>
      <c r="Z313" s="16"/>
      <c r="AC313" s="16"/>
      <c r="AD313" s="16"/>
      <c r="AG313" s="16"/>
      <c r="AH313" s="16"/>
      <c r="AK313" s="16"/>
      <c r="AL313" s="16"/>
      <c r="AO313" s="16"/>
      <c r="AP313" s="16"/>
      <c r="AS313" s="16"/>
      <c r="AT313" s="16"/>
      <c r="AW313" s="16"/>
      <c r="AX313" s="16"/>
      <c r="BA313" s="16"/>
      <c r="BB313" s="16"/>
      <c r="BH313" s="19"/>
      <c r="CD313" s="19"/>
    </row>
    <row r="314" spans="12:82" x14ac:dyDescent="0.25">
      <c r="L314" s="17"/>
      <c r="P314" s="17"/>
      <c r="R314" s="16">
        <v>0</v>
      </c>
      <c r="U314" s="16"/>
      <c r="V314" s="16">
        <v>0</v>
      </c>
      <c r="Y314" s="16"/>
      <c r="Z314" s="16"/>
      <c r="AC314" s="16"/>
      <c r="AD314" s="16"/>
      <c r="AG314" s="16"/>
      <c r="AH314" s="16"/>
      <c r="AK314" s="16"/>
      <c r="AL314" s="16"/>
      <c r="AO314" s="16"/>
      <c r="AP314" s="16"/>
      <c r="AS314" s="16"/>
      <c r="AT314" s="16"/>
      <c r="AW314" s="16"/>
      <c r="AX314" s="16"/>
      <c r="BA314" s="16"/>
      <c r="BB314" s="16"/>
      <c r="BH314" s="19"/>
      <c r="CD314" s="19"/>
    </row>
    <row r="315" spans="12:82" x14ac:dyDescent="0.25">
      <c r="L315" s="17"/>
      <c r="P315" s="17"/>
      <c r="R315" s="16">
        <v>0</v>
      </c>
      <c r="U315" s="16"/>
      <c r="V315" s="16">
        <v>0</v>
      </c>
      <c r="Y315" s="16"/>
      <c r="Z315" s="16"/>
      <c r="AC315" s="16"/>
      <c r="AD315" s="16"/>
      <c r="AG315" s="16"/>
      <c r="AH315" s="16"/>
      <c r="AK315" s="16"/>
      <c r="AL315" s="16"/>
      <c r="AO315" s="16"/>
      <c r="AP315" s="16"/>
      <c r="AS315" s="16"/>
      <c r="AT315" s="16"/>
      <c r="AW315" s="16"/>
      <c r="AX315" s="16"/>
      <c r="BA315" s="16"/>
      <c r="BB315" s="16"/>
      <c r="BH315" s="19"/>
      <c r="CD315" s="19"/>
    </row>
    <row r="316" spans="12:82" x14ac:dyDescent="0.25">
      <c r="L316" s="17"/>
      <c r="P316" s="17"/>
      <c r="R316" s="16">
        <v>0</v>
      </c>
      <c r="U316" s="16"/>
      <c r="V316" s="16">
        <v>0</v>
      </c>
      <c r="Y316" s="16"/>
      <c r="Z316" s="16"/>
      <c r="AC316" s="16"/>
      <c r="AD316" s="16"/>
      <c r="AG316" s="16"/>
      <c r="AH316" s="16"/>
      <c r="AK316" s="16"/>
      <c r="AL316" s="16"/>
      <c r="AO316" s="16"/>
      <c r="AP316" s="16"/>
      <c r="AS316" s="16"/>
      <c r="AT316" s="16"/>
      <c r="AW316" s="16"/>
      <c r="AX316" s="16"/>
      <c r="BA316" s="16"/>
      <c r="BB316" s="16"/>
      <c r="BH316" s="19"/>
      <c r="CD316" s="19"/>
    </row>
    <row r="317" spans="12:82" x14ac:dyDescent="0.25">
      <c r="L317" s="17"/>
      <c r="P317" s="17"/>
      <c r="R317" s="16">
        <v>0</v>
      </c>
      <c r="U317" s="16"/>
      <c r="V317" s="16">
        <v>0</v>
      </c>
      <c r="Y317" s="16"/>
      <c r="Z317" s="16"/>
      <c r="AC317" s="16"/>
      <c r="AD317" s="16"/>
      <c r="AG317" s="16"/>
      <c r="AH317" s="16"/>
      <c r="AK317" s="16"/>
      <c r="AL317" s="16"/>
      <c r="AO317" s="16"/>
      <c r="AP317" s="16"/>
      <c r="AS317" s="16"/>
      <c r="AT317" s="16"/>
      <c r="AW317" s="16"/>
      <c r="AX317" s="16"/>
      <c r="BA317" s="16"/>
      <c r="BB317" s="16"/>
      <c r="BH317" s="19"/>
      <c r="CD317" s="19"/>
    </row>
    <row r="318" spans="12:82" x14ac:dyDescent="0.25">
      <c r="L318" s="17"/>
      <c r="P318" s="17"/>
      <c r="R318" s="16">
        <v>0</v>
      </c>
      <c r="U318" s="16"/>
      <c r="V318" s="16">
        <v>0</v>
      </c>
      <c r="Y318" s="16"/>
      <c r="Z318" s="16"/>
      <c r="AC318" s="16"/>
      <c r="AD318" s="16"/>
      <c r="AG318" s="16"/>
      <c r="AH318" s="16"/>
      <c r="AK318" s="16"/>
      <c r="AL318" s="16"/>
      <c r="AO318" s="16"/>
      <c r="AP318" s="16"/>
      <c r="AS318" s="16"/>
      <c r="AT318" s="16"/>
      <c r="AW318" s="16"/>
      <c r="AX318" s="16"/>
      <c r="BA318" s="16"/>
      <c r="BB318" s="16"/>
      <c r="BH318" s="19"/>
      <c r="CD318" s="19"/>
    </row>
    <row r="319" spans="12:82" x14ac:dyDescent="0.25">
      <c r="L319" s="17"/>
      <c r="P319" s="17"/>
      <c r="R319" s="16">
        <v>0</v>
      </c>
      <c r="U319" s="16"/>
      <c r="V319" s="16">
        <v>0</v>
      </c>
      <c r="Y319" s="16"/>
      <c r="Z319" s="16"/>
      <c r="AC319" s="16"/>
      <c r="AD319" s="16"/>
      <c r="AG319" s="16"/>
      <c r="AH319" s="16"/>
      <c r="AK319" s="16"/>
      <c r="AL319" s="16"/>
      <c r="AO319" s="16"/>
      <c r="AP319" s="16"/>
      <c r="AS319" s="16"/>
      <c r="AT319" s="16"/>
      <c r="AW319" s="16"/>
      <c r="AX319" s="16"/>
      <c r="BA319" s="16"/>
      <c r="BB319" s="16"/>
      <c r="BH319" s="19"/>
      <c r="CD319" s="19"/>
    </row>
    <row r="320" spans="12:82" x14ac:dyDescent="0.25">
      <c r="L320" s="17"/>
      <c r="P320" s="17"/>
      <c r="R320" s="16">
        <v>0</v>
      </c>
      <c r="U320" s="16"/>
      <c r="V320" s="16">
        <v>0</v>
      </c>
      <c r="Y320" s="16"/>
      <c r="Z320" s="16"/>
      <c r="AC320" s="16"/>
      <c r="AD320" s="16"/>
      <c r="AG320" s="16"/>
      <c r="AH320" s="16"/>
      <c r="AK320" s="16"/>
      <c r="AL320" s="16"/>
      <c r="AO320" s="16"/>
      <c r="AP320" s="16"/>
      <c r="AS320" s="16"/>
      <c r="AT320" s="16"/>
      <c r="AW320" s="16"/>
      <c r="AX320" s="16"/>
      <c r="BA320" s="16"/>
      <c r="BB320" s="16"/>
      <c r="BH320" s="19"/>
      <c r="CD320" s="19"/>
    </row>
    <row r="321" spans="12:82" x14ac:dyDescent="0.25">
      <c r="L321" s="17"/>
      <c r="P321" s="17"/>
      <c r="R321" s="16">
        <v>0</v>
      </c>
      <c r="U321" s="16"/>
      <c r="V321" s="16">
        <v>0</v>
      </c>
      <c r="Y321" s="16"/>
      <c r="Z321" s="16"/>
      <c r="AC321" s="16"/>
      <c r="AD321" s="16"/>
      <c r="AG321" s="16"/>
      <c r="AH321" s="16"/>
      <c r="AK321" s="16"/>
      <c r="AL321" s="16"/>
      <c r="AO321" s="16"/>
      <c r="AP321" s="16"/>
      <c r="AS321" s="16"/>
      <c r="AT321" s="16"/>
      <c r="AW321" s="16"/>
      <c r="AX321" s="16"/>
      <c r="BA321" s="16"/>
      <c r="BB321" s="16"/>
      <c r="BH321" s="19"/>
      <c r="CD321" s="19"/>
    </row>
    <row r="322" spans="12:82" x14ac:dyDescent="0.25">
      <c r="L322" s="17"/>
      <c r="P322" s="17"/>
      <c r="R322" s="16">
        <v>0</v>
      </c>
      <c r="U322" s="16"/>
      <c r="V322" s="16">
        <v>0</v>
      </c>
      <c r="Y322" s="16"/>
      <c r="Z322" s="16"/>
      <c r="AC322" s="16"/>
      <c r="AD322" s="16"/>
      <c r="AG322" s="16"/>
      <c r="AH322" s="16"/>
      <c r="AK322" s="16"/>
      <c r="AL322" s="16"/>
      <c r="AO322" s="16"/>
      <c r="AP322" s="16"/>
      <c r="AS322" s="16"/>
      <c r="AT322" s="16"/>
      <c r="AW322" s="16"/>
      <c r="AX322" s="16"/>
      <c r="BA322" s="16"/>
      <c r="BB322" s="16"/>
      <c r="BH322" s="19"/>
      <c r="CD322" s="19"/>
    </row>
    <row r="323" spans="12:82" x14ac:dyDescent="0.25">
      <c r="L323" s="17"/>
      <c r="P323" s="17"/>
      <c r="R323" s="16">
        <v>0</v>
      </c>
      <c r="U323" s="16"/>
      <c r="V323" s="16">
        <v>0</v>
      </c>
      <c r="Y323" s="16"/>
      <c r="Z323" s="16"/>
      <c r="AC323" s="16"/>
      <c r="AD323" s="16"/>
      <c r="AG323" s="16"/>
      <c r="AH323" s="16"/>
      <c r="AK323" s="16"/>
      <c r="AL323" s="16"/>
      <c r="AO323" s="16"/>
      <c r="AP323" s="16"/>
      <c r="AS323" s="16"/>
      <c r="AT323" s="16"/>
      <c r="AW323" s="16"/>
      <c r="AX323" s="16"/>
      <c r="BA323" s="16"/>
      <c r="BB323" s="16"/>
      <c r="BH323" s="19"/>
      <c r="CD323" s="19"/>
    </row>
    <row r="324" spans="12:82" x14ac:dyDescent="0.25">
      <c r="L324" s="17"/>
      <c r="P324" s="17"/>
      <c r="R324" s="16">
        <v>0</v>
      </c>
      <c r="U324" s="16"/>
      <c r="V324" s="16">
        <v>0</v>
      </c>
      <c r="Y324" s="16"/>
      <c r="Z324" s="16"/>
      <c r="AC324" s="16"/>
      <c r="AD324" s="16"/>
      <c r="AG324" s="16"/>
      <c r="AH324" s="16"/>
      <c r="AK324" s="16"/>
      <c r="AL324" s="16"/>
      <c r="AO324" s="16"/>
      <c r="AP324" s="16"/>
      <c r="AS324" s="16"/>
      <c r="AT324" s="16"/>
      <c r="AW324" s="16"/>
      <c r="AX324" s="16"/>
      <c r="BA324" s="16"/>
      <c r="BB324" s="16"/>
      <c r="BH324" s="19"/>
      <c r="CD324" s="19"/>
    </row>
    <row r="325" spans="12:82" x14ac:dyDescent="0.25">
      <c r="L325" s="17"/>
      <c r="P325" s="17"/>
      <c r="R325" s="16">
        <v>0</v>
      </c>
      <c r="U325" s="16"/>
      <c r="V325" s="16">
        <v>0</v>
      </c>
      <c r="Y325" s="16"/>
      <c r="Z325" s="16"/>
      <c r="AC325" s="16"/>
      <c r="AD325" s="16"/>
      <c r="AG325" s="16"/>
      <c r="AH325" s="16"/>
      <c r="AK325" s="16"/>
      <c r="AL325" s="16"/>
      <c r="AO325" s="16"/>
      <c r="AP325" s="16"/>
      <c r="AS325" s="16"/>
      <c r="AT325" s="16"/>
      <c r="AW325" s="16"/>
      <c r="AX325" s="16"/>
      <c r="BA325" s="16"/>
      <c r="BB325" s="16"/>
      <c r="BH325" s="19"/>
      <c r="CD325" s="19"/>
    </row>
    <row r="326" spans="12:82" x14ac:dyDescent="0.25">
      <c r="L326" s="17"/>
      <c r="P326" s="17"/>
      <c r="R326" s="16">
        <v>0</v>
      </c>
      <c r="U326" s="16"/>
      <c r="V326" s="16">
        <v>0</v>
      </c>
      <c r="Y326" s="16"/>
      <c r="Z326" s="16"/>
      <c r="AC326" s="16"/>
      <c r="AD326" s="16"/>
      <c r="AG326" s="16"/>
      <c r="AH326" s="16"/>
      <c r="AK326" s="16"/>
      <c r="AL326" s="16"/>
      <c r="AO326" s="16"/>
      <c r="AP326" s="16"/>
      <c r="AS326" s="16"/>
      <c r="AT326" s="16"/>
      <c r="AW326" s="16"/>
      <c r="AX326" s="16"/>
      <c r="BA326" s="16"/>
      <c r="BB326" s="16"/>
      <c r="BH326" s="19"/>
      <c r="CD326" s="19"/>
    </row>
    <row r="327" spans="12:82" x14ac:dyDescent="0.25">
      <c r="L327" s="17"/>
      <c r="P327" s="17"/>
      <c r="R327" s="16">
        <v>0</v>
      </c>
      <c r="U327" s="16"/>
      <c r="V327" s="16">
        <v>0</v>
      </c>
      <c r="Y327" s="16"/>
      <c r="Z327" s="16"/>
      <c r="AC327" s="16"/>
      <c r="AD327" s="16"/>
      <c r="AG327" s="16"/>
      <c r="AH327" s="16"/>
      <c r="AK327" s="16"/>
      <c r="AL327" s="16"/>
      <c r="AO327" s="16"/>
      <c r="AP327" s="16"/>
      <c r="AS327" s="16"/>
      <c r="AT327" s="16"/>
      <c r="AW327" s="16"/>
      <c r="AX327" s="16"/>
      <c r="BA327" s="16"/>
      <c r="BB327" s="16"/>
      <c r="BH327" s="19"/>
      <c r="CD327" s="19"/>
    </row>
    <row r="328" spans="12:82" x14ac:dyDescent="0.25">
      <c r="L328" s="17"/>
      <c r="P328" s="17"/>
      <c r="R328" s="16">
        <v>0</v>
      </c>
      <c r="U328" s="16"/>
      <c r="V328" s="16">
        <v>0</v>
      </c>
      <c r="Y328" s="16"/>
      <c r="Z328" s="16"/>
      <c r="AC328" s="16"/>
      <c r="AD328" s="16"/>
      <c r="AG328" s="16"/>
      <c r="AH328" s="16"/>
      <c r="AK328" s="16"/>
      <c r="AL328" s="16"/>
      <c r="AO328" s="16"/>
      <c r="AP328" s="16"/>
      <c r="AS328" s="16"/>
      <c r="AT328" s="16"/>
      <c r="AW328" s="16"/>
      <c r="AX328" s="16"/>
      <c r="BA328" s="16"/>
      <c r="BB328" s="16"/>
      <c r="BH328" s="19"/>
      <c r="CD328" s="19"/>
    </row>
    <row r="329" spans="12:82" x14ac:dyDescent="0.25">
      <c r="L329" s="17"/>
      <c r="P329" s="17"/>
      <c r="R329" s="16">
        <v>0</v>
      </c>
      <c r="U329" s="16"/>
      <c r="V329" s="16">
        <v>0</v>
      </c>
      <c r="Y329" s="16"/>
      <c r="Z329" s="16"/>
      <c r="AC329" s="16"/>
      <c r="AD329" s="16"/>
      <c r="AG329" s="16"/>
      <c r="AH329" s="16"/>
      <c r="AK329" s="16"/>
      <c r="AL329" s="16"/>
      <c r="AO329" s="16"/>
      <c r="AP329" s="16"/>
      <c r="AS329" s="16"/>
      <c r="AT329" s="16"/>
      <c r="AW329" s="16"/>
      <c r="AX329" s="16"/>
      <c r="BA329" s="16"/>
      <c r="BB329" s="16"/>
      <c r="BH329" s="19"/>
      <c r="CD329" s="19"/>
    </row>
    <row r="330" spans="12:82" x14ac:dyDescent="0.25">
      <c r="L330" s="17"/>
      <c r="P330" s="17"/>
      <c r="R330" s="16">
        <v>0</v>
      </c>
      <c r="U330" s="16"/>
      <c r="V330" s="16">
        <v>0</v>
      </c>
      <c r="Y330" s="16"/>
      <c r="Z330" s="16"/>
      <c r="AC330" s="16"/>
      <c r="AD330" s="16"/>
      <c r="AG330" s="16"/>
      <c r="AH330" s="16"/>
      <c r="AK330" s="16"/>
      <c r="AL330" s="16"/>
      <c r="AO330" s="16"/>
      <c r="AP330" s="16"/>
      <c r="AS330" s="16"/>
      <c r="AT330" s="16"/>
      <c r="AW330" s="16"/>
      <c r="AX330" s="16"/>
      <c r="BA330" s="16"/>
      <c r="BB330" s="16"/>
      <c r="BH330" s="19"/>
      <c r="CD330" s="19"/>
    </row>
    <row r="331" spans="12:82" x14ac:dyDescent="0.25">
      <c r="L331" s="17"/>
      <c r="P331" s="17"/>
      <c r="R331" s="16">
        <v>0</v>
      </c>
      <c r="U331" s="16"/>
      <c r="V331" s="16">
        <v>0</v>
      </c>
      <c r="Y331" s="16"/>
      <c r="Z331" s="16"/>
      <c r="AC331" s="16"/>
      <c r="AD331" s="16"/>
      <c r="AG331" s="16"/>
      <c r="AH331" s="16"/>
      <c r="AK331" s="16"/>
      <c r="AL331" s="16"/>
      <c r="AO331" s="16"/>
      <c r="AP331" s="16"/>
      <c r="AS331" s="16"/>
      <c r="AT331" s="16"/>
      <c r="AW331" s="16"/>
      <c r="AX331" s="16"/>
      <c r="BA331" s="16"/>
      <c r="BB331" s="16"/>
      <c r="BH331" s="19"/>
      <c r="CD331" s="19"/>
    </row>
    <row r="332" spans="12:82" x14ac:dyDescent="0.25">
      <c r="L332" s="17"/>
      <c r="P332" s="17"/>
      <c r="R332" s="16">
        <v>0</v>
      </c>
      <c r="U332" s="16"/>
      <c r="V332" s="16">
        <v>0</v>
      </c>
      <c r="Y332" s="16"/>
      <c r="Z332" s="16"/>
      <c r="AC332" s="16"/>
      <c r="AD332" s="16"/>
      <c r="AG332" s="16"/>
      <c r="AH332" s="16"/>
      <c r="AK332" s="16"/>
      <c r="AL332" s="16"/>
      <c r="AO332" s="16"/>
      <c r="AP332" s="16"/>
      <c r="AS332" s="16"/>
      <c r="AT332" s="16"/>
      <c r="AW332" s="16"/>
      <c r="AX332" s="16"/>
      <c r="BA332" s="16"/>
      <c r="BB332" s="16"/>
      <c r="BH332" s="19"/>
      <c r="CD332" s="19"/>
    </row>
    <row r="333" spans="12:82" x14ac:dyDescent="0.25">
      <c r="L333" s="17"/>
      <c r="P333" s="17"/>
      <c r="R333" s="16">
        <v>0</v>
      </c>
      <c r="U333" s="16"/>
      <c r="V333" s="16">
        <v>0</v>
      </c>
      <c r="Y333" s="16"/>
      <c r="Z333" s="16"/>
      <c r="AC333" s="16"/>
      <c r="AD333" s="16"/>
      <c r="AG333" s="16"/>
      <c r="AH333" s="16"/>
      <c r="AK333" s="16"/>
      <c r="AL333" s="16"/>
      <c r="AO333" s="16"/>
      <c r="AP333" s="16"/>
      <c r="AS333" s="16"/>
      <c r="AT333" s="16"/>
      <c r="AW333" s="16"/>
      <c r="AX333" s="16"/>
      <c r="BA333" s="16"/>
      <c r="BB333" s="16"/>
      <c r="BH333" s="19"/>
      <c r="CD333" s="19"/>
    </row>
    <row r="334" spans="12:82" x14ac:dyDescent="0.25">
      <c r="L334" s="17"/>
      <c r="P334" s="17"/>
      <c r="R334" s="16">
        <v>0</v>
      </c>
      <c r="U334" s="16"/>
      <c r="V334" s="16">
        <v>0</v>
      </c>
      <c r="Y334" s="16"/>
      <c r="Z334" s="16"/>
      <c r="AC334" s="16"/>
      <c r="AD334" s="16"/>
      <c r="AG334" s="16"/>
      <c r="AH334" s="16"/>
      <c r="AK334" s="16"/>
      <c r="AL334" s="16"/>
      <c r="AO334" s="16"/>
      <c r="AP334" s="16"/>
      <c r="AS334" s="16"/>
      <c r="AT334" s="16"/>
      <c r="AW334" s="16"/>
      <c r="AX334" s="16"/>
      <c r="BA334" s="16"/>
      <c r="BB334" s="16"/>
      <c r="BH334" s="19"/>
      <c r="CD334" s="19"/>
    </row>
    <row r="335" spans="12:82" x14ac:dyDescent="0.25">
      <c r="L335" s="17"/>
      <c r="P335" s="17"/>
      <c r="R335" s="16">
        <v>0</v>
      </c>
      <c r="U335" s="16"/>
      <c r="V335" s="16">
        <v>0</v>
      </c>
      <c r="Y335" s="16"/>
      <c r="Z335" s="16"/>
      <c r="AC335" s="16"/>
      <c r="AD335" s="16"/>
      <c r="AG335" s="16"/>
      <c r="AH335" s="16"/>
      <c r="AK335" s="16"/>
      <c r="AL335" s="16"/>
      <c r="AO335" s="16"/>
      <c r="AP335" s="16"/>
      <c r="AS335" s="16"/>
      <c r="AT335" s="16"/>
      <c r="AW335" s="16"/>
      <c r="AX335" s="16"/>
      <c r="BA335" s="16"/>
      <c r="BB335" s="16"/>
      <c r="BH335" s="19"/>
      <c r="CD335" s="19"/>
    </row>
    <row r="336" spans="12:82" x14ac:dyDescent="0.25">
      <c r="L336" s="17"/>
      <c r="P336" s="17"/>
      <c r="R336" s="16">
        <v>0</v>
      </c>
      <c r="U336" s="16"/>
      <c r="V336" s="16">
        <v>0</v>
      </c>
      <c r="Y336" s="16"/>
      <c r="Z336" s="16"/>
      <c r="AC336" s="16"/>
      <c r="AD336" s="16"/>
      <c r="AG336" s="16"/>
      <c r="AH336" s="16"/>
      <c r="AK336" s="16"/>
      <c r="AL336" s="16"/>
      <c r="AO336" s="16"/>
      <c r="AP336" s="16"/>
      <c r="AS336" s="16"/>
      <c r="AT336" s="16"/>
      <c r="AW336" s="16"/>
      <c r="AX336" s="16"/>
      <c r="BA336" s="16"/>
      <c r="BB336" s="16"/>
      <c r="BH336" s="19"/>
      <c r="CD336" s="19"/>
    </row>
    <row r="337" spans="12:82" x14ac:dyDescent="0.25">
      <c r="L337" s="17"/>
      <c r="P337" s="17"/>
      <c r="R337" s="16">
        <v>0</v>
      </c>
      <c r="U337" s="16"/>
      <c r="V337" s="16">
        <v>0</v>
      </c>
      <c r="Y337" s="16"/>
      <c r="Z337" s="16"/>
      <c r="AC337" s="16"/>
      <c r="AD337" s="16"/>
      <c r="AG337" s="16"/>
      <c r="AH337" s="16"/>
      <c r="AK337" s="16"/>
      <c r="AL337" s="16"/>
      <c r="AO337" s="16"/>
      <c r="AP337" s="16"/>
      <c r="AS337" s="16"/>
      <c r="AT337" s="16"/>
      <c r="AW337" s="16"/>
      <c r="AX337" s="16"/>
      <c r="BA337" s="16"/>
      <c r="BB337" s="16"/>
      <c r="BH337" s="19"/>
      <c r="CD337" s="19"/>
    </row>
    <row r="338" spans="12:82" x14ac:dyDescent="0.25">
      <c r="L338" s="17"/>
      <c r="P338" s="17"/>
      <c r="R338" s="16">
        <v>0</v>
      </c>
      <c r="U338" s="16"/>
      <c r="V338" s="16">
        <v>0</v>
      </c>
      <c r="Y338" s="16"/>
      <c r="Z338" s="16"/>
      <c r="AC338" s="16"/>
      <c r="AD338" s="16"/>
      <c r="AG338" s="16"/>
      <c r="AH338" s="16"/>
      <c r="AK338" s="16"/>
      <c r="AL338" s="16"/>
      <c r="AO338" s="16"/>
      <c r="AP338" s="16"/>
      <c r="AS338" s="16"/>
      <c r="AT338" s="16"/>
      <c r="AW338" s="16"/>
      <c r="AX338" s="16"/>
      <c r="BA338" s="16"/>
      <c r="BB338" s="16"/>
      <c r="BH338" s="19"/>
      <c r="CD338" s="19"/>
    </row>
    <row r="339" spans="12:82" x14ac:dyDescent="0.25">
      <c r="L339" s="17"/>
      <c r="P339" s="17"/>
      <c r="R339" s="16">
        <v>0</v>
      </c>
      <c r="U339" s="16"/>
      <c r="V339" s="16">
        <v>0</v>
      </c>
      <c r="Y339" s="16"/>
      <c r="Z339" s="16"/>
      <c r="AC339" s="16"/>
      <c r="AD339" s="16"/>
      <c r="AG339" s="16"/>
      <c r="AH339" s="16"/>
      <c r="AK339" s="16"/>
      <c r="AL339" s="16"/>
      <c r="AO339" s="16"/>
      <c r="AP339" s="16"/>
      <c r="AS339" s="16"/>
      <c r="AT339" s="16"/>
      <c r="AW339" s="16"/>
      <c r="AX339" s="16"/>
      <c r="BA339" s="16"/>
      <c r="BB339" s="16"/>
      <c r="BH339" s="19"/>
      <c r="CD339" s="19"/>
    </row>
    <row r="340" spans="12:82" x14ac:dyDescent="0.25">
      <c r="L340" s="17"/>
      <c r="P340" s="17"/>
      <c r="R340" s="16">
        <v>0</v>
      </c>
      <c r="U340" s="16"/>
      <c r="V340" s="16">
        <v>0</v>
      </c>
      <c r="Y340" s="16"/>
      <c r="Z340" s="16"/>
      <c r="AC340" s="16"/>
      <c r="AD340" s="16"/>
      <c r="AG340" s="16"/>
      <c r="AH340" s="16"/>
      <c r="AK340" s="16"/>
      <c r="AL340" s="16"/>
      <c r="AO340" s="16"/>
      <c r="AP340" s="16"/>
      <c r="AS340" s="16"/>
      <c r="AT340" s="16"/>
      <c r="AW340" s="16"/>
      <c r="AX340" s="16"/>
      <c r="BA340" s="16"/>
      <c r="BB340" s="16"/>
      <c r="BH340" s="19"/>
      <c r="CD340" s="19"/>
    </row>
    <row r="341" spans="12:82" x14ac:dyDescent="0.25">
      <c r="L341" s="17"/>
      <c r="P341" s="17"/>
      <c r="R341" s="16">
        <v>0</v>
      </c>
      <c r="U341" s="16"/>
      <c r="V341" s="16">
        <v>0</v>
      </c>
      <c r="Y341" s="16"/>
      <c r="Z341" s="16"/>
      <c r="AC341" s="16"/>
      <c r="AD341" s="16"/>
      <c r="AG341" s="16"/>
      <c r="AH341" s="16"/>
      <c r="AK341" s="16"/>
      <c r="AL341" s="16"/>
      <c r="AO341" s="16"/>
      <c r="AP341" s="16"/>
      <c r="AS341" s="16"/>
      <c r="AT341" s="16"/>
      <c r="AW341" s="16"/>
      <c r="AX341" s="16"/>
      <c r="BA341" s="16"/>
      <c r="BB341" s="16"/>
      <c r="BH341" s="19"/>
      <c r="CD341" s="19"/>
    </row>
    <row r="342" spans="12:82" x14ac:dyDescent="0.25">
      <c r="L342" s="17"/>
      <c r="P342" s="17"/>
      <c r="R342" s="16">
        <v>0</v>
      </c>
      <c r="U342" s="16"/>
      <c r="V342" s="16">
        <v>0</v>
      </c>
      <c r="Y342" s="16"/>
      <c r="Z342" s="16"/>
      <c r="AC342" s="16"/>
      <c r="AD342" s="16"/>
      <c r="AG342" s="16"/>
      <c r="AH342" s="16"/>
      <c r="AK342" s="16"/>
      <c r="AL342" s="16"/>
      <c r="AO342" s="16"/>
      <c r="AP342" s="16"/>
      <c r="AS342" s="16"/>
      <c r="AT342" s="16"/>
      <c r="AW342" s="16"/>
      <c r="AX342" s="16"/>
      <c r="BA342" s="16"/>
      <c r="BB342" s="16"/>
      <c r="BH342" s="19"/>
      <c r="CD342" s="19"/>
    </row>
    <row r="343" spans="12:82" x14ac:dyDescent="0.25">
      <c r="L343" s="17"/>
      <c r="P343" s="17"/>
      <c r="R343" s="16">
        <v>0</v>
      </c>
      <c r="U343" s="16"/>
      <c r="V343" s="16">
        <v>0</v>
      </c>
      <c r="Y343" s="16"/>
      <c r="Z343" s="16"/>
      <c r="AC343" s="16"/>
      <c r="AD343" s="16"/>
      <c r="AG343" s="16"/>
      <c r="AH343" s="16"/>
      <c r="AK343" s="16"/>
      <c r="AL343" s="16"/>
      <c r="AO343" s="16"/>
      <c r="AP343" s="16"/>
      <c r="AS343" s="16"/>
      <c r="AT343" s="16"/>
      <c r="AW343" s="16"/>
      <c r="AX343" s="16"/>
      <c r="BA343" s="16"/>
      <c r="BB343" s="16"/>
      <c r="BH343" s="19"/>
      <c r="CD343" s="19"/>
    </row>
    <row r="344" spans="12:82" x14ac:dyDescent="0.25">
      <c r="L344" s="17"/>
      <c r="P344" s="17"/>
      <c r="R344" s="16">
        <v>0</v>
      </c>
      <c r="U344" s="16"/>
      <c r="V344" s="16">
        <v>0</v>
      </c>
      <c r="Y344" s="16"/>
      <c r="Z344" s="16"/>
      <c r="AC344" s="16"/>
      <c r="AD344" s="16"/>
      <c r="AG344" s="16"/>
      <c r="AH344" s="16"/>
      <c r="AK344" s="16"/>
      <c r="AL344" s="16"/>
      <c r="AO344" s="16"/>
      <c r="AP344" s="16"/>
      <c r="AS344" s="16"/>
      <c r="AT344" s="16"/>
      <c r="AW344" s="16"/>
      <c r="AX344" s="16"/>
      <c r="BA344" s="16"/>
      <c r="BB344" s="16"/>
      <c r="BH344" s="19"/>
      <c r="CD344" s="19"/>
    </row>
    <row r="345" spans="12:82" x14ac:dyDescent="0.25">
      <c r="L345" s="17"/>
      <c r="P345" s="17"/>
      <c r="R345" s="16">
        <v>0</v>
      </c>
      <c r="U345" s="16"/>
      <c r="V345" s="16">
        <v>0</v>
      </c>
      <c r="Y345" s="16"/>
      <c r="Z345" s="16"/>
      <c r="AC345" s="16"/>
      <c r="AD345" s="16"/>
      <c r="AG345" s="16"/>
      <c r="AH345" s="16"/>
      <c r="AK345" s="16"/>
      <c r="AL345" s="16"/>
      <c r="AO345" s="16"/>
      <c r="AP345" s="16"/>
      <c r="AS345" s="16"/>
      <c r="AT345" s="16"/>
      <c r="AW345" s="16"/>
      <c r="AX345" s="16"/>
      <c r="BA345" s="16"/>
      <c r="BB345" s="16"/>
      <c r="BH345" s="19"/>
      <c r="CD345" s="19"/>
    </row>
    <row r="346" spans="12:82" x14ac:dyDescent="0.25">
      <c r="L346" s="17"/>
      <c r="P346" s="17"/>
      <c r="R346" s="16">
        <v>0</v>
      </c>
      <c r="U346" s="16"/>
      <c r="V346" s="16">
        <v>0</v>
      </c>
      <c r="Y346" s="16"/>
      <c r="Z346" s="16"/>
      <c r="AC346" s="16"/>
      <c r="AD346" s="16"/>
      <c r="AG346" s="16"/>
      <c r="AH346" s="16"/>
      <c r="AK346" s="16"/>
      <c r="AL346" s="16"/>
      <c r="AO346" s="16"/>
      <c r="AP346" s="16"/>
      <c r="AS346" s="16"/>
      <c r="AT346" s="16"/>
      <c r="AW346" s="16"/>
      <c r="AX346" s="16"/>
      <c r="BA346" s="16"/>
      <c r="BB346" s="16"/>
      <c r="BH346" s="19"/>
      <c r="CD346" s="19"/>
    </row>
    <row r="347" spans="12:82" x14ac:dyDescent="0.25">
      <c r="L347" s="17"/>
      <c r="P347" s="17"/>
      <c r="R347" s="16">
        <v>0</v>
      </c>
      <c r="U347" s="16"/>
      <c r="V347" s="16">
        <v>0</v>
      </c>
      <c r="Y347" s="16"/>
      <c r="Z347" s="16"/>
      <c r="AC347" s="16"/>
      <c r="AD347" s="16"/>
      <c r="AG347" s="16"/>
      <c r="AH347" s="16"/>
      <c r="AK347" s="16"/>
      <c r="AL347" s="16"/>
      <c r="AO347" s="16"/>
      <c r="AP347" s="16"/>
      <c r="AS347" s="16"/>
      <c r="AT347" s="16"/>
      <c r="AW347" s="16"/>
      <c r="AX347" s="16"/>
      <c r="BA347" s="16"/>
      <c r="BB347" s="16"/>
      <c r="BH347" s="19"/>
      <c r="CD347" s="19"/>
    </row>
    <row r="348" spans="12:82" x14ac:dyDescent="0.25">
      <c r="L348" s="17"/>
      <c r="P348" s="17"/>
      <c r="R348" s="16">
        <v>0</v>
      </c>
      <c r="U348" s="16"/>
      <c r="V348" s="16">
        <v>0</v>
      </c>
      <c r="Y348" s="16"/>
      <c r="Z348" s="16"/>
      <c r="AC348" s="16"/>
      <c r="AD348" s="16"/>
      <c r="AG348" s="16"/>
      <c r="AH348" s="16"/>
      <c r="AK348" s="16"/>
      <c r="AL348" s="16"/>
      <c r="AO348" s="16"/>
      <c r="AP348" s="16"/>
      <c r="AS348" s="16"/>
      <c r="AT348" s="16"/>
      <c r="AW348" s="16"/>
      <c r="AX348" s="16"/>
      <c r="BA348" s="16"/>
      <c r="BB348" s="16"/>
      <c r="BH348" s="19"/>
      <c r="CD348" s="19"/>
    </row>
    <row r="349" spans="12:82" x14ac:dyDescent="0.25">
      <c r="L349" s="17"/>
      <c r="P349" s="17"/>
      <c r="R349" s="16">
        <v>0</v>
      </c>
      <c r="U349" s="16"/>
      <c r="V349" s="16">
        <v>0</v>
      </c>
      <c r="Y349" s="16"/>
      <c r="Z349" s="16"/>
      <c r="AC349" s="16"/>
      <c r="AD349" s="16"/>
      <c r="AG349" s="16"/>
      <c r="AH349" s="16"/>
      <c r="AK349" s="16"/>
      <c r="AL349" s="16"/>
      <c r="AO349" s="16"/>
      <c r="AP349" s="16"/>
      <c r="AS349" s="16"/>
      <c r="AT349" s="16"/>
      <c r="AW349" s="16"/>
      <c r="AX349" s="16"/>
      <c r="BA349" s="16"/>
      <c r="BB349" s="16"/>
      <c r="BH349" s="19"/>
      <c r="CD349" s="19"/>
    </row>
    <row r="350" spans="12:82" x14ac:dyDescent="0.25">
      <c r="L350" s="17"/>
      <c r="P350" s="17"/>
      <c r="R350" s="16">
        <v>0</v>
      </c>
      <c r="U350" s="16"/>
      <c r="V350" s="16">
        <v>0</v>
      </c>
      <c r="Y350" s="16"/>
      <c r="Z350" s="16"/>
      <c r="AC350" s="16"/>
      <c r="AD350" s="16"/>
      <c r="AG350" s="16"/>
      <c r="AH350" s="16"/>
      <c r="AK350" s="16"/>
      <c r="AL350" s="16"/>
      <c r="AO350" s="16"/>
      <c r="AP350" s="16"/>
      <c r="AS350" s="16"/>
      <c r="AT350" s="16"/>
      <c r="AW350" s="16"/>
      <c r="AX350" s="16"/>
      <c r="BA350" s="16"/>
      <c r="BB350" s="16"/>
      <c r="BH350" s="19"/>
      <c r="CD350" s="19"/>
    </row>
    <row r="351" spans="12:82" x14ac:dyDescent="0.25">
      <c r="L351" s="17"/>
      <c r="P351" s="17"/>
      <c r="R351" s="16">
        <v>0</v>
      </c>
      <c r="U351" s="16"/>
      <c r="V351" s="16">
        <v>0</v>
      </c>
      <c r="Y351" s="16"/>
      <c r="Z351" s="16"/>
      <c r="AC351" s="16"/>
      <c r="AD351" s="16"/>
      <c r="AG351" s="16"/>
      <c r="AH351" s="16"/>
      <c r="AK351" s="16"/>
      <c r="AL351" s="16"/>
      <c r="AO351" s="16"/>
      <c r="AP351" s="16"/>
      <c r="AS351" s="16"/>
      <c r="AT351" s="16"/>
      <c r="AW351" s="16"/>
      <c r="AX351" s="16"/>
      <c r="BA351" s="16"/>
      <c r="BB351" s="16"/>
      <c r="BH351" s="19"/>
      <c r="CD351" s="19"/>
    </row>
    <row r="352" spans="12:82" x14ac:dyDescent="0.25">
      <c r="L352" s="17"/>
      <c r="P352" s="17"/>
      <c r="R352" s="16">
        <v>0</v>
      </c>
      <c r="U352" s="16"/>
      <c r="V352" s="16">
        <v>0</v>
      </c>
      <c r="Y352" s="16"/>
      <c r="Z352" s="16"/>
      <c r="AC352" s="16"/>
      <c r="AD352" s="16"/>
      <c r="AG352" s="16"/>
      <c r="AH352" s="16"/>
      <c r="AK352" s="16"/>
      <c r="AL352" s="16"/>
      <c r="AO352" s="16"/>
      <c r="AP352" s="16"/>
      <c r="AS352" s="16"/>
      <c r="AT352" s="16"/>
      <c r="AW352" s="16"/>
      <c r="AX352" s="16"/>
      <c r="BA352" s="16"/>
      <c r="BB352" s="16"/>
      <c r="BH352" s="19"/>
      <c r="CD352" s="19"/>
    </row>
    <row r="353" spans="12:82" x14ac:dyDescent="0.25">
      <c r="L353" s="17"/>
      <c r="P353" s="17"/>
      <c r="R353" s="16">
        <v>0</v>
      </c>
      <c r="U353" s="16"/>
      <c r="V353" s="16">
        <v>0</v>
      </c>
      <c r="Y353" s="16"/>
      <c r="Z353" s="16"/>
      <c r="AC353" s="16"/>
      <c r="AD353" s="16"/>
      <c r="AG353" s="16"/>
      <c r="AH353" s="16"/>
      <c r="AK353" s="16"/>
      <c r="AL353" s="16"/>
      <c r="AO353" s="16"/>
      <c r="AP353" s="16"/>
      <c r="AS353" s="16"/>
      <c r="AT353" s="16"/>
      <c r="AW353" s="16"/>
      <c r="AX353" s="16"/>
      <c r="BA353" s="16"/>
      <c r="BB353" s="16"/>
      <c r="BH353" s="19"/>
      <c r="CD353" s="19"/>
    </row>
    <row r="354" spans="12:82" x14ac:dyDescent="0.25">
      <c r="L354" s="17"/>
      <c r="P354" s="17"/>
      <c r="R354" s="16">
        <v>0</v>
      </c>
      <c r="U354" s="16"/>
      <c r="V354" s="16">
        <v>0</v>
      </c>
      <c r="Y354" s="16"/>
      <c r="Z354" s="16"/>
      <c r="AC354" s="16"/>
      <c r="AD354" s="16"/>
      <c r="AG354" s="16"/>
      <c r="AH354" s="16"/>
      <c r="AK354" s="16"/>
      <c r="AL354" s="16"/>
      <c r="AO354" s="16"/>
      <c r="AP354" s="16"/>
      <c r="AS354" s="16"/>
      <c r="AT354" s="16"/>
      <c r="AW354" s="16"/>
      <c r="AX354" s="16"/>
      <c r="BA354" s="16"/>
      <c r="BB354" s="16"/>
      <c r="BH354" s="19"/>
      <c r="CD354" s="19"/>
    </row>
    <row r="355" spans="12:82" x14ac:dyDescent="0.25">
      <c r="L355" s="17"/>
      <c r="P355" s="17"/>
      <c r="R355" s="16">
        <v>0</v>
      </c>
      <c r="U355" s="16"/>
      <c r="V355" s="16">
        <v>0</v>
      </c>
      <c r="Y355" s="16"/>
      <c r="Z355" s="16"/>
      <c r="AC355" s="16"/>
      <c r="AD355" s="16"/>
      <c r="AG355" s="16"/>
      <c r="AH355" s="16"/>
      <c r="AK355" s="16"/>
      <c r="AL355" s="16"/>
      <c r="AO355" s="16"/>
      <c r="AP355" s="16"/>
      <c r="AS355" s="16"/>
      <c r="AT355" s="16"/>
      <c r="AW355" s="16"/>
      <c r="AX355" s="16"/>
      <c r="BA355" s="16"/>
      <c r="BB355" s="16"/>
      <c r="BH355" s="19"/>
      <c r="CD355" s="19"/>
    </row>
    <row r="356" spans="12:82" x14ac:dyDescent="0.25">
      <c r="L356" s="17"/>
      <c r="P356" s="17"/>
      <c r="R356" s="16">
        <v>0</v>
      </c>
      <c r="U356" s="16"/>
      <c r="V356" s="16">
        <v>0</v>
      </c>
      <c r="Y356" s="16"/>
      <c r="Z356" s="16"/>
      <c r="AC356" s="16"/>
      <c r="AD356" s="16"/>
      <c r="AG356" s="16"/>
      <c r="AH356" s="16"/>
      <c r="AK356" s="16"/>
      <c r="AL356" s="16"/>
      <c r="AO356" s="16"/>
      <c r="AP356" s="16"/>
      <c r="AS356" s="16"/>
      <c r="AT356" s="16"/>
      <c r="AW356" s="16"/>
      <c r="AX356" s="16"/>
      <c r="BA356" s="16"/>
      <c r="BB356" s="16"/>
      <c r="BH356" s="19"/>
      <c r="CD356" s="19"/>
    </row>
    <row r="357" spans="12:82" x14ac:dyDescent="0.25">
      <c r="L357" s="17"/>
      <c r="P357" s="17"/>
      <c r="R357" s="16">
        <v>0</v>
      </c>
      <c r="U357" s="16"/>
      <c r="V357" s="16">
        <v>0</v>
      </c>
      <c r="Y357" s="16"/>
      <c r="Z357" s="16"/>
      <c r="AC357" s="16"/>
      <c r="AD357" s="16"/>
      <c r="AG357" s="16"/>
      <c r="AH357" s="16"/>
      <c r="AK357" s="16"/>
      <c r="AL357" s="16"/>
      <c r="AO357" s="16"/>
      <c r="AP357" s="16"/>
      <c r="AS357" s="16"/>
      <c r="AT357" s="16"/>
      <c r="AW357" s="16"/>
      <c r="AX357" s="16"/>
      <c r="BA357" s="16"/>
      <c r="BB357" s="16"/>
      <c r="BH357" s="19"/>
      <c r="CD357" s="19"/>
    </row>
    <row r="358" spans="12:82" x14ac:dyDescent="0.25">
      <c r="L358" s="17"/>
      <c r="P358" s="17"/>
      <c r="R358" s="16">
        <v>0</v>
      </c>
      <c r="U358" s="16"/>
      <c r="V358" s="16">
        <v>0</v>
      </c>
      <c r="Y358" s="16"/>
      <c r="Z358" s="16"/>
      <c r="AC358" s="16"/>
      <c r="AD358" s="16"/>
      <c r="AG358" s="16"/>
      <c r="AH358" s="16"/>
      <c r="AK358" s="16"/>
      <c r="AL358" s="16"/>
      <c r="AO358" s="16"/>
      <c r="AP358" s="16"/>
      <c r="AS358" s="16"/>
      <c r="AT358" s="16"/>
      <c r="AW358" s="16"/>
      <c r="AX358" s="16"/>
      <c r="BA358" s="16"/>
      <c r="BB358" s="16"/>
      <c r="BH358" s="19"/>
      <c r="CD358" s="19"/>
    </row>
    <row r="359" spans="12:82" x14ac:dyDescent="0.25">
      <c r="L359" s="17"/>
      <c r="P359" s="17"/>
      <c r="R359" s="16">
        <v>0</v>
      </c>
      <c r="U359" s="16"/>
      <c r="V359" s="16">
        <v>0</v>
      </c>
      <c r="Y359" s="16"/>
      <c r="Z359" s="16"/>
      <c r="AC359" s="16"/>
      <c r="AD359" s="16"/>
      <c r="AG359" s="16"/>
      <c r="AH359" s="16"/>
      <c r="AK359" s="16"/>
      <c r="AL359" s="16"/>
      <c r="AO359" s="16"/>
      <c r="AP359" s="16"/>
      <c r="AS359" s="16"/>
      <c r="AT359" s="16"/>
      <c r="AW359" s="16"/>
      <c r="AX359" s="16"/>
      <c r="BA359" s="16"/>
      <c r="BB359" s="16"/>
      <c r="BH359" s="19"/>
      <c r="CD359" s="19"/>
    </row>
    <row r="360" spans="12:82" x14ac:dyDescent="0.25">
      <c r="L360" s="17"/>
      <c r="P360" s="17"/>
      <c r="R360" s="16">
        <v>0</v>
      </c>
      <c r="U360" s="16"/>
      <c r="V360" s="16">
        <v>0</v>
      </c>
      <c r="Y360" s="16"/>
      <c r="Z360" s="16"/>
      <c r="AC360" s="16"/>
      <c r="AD360" s="16"/>
      <c r="AG360" s="16"/>
      <c r="AH360" s="16"/>
      <c r="AK360" s="16"/>
      <c r="AL360" s="16"/>
      <c r="AO360" s="16"/>
      <c r="AP360" s="16"/>
      <c r="AS360" s="16"/>
      <c r="AT360" s="16"/>
      <c r="AW360" s="16"/>
      <c r="AX360" s="16"/>
      <c r="BA360" s="16"/>
      <c r="BB360" s="16"/>
      <c r="BH360" s="19"/>
      <c r="CD360" s="19"/>
    </row>
    <row r="361" spans="12:82" x14ac:dyDescent="0.25">
      <c r="L361" s="17"/>
      <c r="P361" s="17"/>
      <c r="R361" s="16">
        <v>0</v>
      </c>
      <c r="U361" s="16"/>
      <c r="V361" s="16">
        <v>0</v>
      </c>
      <c r="Y361" s="16"/>
      <c r="Z361" s="16"/>
      <c r="AC361" s="16"/>
      <c r="AD361" s="16"/>
      <c r="AG361" s="16"/>
      <c r="AH361" s="16"/>
      <c r="AK361" s="16"/>
      <c r="AL361" s="16"/>
      <c r="AO361" s="16"/>
      <c r="AP361" s="16"/>
      <c r="AS361" s="16"/>
      <c r="AT361" s="16"/>
      <c r="AW361" s="16"/>
      <c r="AX361" s="16"/>
      <c r="BA361" s="16"/>
      <c r="BB361" s="16"/>
      <c r="BH361" s="19"/>
      <c r="CD361" s="19"/>
    </row>
    <row r="362" spans="12:82" x14ac:dyDescent="0.25">
      <c r="L362" s="17"/>
      <c r="P362" s="17"/>
      <c r="R362" s="16">
        <v>0</v>
      </c>
      <c r="U362" s="16"/>
      <c r="V362" s="16">
        <v>0</v>
      </c>
      <c r="Y362" s="16"/>
      <c r="Z362" s="16"/>
      <c r="AC362" s="16"/>
      <c r="AD362" s="16"/>
      <c r="AG362" s="16"/>
      <c r="AH362" s="16"/>
      <c r="AK362" s="16"/>
      <c r="AL362" s="16"/>
      <c r="AO362" s="16"/>
      <c r="AP362" s="16"/>
      <c r="AS362" s="16"/>
      <c r="AT362" s="16"/>
      <c r="AW362" s="16"/>
      <c r="AX362" s="16"/>
      <c r="BA362" s="16"/>
      <c r="BB362" s="16"/>
      <c r="BH362" s="19"/>
      <c r="CD362" s="19"/>
    </row>
    <row r="363" spans="12:82" x14ac:dyDescent="0.25">
      <c r="L363" s="17"/>
      <c r="P363" s="17"/>
      <c r="R363" s="16">
        <v>0</v>
      </c>
      <c r="U363" s="16"/>
      <c r="V363" s="16">
        <v>0</v>
      </c>
      <c r="Y363" s="16"/>
      <c r="Z363" s="16"/>
      <c r="AC363" s="16"/>
      <c r="AD363" s="16"/>
      <c r="AG363" s="16"/>
      <c r="AH363" s="16"/>
      <c r="AK363" s="16"/>
      <c r="AL363" s="16"/>
      <c r="AO363" s="16"/>
      <c r="AP363" s="16"/>
      <c r="AS363" s="16"/>
      <c r="AT363" s="16"/>
      <c r="AW363" s="16"/>
      <c r="AX363" s="16"/>
      <c r="BA363" s="16"/>
      <c r="BB363" s="16"/>
      <c r="BH363" s="19"/>
      <c r="CD363" s="19"/>
    </row>
    <row r="364" spans="12:82" x14ac:dyDescent="0.25">
      <c r="L364" s="17"/>
      <c r="P364" s="17"/>
      <c r="R364" s="16">
        <v>0</v>
      </c>
      <c r="U364" s="16"/>
      <c r="V364" s="16">
        <v>0</v>
      </c>
      <c r="Y364" s="16"/>
      <c r="Z364" s="16"/>
      <c r="AC364" s="16"/>
      <c r="AD364" s="16"/>
      <c r="AG364" s="16"/>
      <c r="AH364" s="16"/>
      <c r="AK364" s="16"/>
      <c r="AL364" s="16"/>
      <c r="AO364" s="16"/>
      <c r="AP364" s="16"/>
      <c r="AS364" s="16"/>
      <c r="AT364" s="16"/>
      <c r="AW364" s="16"/>
      <c r="AX364" s="16"/>
      <c r="BA364" s="16"/>
      <c r="BB364" s="16"/>
      <c r="BH364" s="19"/>
      <c r="CD364" s="19"/>
    </row>
    <row r="365" spans="12:82" x14ac:dyDescent="0.25">
      <c r="L365" s="17"/>
      <c r="P365" s="17"/>
      <c r="R365" s="16">
        <v>0</v>
      </c>
      <c r="U365" s="16"/>
      <c r="V365" s="16">
        <v>0</v>
      </c>
      <c r="Y365" s="16"/>
      <c r="Z365" s="16"/>
      <c r="AC365" s="16"/>
      <c r="AD365" s="16"/>
      <c r="AG365" s="16"/>
      <c r="AH365" s="16"/>
      <c r="AK365" s="16"/>
      <c r="AL365" s="16"/>
      <c r="AO365" s="16"/>
      <c r="AP365" s="16"/>
      <c r="AS365" s="16"/>
      <c r="AT365" s="16"/>
      <c r="AW365" s="16"/>
      <c r="AX365" s="16"/>
      <c r="BA365" s="16"/>
      <c r="BB365" s="16"/>
      <c r="BH365" s="19"/>
      <c r="CD365" s="19"/>
    </row>
    <row r="366" spans="12:82" x14ac:dyDescent="0.25">
      <c r="L366" s="17"/>
      <c r="P366" s="17"/>
      <c r="R366" s="16">
        <v>0</v>
      </c>
      <c r="U366" s="16"/>
      <c r="V366" s="16">
        <v>0</v>
      </c>
      <c r="Y366" s="16"/>
      <c r="Z366" s="16"/>
      <c r="AC366" s="16"/>
      <c r="AD366" s="16"/>
      <c r="AG366" s="16"/>
      <c r="AH366" s="16"/>
      <c r="AK366" s="16"/>
      <c r="AL366" s="16"/>
      <c r="AO366" s="16"/>
      <c r="AP366" s="16"/>
      <c r="AS366" s="16"/>
      <c r="AT366" s="16"/>
      <c r="AW366" s="16"/>
      <c r="AX366" s="16"/>
      <c r="BA366" s="16"/>
      <c r="BB366" s="16"/>
      <c r="BH366" s="19"/>
      <c r="CD366" s="19"/>
    </row>
    <row r="367" spans="12:82" x14ac:dyDescent="0.25">
      <c r="L367" s="17"/>
      <c r="P367" s="17"/>
      <c r="R367" s="16">
        <v>0</v>
      </c>
      <c r="U367" s="16"/>
      <c r="V367" s="16">
        <v>0</v>
      </c>
      <c r="Y367" s="16"/>
      <c r="Z367" s="16"/>
      <c r="AC367" s="16"/>
      <c r="AD367" s="16"/>
      <c r="AG367" s="16"/>
      <c r="AH367" s="16"/>
      <c r="AK367" s="16"/>
      <c r="AL367" s="16"/>
      <c r="AO367" s="16"/>
      <c r="AP367" s="16"/>
      <c r="AS367" s="16"/>
      <c r="AT367" s="16"/>
      <c r="AW367" s="16"/>
      <c r="AX367" s="16"/>
      <c r="BA367" s="16"/>
      <c r="BB367" s="16"/>
      <c r="BH367" s="19"/>
      <c r="CD367" s="19"/>
    </row>
    <row r="368" spans="12:82" x14ac:dyDescent="0.25">
      <c r="L368" s="17"/>
      <c r="P368" s="17"/>
      <c r="R368" s="16">
        <v>0</v>
      </c>
      <c r="U368" s="16"/>
      <c r="V368" s="16">
        <v>0</v>
      </c>
      <c r="Y368" s="16"/>
      <c r="Z368" s="16"/>
      <c r="AC368" s="16"/>
      <c r="AD368" s="16"/>
      <c r="AG368" s="16"/>
      <c r="AH368" s="16"/>
      <c r="AK368" s="16"/>
      <c r="AL368" s="16"/>
      <c r="AO368" s="16"/>
      <c r="AP368" s="16"/>
      <c r="AS368" s="16"/>
      <c r="AT368" s="16"/>
      <c r="AW368" s="16"/>
      <c r="AX368" s="16"/>
      <c r="BA368" s="16"/>
      <c r="BB368" s="16"/>
      <c r="BH368" s="19"/>
      <c r="CD368" s="19"/>
    </row>
    <row r="369" spans="12:82" x14ac:dyDescent="0.25">
      <c r="L369" s="17"/>
      <c r="P369" s="17"/>
      <c r="R369" s="16">
        <v>0</v>
      </c>
      <c r="U369" s="16"/>
      <c r="V369" s="16">
        <v>0</v>
      </c>
      <c r="Y369" s="16"/>
      <c r="Z369" s="16"/>
      <c r="AC369" s="16"/>
      <c r="AD369" s="16"/>
      <c r="AG369" s="16"/>
      <c r="AH369" s="16"/>
      <c r="AK369" s="16"/>
      <c r="AL369" s="16"/>
      <c r="AO369" s="16"/>
      <c r="AP369" s="16"/>
      <c r="AS369" s="16"/>
      <c r="AT369" s="16"/>
      <c r="AW369" s="16"/>
      <c r="AX369" s="16"/>
      <c r="BA369" s="16"/>
      <c r="BB369" s="16"/>
      <c r="BH369" s="19"/>
      <c r="CD369" s="19"/>
    </row>
    <row r="370" spans="12:82" x14ac:dyDescent="0.25">
      <c r="L370" s="17"/>
      <c r="P370" s="17"/>
      <c r="R370" s="16">
        <v>0</v>
      </c>
      <c r="U370" s="16"/>
      <c r="V370" s="16">
        <v>0</v>
      </c>
      <c r="Y370" s="16"/>
      <c r="Z370" s="16"/>
      <c r="AC370" s="16"/>
      <c r="AD370" s="16"/>
      <c r="AG370" s="16"/>
      <c r="AH370" s="16"/>
      <c r="AK370" s="16"/>
      <c r="AL370" s="16"/>
      <c r="AO370" s="16"/>
      <c r="AP370" s="16"/>
      <c r="AS370" s="16"/>
      <c r="AT370" s="16"/>
      <c r="AW370" s="16"/>
      <c r="AX370" s="16"/>
      <c r="BA370" s="16"/>
      <c r="BB370" s="16"/>
      <c r="BH370" s="19"/>
      <c r="CD370" s="19"/>
    </row>
    <row r="371" spans="12:82" x14ac:dyDescent="0.25">
      <c r="L371" s="17"/>
      <c r="P371" s="17"/>
      <c r="R371" s="16">
        <v>0</v>
      </c>
      <c r="U371" s="16"/>
      <c r="V371" s="16">
        <v>0</v>
      </c>
      <c r="Y371" s="16"/>
      <c r="Z371" s="16"/>
      <c r="AC371" s="16"/>
      <c r="AD371" s="16"/>
      <c r="AG371" s="16"/>
      <c r="AH371" s="16"/>
      <c r="AK371" s="16"/>
      <c r="AL371" s="16"/>
      <c r="AO371" s="16"/>
      <c r="AP371" s="16"/>
      <c r="AS371" s="16"/>
      <c r="AT371" s="16"/>
      <c r="AW371" s="16"/>
      <c r="AX371" s="16"/>
      <c r="BA371" s="16"/>
      <c r="BB371" s="16"/>
      <c r="BH371" s="19"/>
      <c r="CD371" s="19"/>
    </row>
    <row r="372" spans="12:82" x14ac:dyDescent="0.25">
      <c r="L372" s="17"/>
      <c r="P372" s="17"/>
      <c r="R372" s="16">
        <v>0</v>
      </c>
      <c r="U372" s="16"/>
      <c r="V372" s="16">
        <v>0</v>
      </c>
      <c r="Y372" s="16"/>
      <c r="Z372" s="16"/>
      <c r="AC372" s="16"/>
      <c r="AD372" s="16"/>
      <c r="AG372" s="16"/>
      <c r="AH372" s="16"/>
      <c r="AK372" s="16"/>
      <c r="AL372" s="16"/>
      <c r="AO372" s="16"/>
      <c r="AP372" s="16"/>
      <c r="AS372" s="16"/>
      <c r="AT372" s="16"/>
      <c r="AW372" s="16"/>
      <c r="AX372" s="16"/>
      <c r="BA372" s="16"/>
      <c r="BB372" s="16"/>
      <c r="BH372" s="19"/>
      <c r="CD372" s="19"/>
    </row>
    <row r="373" spans="12:82" x14ac:dyDescent="0.25">
      <c r="L373" s="17"/>
      <c r="P373" s="17"/>
      <c r="R373" s="16">
        <v>0</v>
      </c>
      <c r="U373" s="16"/>
      <c r="V373" s="16">
        <v>0</v>
      </c>
      <c r="Y373" s="16"/>
      <c r="Z373" s="16"/>
      <c r="AC373" s="16"/>
      <c r="AD373" s="16"/>
      <c r="AG373" s="16"/>
      <c r="AH373" s="16"/>
      <c r="AK373" s="16"/>
      <c r="AL373" s="16"/>
      <c r="AO373" s="16"/>
      <c r="AP373" s="16"/>
      <c r="AS373" s="16"/>
      <c r="AT373" s="16"/>
      <c r="AW373" s="16"/>
      <c r="AX373" s="16"/>
      <c r="BA373" s="16"/>
      <c r="BB373" s="16"/>
      <c r="BH373" s="19"/>
      <c r="CD373" s="19"/>
    </row>
    <row r="374" spans="12:82" x14ac:dyDescent="0.25">
      <c r="L374" s="17"/>
      <c r="P374" s="17"/>
      <c r="R374" s="16">
        <v>0</v>
      </c>
      <c r="U374" s="16"/>
      <c r="V374" s="16">
        <v>0</v>
      </c>
      <c r="Y374" s="16"/>
      <c r="Z374" s="16"/>
      <c r="AC374" s="16"/>
      <c r="AD374" s="16"/>
      <c r="AG374" s="16"/>
      <c r="AH374" s="16"/>
      <c r="AK374" s="16"/>
      <c r="AL374" s="16"/>
      <c r="AO374" s="16"/>
      <c r="AP374" s="16"/>
      <c r="AS374" s="16"/>
      <c r="AT374" s="16"/>
      <c r="AW374" s="16"/>
      <c r="AX374" s="16"/>
      <c r="BA374" s="16"/>
      <c r="BB374" s="16"/>
      <c r="BH374" s="19"/>
      <c r="CD374" s="19"/>
    </row>
    <row r="375" spans="12:82" x14ac:dyDescent="0.25">
      <c r="L375" s="17"/>
      <c r="P375" s="17"/>
      <c r="R375" s="16">
        <v>0</v>
      </c>
      <c r="U375" s="16"/>
      <c r="V375" s="16">
        <v>0</v>
      </c>
      <c r="Y375" s="16"/>
      <c r="Z375" s="16"/>
      <c r="AC375" s="16"/>
      <c r="AD375" s="16"/>
      <c r="AG375" s="16"/>
      <c r="AH375" s="16"/>
      <c r="AK375" s="16"/>
      <c r="AL375" s="16"/>
      <c r="AO375" s="16"/>
      <c r="AP375" s="16"/>
      <c r="AS375" s="16"/>
      <c r="AT375" s="16"/>
      <c r="AW375" s="16"/>
      <c r="AX375" s="16"/>
      <c r="BA375" s="16"/>
      <c r="BB375" s="16"/>
      <c r="BH375" s="19"/>
      <c r="CD375" s="19"/>
    </row>
    <row r="376" spans="12:82" x14ac:dyDescent="0.25">
      <c r="L376" s="17"/>
      <c r="P376" s="17"/>
      <c r="R376" s="16">
        <v>0</v>
      </c>
      <c r="U376" s="16"/>
      <c r="V376" s="16">
        <v>0</v>
      </c>
      <c r="Y376" s="16"/>
      <c r="Z376" s="16"/>
      <c r="AC376" s="16"/>
      <c r="AD376" s="16"/>
      <c r="AG376" s="16"/>
      <c r="AH376" s="16"/>
      <c r="AK376" s="16"/>
      <c r="AL376" s="16"/>
      <c r="AO376" s="16"/>
      <c r="AP376" s="16"/>
      <c r="AS376" s="16"/>
      <c r="AT376" s="16"/>
      <c r="AW376" s="16"/>
      <c r="AX376" s="16"/>
      <c r="BA376" s="16"/>
      <c r="BB376" s="16"/>
      <c r="BH376" s="19"/>
      <c r="CD376" s="19"/>
    </row>
    <row r="377" spans="12:82" x14ac:dyDescent="0.25">
      <c r="L377" s="17"/>
      <c r="P377" s="17"/>
      <c r="R377" s="16">
        <v>0</v>
      </c>
      <c r="U377" s="16"/>
      <c r="V377" s="16">
        <v>0</v>
      </c>
      <c r="Y377" s="16"/>
      <c r="Z377" s="16"/>
      <c r="AC377" s="16"/>
      <c r="AD377" s="16"/>
      <c r="AG377" s="16"/>
      <c r="AH377" s="16"/>
      <c r="AK377" s="16"/>
      <c r="AL377" s="16"/>
      <c r="AO377" s="16"/>
      <c r="AP377" s="16"/>
      <c r="AS377" s="16"/>
      <c r="AT377" s="16"/>
      <c r="AW377" s="16"/>
      <c r="AX377" s="16"/>
      <c r="BA377" s="16"/>
      <c r="BB377" s="16"/>
      <c r="BH377" s="19"/>
      <c r="CD377" s="19"/>
    </row>
    <row r="378" spans="12:82" x14ac:dyDescent="0.25">
      <c r="L378" s="17"/>
      <c r="P378" s="17"/>
      <c r="R378" s="16">
        <v>0</v>
      </c>
      <c r="U378" s="16"/>
      <c r="V378" s="16">
        <v>0</v>
      </c>
      <c r="Y378" s="16"/>
      <c r="Z378" s="16"/>
      <c r="AC378" s="16"/>
      <c r="AD378" s="16"/>
      <c r="AG378" s="16"/>
      <c r="AH378" s="16"/>
      <c r="AK378" s="16"/>
      <c r="AL378" s="16"/>
      <c r="AO378" s="16"/>
      <c r="AP378" s="16"/>
      <c r="AS378" s="16"/>
      <c r="AT378" s="16"/>
      <c r="AW378" s="16"/>
      <c r="AX378" s="16"/>
      <c r="BA378" s="16"/>
      <c r="BB378" s="16"/>
      <c r="BH378" s="19"/>
      <c r="CD378" s="19"/>
    </row>
    <row r="379" spans="12:82" x14ac:dyDescent="0.25">
      <c r="L379" s="17"/>
      <c r="P379" s="17"/>
      <c r="R379" s="16">
        <v>0</v>
      </c>
      <c r="U379" s="16"/>
      <c r="V379" s="16">
        <v>0</v>
      </c>
      <c r="Y379" s="16"/>
      <c r="Z379" s="16"/>
      <c r="AC379" s="16"/>
      <c r="AD379" s="16"/>
      <c r="AG379" s="16"/>
      <c r="AH379" s="16"/>
      <c r="AK379" s="16"/>
      <c r="AL379" s="16"/>
      <c r="AO379" s="16"/>
      <c r="AP379" s="16"/>
      <c r="AS379" s="16"/>
      <c r="AT379" s="16"/>
      <c r="AW379" s="16"/>
      <c r="AX379" s="16"/>
      <c r="BA379" s="16"/>
      <c r="BB379" s="16"/>
      <c r="BH379" s="19"/>
      <c r="CD379" s="19"/>
    </row>
    <row r="380" spans="12:82" x14ac:dyDescent="0.25">
      <c r="L380" s="17"/>
      <c r="P380" s="17"/>
      <c r="R380" s="16">
        <v>0</v>
      </c>
      <c r="U380" s="16"/>
      <c r="V380" s="16">
        <v>0</v>
      </c>
      <c r="Y380" s="16"/>
      <c r="Z380" s="16"/>
      <c r="AC380" s="16"/>
      <c r="AD380" s="16"/>
      <c r="AG380" s="16"/>
      <c r="AH380" s="16"/>
      <c r="AK380" s="16"/>
      <c r="AL380" s="16"/>
      <c r="AO380" s="16"/>
      <c r="AP380" s="16"/>
      <c r="AS380" s="16"/>
      <c r="AT380" s="16"/>
      <c r="AW380" s="16"/>
      <c r="AX380" s="16"/>
      <c r="BA380" s="16"/>
      <c r="BB380" s="16"/>
      <c r="BH380" s="19"/>
      <c r="CD380" s="19"/>
    </row>
    <row r="381" spans="12:82" x14ac:dyDescent="0.25">
      <c r="L381" s="17"/>
      <c r="P381" s="17"/>
      <c r="R381" s="16">
        <v>0</v>
      </c>
      <c r="U381" s="16"/>
      <c r="V381" s="16">
        <v>0</v>
      </c>
      <c r="Y381" s="16"/>
      <c r="Z381" s="16"/>
      <c r="AC381" s="16"/>
      <c r="AD381" s="16"/>
      <c r="AG381" s="16"/>
      <c r="AH381" s="16"/>
      <c r="AK381" s="16"/>
      <c r="AL381" s="16"/>
      <c r="AO381" s="16"/>
      <c r="AP381" s="16"/>
      <c r="AS381" s="16"/>
      <c r="AT381" s="16"/>
      <c r="AW381" s="16"/>
      <c r="AX381" s="16"/>
      <c r="BA381" s="16"/>
      <c r="BB381" s="16"/>
      <c r="BH381" s="19"/>
      <c r="CD381" s="19"/>
    </row>
    <row r="382" spans="12:82" x14ac:dyDescent="0.25">
      <c r="L382" s="17"/>
      <c r="P382" s="17"/>
      <c r="R382" s="16">
        <v>0</v>
      </c>
      <c r="U382" s="16"/>
      <c r="V382" s="16">
        <v>0</v>
      </c>
      <c r="Y382" s="16"/>
      <c r="Z382" s="16"/>
      <c r="AC382" s="16"/>
      <c r="AD382" s="16"/>
      <c r="AG382" s="16"/>
      <c r="AH382" s="16"/>
      <c r="AK382" s="16"/>
      <c r="AL382" s="16"/>
      <c r="AO382" s="16"/>
      <c r="AP382" s="16"/>
      <c r="AS382" s="16"/>
      <c r="AT382" s="16"/>
      <c r="AW382" s="16"/>
      <c r="AX382" s="16"/>
      <c r="BA382" s="16"/>
      <c r="BB382" s="16"/>
      <c r="BH382" s="19"/>
      <c r="CD382" s="19"/>
    </row>
    <row r="383" spans="12:82" x14ac:dyDescent="0.25">
      <c r="L383" s="17"/>
      <c r="P383" s="17"/>
      <c r="R383" s="16">
        <v>0</v>
      </c>
      <c r="U383" s="16"/>
      <c r="V383" s="16">
        <v>0</v>
      </c>
      <c r="Y383" s="16"/>
      <c r="Z383" s="16"/>
      <c r="AC383" s="16"/>
      <c r="AD383" s="16"/>
      <c r="AG383" s="16"/>
      <c r="AH383" s="16"/>
      <c r="AK383" s="16"/>
      <c r="AL383" s="16"/>
      <c r="AO383" s="16"/>
      <c r="AP383" s="16"/>
      <c r="AS383" s="16"/>
      <c r="AT383" s="16"/>
      <c r="AW383" s="16"/>
      <c r="AX383" s="16"/>
      <c r="BA383" s="16"/>
      <c r="BB383" s="16"/>
      <c r="BH383" s="19"/>
      <c r="CD383" s="19"/>
    </row>
    <row r="384" spans="12:82" x14ac:dyDescent="0.25">
      <c r="L384" s="17"/>
      <c r="P384" s="17"/>
      <c r="R384" s="16">
        <v>0</v>
      </c>
      <c r="U384" s="16"/>
      <c r="V384" s="16">
        <v>0</v>
      </c>
      <c r="Y384" s="16"/>
      <c r="Z384" s="16"/>
      <c r="AC384" s="16"/>
      <c r="AD384" s="16"/>
      <c r="AG384" s="16"/>
      <c r="AH384" s="16"/>
      <c r="AK384" s="16"/>
      <c r="AL384" s="16"/>
      <c r="AO384" s="16"/>
      <c r="AP384" s="16"/>
      <c r="AS384" s="16"/>
      <c r="AT384" s="16"/>
      <c r="AW384" s="16"/>
      <c r="AX384" s="16"/>
      <c r="BA384" s="16"/>
      <c r="BB384" s="16"/>
      <c r="BH384" s="19"/>
      <c r="CD384" s="19"/>
    </row>
    <row r="385" spans="12:82" x14ac:dyDescent="0.25">
      <c r="L385" s="17"/>
      <c r="P385" s="17"/>
      <c r="R385" s="16">
        <v>0</v>
      </c>
      <c r="U385" s="16"/>
      <c r="V385" s="16">
        <v>0</v>
      </c>
      <c r="Y385" s="16"/>
      <c r="Z385" s="16"/>
      <c r="AC385" s="16"/>
      <c r="AD385" s="16"/>
      <c r="AG385" s="16"/>
      <c r="AH385" s="16"/>
      <c r="AK385" s="16"/>
      <c r="AL385" s="16"/>
      <c r="AO385" s="16"/>
      <c r="AP385" s="16"/>
      <c r="AS385" s="16"/>
      <c r="AT385" s="16"/>
      <c r="AW385" s="16"/>
      <c r="AX385" s="16"/>
      <c r="BA385" s="16"/>
      <c r="BB385" s="16"/>
      <c r="BH385" s="19"/>
      <c r="CD385" s="19"/>
    </row>
    <row r="386" spans="12:82" x14ac:dyDescent="0.25">
      <c r="L386" s="17"/>
      <c r="P386" s="17"/>
      <c r="R386" s="16">
        <v>0</v>
      </c>
      <c r="U386" s="16"/>
      <c r="V386" s="16">
        <v>0</v>
      </c>
      <c r="Y386" s="16"/>
      <c r="Z386" s="16"/>
      <c r="AC386" s="16"/>
      <c r="AD386" s="16"/>
      <c r="AG386" s="16"/>
      <c r="AH386" s="16"/>
      <c r="AK386" s="16"/>
      <c r="AL386" s="16"/>
      <c r="AO386" s="16"/>
      <c r="AP386" s="16"/>
      <c r="AS386" s="16"/>
      <c r="AT386" s="16"/>
      <c r="AW386" s="16"/>
      <c r="AX386" s="16"/>
      <c r="BA386" s="16"/>
      <c r="BB386" s="16"/>
      <c r="BH386" s="19"/>
      <c r="CD386" s="19"/>
    </row>
    <row r="387" spans="12:82" x14ac:dyDescent="0.25">
      <c r="L387" s="17"/>
      <c r="P387" s="17"/>
      <c r="R387" s="16">
        <v>0</v>
      </c>
      <c r="U387" s="16"/>
      <c r="V387" s="16">
        <v>0</v>
      </c>
      <c r="Y387" s="16"/>
      <c r="Z387" s="16"/>
      <c r="AC387" s="16"/>
      <c r="AD387" s="16"/>
      <c r="AG387" s="16"/>
      <c r="AH387" s="16"/>
      <c r="AK387" s="16"/>
      <c r="AL387" s="16"/>
      <c r="AO387" s="16"/>
      <c r="AP387" s="16"/>
      <c r="AS387" s="16"/>
      <c r="AT387" s="16"/>
      <c r="AW387" s="16"/>
      <c r="AX387" s="16"/>
      <c r="BA387" s="16"/>
      <c r="BB387" s="16"/>
      <c r="BH387" s="19"/>
      <c r="CD387" s="19"/>
    </row>
    <row r="388" spans="12:82" x14ac:dyDescent="0.25">
      <c r="L388" s="17"/>
      <c r="P388" s="17"/>
      <c r="R388" s="16">
        <v>0</v>
      </c>
      <c r="U388" s="16"/>
      <c r="V388" s="16">
        <v>0</v>
      </c>
      <c r="Y388" s="16"/>
      <c r="Z388" s="16"/>
      <c r="AC388" s="16"/>
      <c r="AD388" s="16"/>
      <c r="AG388" s="16"/>
      <c r="AH388" s="16"/>
      <c r="AK388" s="16"/>
      <c r="AL388" s="16"/>
      <c r="AO388" s="16"/>
      <c r="AP388" s="16"/>
      <c r="AS388" s="16"/>
      <c r="AT388" s="16"/>
      <c r="AW388" s="16"/>
      <c r="AX388" s="16"/>
      <c r="BA388" s="16"/>
      <c r="BB388" s="16"/>
      <c r="BH388" s="19"/>
      <c r="CD388" s="19"/>
    </row>
    <row r="389" spans="12:82" x14ac:dyDescent="0.25">
      <c r="L389" s="17"/>
      <c r="P389" s="17"/>
      <c r="R389" s="16">
        <v>0</v>
      </c>
      <c r="U389" s="16"/>
      <c r="V389" s="16">
        <v>0</v>
      </c>
      <c r="Y389" s="16"/>
      <c r="Z389" s="16"/>
      <c r="AC389" s="16"/>
      <c r="AD389" s="16"/>
      <c r="AG389" s="16"/>
      <c r="AH389" s="16"/>
      <c r="AK389" s="16"/>
      <c r="AL389" s="16"/>
      <c r="AO389" s="16"/>
      <c r="AP389" s="16"/>
      <c r="AS389" s="16"/>
      <c r="AT389" s="16"/>
      <c r="AW389" s="16"/>
      <c r="AX389" s="16"/>
      <c r="BA389" s="16"/>
      <c r="BB389" s="16"/>
      <c r="BH389" s="19"/>
      <c r="CD389" s="19"/>
    </row>
    <row r="390" spans="12:82" x14ac:dyDescent="0.25">
      <c r="L390" s="17"/>
      <c r="P390" s="17"/>
      <c r="R390" s="16">
        <v>0</v>
      </c>
      <c r="U390" s="16"/>
      <c r="V390" s="16">
        <v>0</v>
      </c>
      <c r="Y390" s="16"/>
      <c r="Z390" s="16"/>
      <c r="AC390" s="16"/>
      <c r="AD390" s="16"/>
      <c r="AG390" s="16"/>
      <c r="AH390" s="16"/>
      <c r="AK390" s="16"/>
      <c r="AL390" s="16"/>
      <c r="AO390" s="16"/>
      <c r="AP390" s="16"/>
      <c r="AS390" s="16"/>
      <c r="AT390" s="16"/>
      <c r="AW390" s="16"/>
      <c r="AX390" s="16"/>
      <c r="BA390" s="16"/>
      <c r="BB390" s="16"/>
      <c r="BH390" s="19"/>
      <c r="CD390" s="19"/>
    </row>
    <row r="391" spans="12:82" x14ac:dyDescent="0.25">
      <c r="L391" s="17"/>
      <c r="P391" s="17"/>
      <c r="R391" s="16">
        <v>0</v>
      </c>
      <c r="U391" s="16"/>
      <c r="V391" s="16">
        <v>0</v>
      </c>
      <c r="Y391" s="16"/>
      <c r="Z391" s="16"/>
      <c r="AC391" s="16"/>
      <c r="AD391" s="16"/>
      <c r="AG391" s="16"/>
      <c r="AH391" s="16"/>
      <c r="AK391" s="16"/>
      <c r="AL391" s="16"/>
      <c r="AO391" s="16"/>
      <c r="AP391" s="16"/>
      <c r="AS391" s="16"/>
      <c r="AT391" s="16"/>
      <c r="AW391" s="16"/>
      <c r="AX391" s="16"/>
      <c r="BA391" s="16"/>
      <c r="BB391" s="16"/>
      <c r="BH391" s="19"/>
      <c r="CD391" s="19"/>
    </row>
    <row r="392" spans="12:82" x14ac:dyDescent="0.25">
      <c r="L392" s="17"/>
      <c r="P392" s="17"/>
      <c r="R392" s="16">
        <v>0</v>
      </c>
      <c r="U392" s="16"/>
      <c r="V392" s="16">
        <v>0</v>
      </c>
      <c r="Y392" s="16"/>
      <c r="Z392" s="16"/>
      <c r="AC392" s="16"/>
      <c r="AD392" s="16"/>
      <c r="AG392" s="16"/>
      <c r="AH392" s="16"/>
      <c r="AK392" s="16"/>
      <c r="AL392" s="16"/>
      <c r="AO392" s="16"/>
      <c r="AP392" s="16"/>
      <c r="AS392" s="16"/>
      <c r="AT392" s="16"/>
      <c r="AW392" s="16"/>
      <c r="AX392" s="16"/>
      <c r="BA392" s="16"/>
      <c r="BB392" s="16"/>
      <c r="BH392" s="19"/>
      <c r="CD392" s="19"/>
    </row>
    <row r="393" spans="12:82" x14ac:dyDescent="0.25">
      <c r="L393" s="17"/>
      <c r="P393" s="17"/>
      <c r="R393" s="16">
        <v>0</v>
      </c>
      <c r="U393" s="16"/>
      <c r="V393" s="16">
        <v>0</v>
      </c>
      <c r="Y393" s="16"/>
      <c r="Z393" s="16"/>
      <c r="AC393" s="16"/>
      <c r="AD393" s="16"/>
      <c r="AG393" s="16"/>
      <c r="AH393" s="16"/>
      <c r="AK393" s="16"/>
      <c r="AL393" s="16"/>
      <c r="AO393" s="16"/>
      <c r="AP393" s="16"/>
      <c r="AS393" s="16"/>
      <c r="AT393" s="16"/>
      <c r="AW393" s="16"/>
      <c r="AX393" s="16"/>
      <c r="BA393" s="16"/>
      <c r="BB393" s="16"/>
      <c r="BH393" s="19"/>
      <c r="CD393" s="19"/>
    </row>
    <row r="394" spans="12:82" x14ac:dyDescent="0.25">
      <c r="L394" s="17"/>
      <c r="P394" s="17"/>
      <c r="R394" s="16">
        <v>0</v>
      </c>
      <c r="U394" s="16"/>
      <c r="V394" s="16">
        <v>0</v>
      </c>
      <c r="Y394" s="16"/>
      <c r="Z394" s="16"/>
      <c r="AC394" s="16"/>
      <c r="AD394" s="16"/>
      <c r="AG394" s="16"/>
      <c r="AH394" s="16"/>
      <c r="AK394" s="16"/>
      <c r="AL394" s="16"/>
      <c r="AO394" s="16"/>
      <c r="AP394" s="16"/>
      <c r="AS394" s="16"/>
      <c r="AT394" s="16"/>
      <c r="AW394" s="16"/>
      <c r="AX394" s="16"/>
      <c r="BA394" s="16"/>
      <c r="BB394" s="16"/>
      <c r="BH394" s="19"/>
      <c r="CD394" s="19"/>
    </row>
    <row r="395" spans="12:82" x14ac:dyDescent="0.25">
      <c r="L395" s="17"/>
      <c r="P395" s="17"/>
      <c r="R395" s="16">
        <v>0</v>
      </c>
      <c r="U395" s="16"/>
      <c r="V395" s="16">
        <v>0</v>
      </c>
      <c r="Y395" s="16"/>
      <c r="Z395" s="16"/>
      <c r="AC395" s="16"/>
      <c r="AD395" s="16"/>
      <c r="AG395" s="16"/>
      <c r="AH395" s="16"/>
      <c r="AK395" s="16"/>
      <c r="AL395" s="16"/>
      <c r="AO395" s="16"/>
      <c r="AP395" s="16"/>
      <c r="AS395" s="16"/>
      <c r="AT395" s="16"/>
      <c r="AW395" s="16"/>
      <c r="AX395" s="16"/>
      <c r="BA395" s="16"/>
      <c r="BB395" s="16"/>
      <c r="BH395" s="19"/>
      <c r="CD395" s="19"/>
    </row>
    <row r="396" spans="12:82" x14ac:dyDescent="0.25">
      <c r="L396" s="17"/>
      <c r="P396" s="17"/>
      <c r="R396" s="16">
        <v>0</v>
      </c>
      <c r="U396" s="16"/>
      <c r="V396" s="16">
        <v>0</v>
      </c>
      <c r="Y396" s="16"/>
      <c r="Z396" s="16"/>
      <c r="AC396" s="16"/>
      <c r="AD396" s="16"/>
      <c r="AG396" s="16"/>
      <c r="AH396" s="16"/>
      <c r="AK396" s="16"/>
      <c r="AL396" s="16"/>
      <c r="AO396" s="16"/>
      <c r="AP396" s="16"/>
      <c r="AS396" s="16"/>
      <c r="AT396" s="16"/>
      <c r="AW396" s="16"/>
      <c r="AX396" s="16"/>
      <c r="BA396" s="16"/>
      <c r="BB396" s="16"/>
      <c r="BH396" s="19"/>
      <c r="CD396" s="19"/>
    </row>
    <row r="397" spans="12:82" x14ac:dyDescent="0.25">
      <c r="L397" s="17"/>
      <c r="P397" s="17"/>
      <c r="R397" s="16">
        <v>0</v>
      </c>
      <c r="U397" s="16"/>
      <c r="V397" s="16">
        <v>0</v>
      </c>
      <c r="Y397" s="16"/>
      <c r="Z397" s="16"/>
      <c r="AC397" s="16"/>
      <c r="AD397" s="16"/>
      <c r="AG397" s="16"/>
      <c r="AH397" s="16"/>
      <c r="AK397" s="16"/>
      <c r="AL397" s="16"/>
      <c r="AO397" s="16"/>
      <c r="AP397" s="16"/>
      <c r="AS397" s="16"/>
      <c r="AT397" s="16"/>
      <c r="AW397" s="16"/>
      <c r="AX397" s="16"/>
      <c r="BA397" s="16"/>
      <c r="BB397" s="16"/>
      <c r="BH397" s="19"/>
      <c r="CD397" s="19"/>
    </row>
    <row r="398" spans="12:82" x14ac:dyDescent="0.25">
      <c r="L398" s="17"/>
      <c r="P398" s="17"/>
      <c r="R398" s="16">
        <v>0</v>
      </c>
      <c r="U398" s="16"/>
      <c r="V398" s="16">
        <v>0</v>
      </c>
      <c r="Y398" s="16"/>
      <c r="Z398" s="16"/>
      <c r="AC398" s="16"/>
      <c r="AD398" s="16"/>
      <c r="AG398" s="16"/>
      <c r="AH398" s="16"/>
      <c r="AK398" s="16"/>
      <c r="AL398" s="16"/>
      <c r="AO398" s="16"/>
      <c r="AP398" s="16"/>
      <c r="AS398" s="16"/>
      <c r="AT398" s="16"/>
      <c r="AW398" s="16"/>
      <c r="AX398" s="16"/>
      <c r="BA398" s="16"/>
      <c r="BB398" s="16"/>
      <c r="BH398" s="19"/>
      <c r="CD398" s="19"/>
    </row>
    <row r="399" spans="12:82" x14ac:dyDescent="0.25">
      <c r="L399" s="17"/>
      <c r="P399" s="17"/>
      <c r="R399" s="16">
        <v>0</v>
      </c>
      <c r="U399" s="16"/>
      <c r="V399" s="16">
        <v>0</v>
      </c>
      <c r="Y399" s="16"/>
      <c r="Z399" s="16"/>
      <c r="AC399" s="16"/>
      <c r="AD399" s="16"/>
      <c r="AG399" s="16"/>
      <c r="AH399" s="16"/>
      <c r="AK399" s="16"/>
      <c r="AL399" s="16"/>
      <c r="AO399" s="16"/>
      <c r="AP399" s="16"/>
      <c r="AS399" s="16"/>
      <c r="AT399" s="16"/>
      <c r="AW399" s="16"/>
      <c r="AX399" s="16"/>
      <c r="BA399" s="16"/>
      <c r="BB399" s="16"/>
      <c r="BH399" s="19"/>
      <c r="CD399" s="19"/>
    </row>
    <row r="400" spans="12:82" x14ac:dyDescent="0.25">
      <c r="L400" s="17"/>
      <c r="P400" s="17"/>
      <c r="R400" s="16">
        <v>0</v>
      </c>
      <c r="U400" s="16"/>
      <c r="V400" s="16">
        <v>0</v>
      </c>
      <c r="Y400" s="16"/>
      <c r="Z400" s="16"/>
      <c r="AC400" s="16"/>
      <c r="AD400" s="16"/>
      <c r="AG400" s="16"/>
      <c r="AH400" s="16"/>
      <c r="AK400" s="16"/>
      <c r="AL400" s="16"/>
      <c r="AO400" s="16"/>
      <c r="AP400" s="16"/>
      <c r="AS400" s="16"/>
      <c r="AT400" s="16"/>
      <c r="AW400" s="16"/>
      <c r="AX400" s="16"/>
      <c r="BA400" s="16"/>
      <c r="BB400" s="16"/>
      <c r="BH400" s="19"/>
      <c r="CD400" s="19"/>
    </row>
    <row r="401" spans="12:82" x14ac:dyDescent="0.25">
      <c r="L401" s="17"/>
      <c r="P401" s="17"/>
      <c r="R401" s="16">
        <v>0</v>
      </c>
      <c r="U401" s="16"/>
      <c r="V401" s="16">
        <v>0</v>
      </c>
      <c r="Y401" s="16"/>
      <c r="Z401" s="16"/>
      <c r="AC401" s="16"/>
      <c r="AD401" s="16"/>
      <c r="AG401" s="16"/>
      <c r="AH401" s="16"/>
      <c r="AK401" s="16"/>
      <c r="AL401" s="16"/>
      <c r="AO401" s="16"/>
      <c r="AP401" s="16"/>
      <c r="AS401" s="16"/>
      <c r="AT401" s="16"/>
      <c r="AW401" s="16"/>
      <c r="AX401" s="16"/>
      <c r="BA401" s="16"/>
      <c r="BB401" s="16"/>
      <c r="BH401" s="19"/>
      <c r="CD401" s="19"/>
    </row>
    <row r="402" spans="12:82" x14ac:dyDescent="0.25">
      <c r="L402" s="17"/>
      <c r="P402" s="17"/>
      <c r="R402" s="16">
        <v>0</v>
      </c>
      <c r="U402" s="16"/>
      <c r="V402" s="16">
        <v>0</v>
      </c>
      <c r="Y402" s="16"/>
      <c r="Z402" s="16"/>
      <c r="AC402" s="16"/>
      <c r="AD402" s="16"/>
      <c r="AG402" s="16"/>
      <c r="AH402" s="16"/>
      <c r="AK402" s="16"/>
      <c r="AL402" s="16"/>
      <c r="AO402" s="16"/>
      <c r="AP402" s="16"/>
      <c r="AS402" s="16"/>
      <c r="AT402" s="16"/>
      <c r="AW402" s="16"/>
      <c r="AX402" s="16"/>
      <c r="BA402" s="16"/>
      <c r="BB402" s="16"/>
      <c r="BH402" s="19"/>
      <c r="CD402" s="19"/>
    </row>
    <row r="403" spans="12:82" x14ac:dyDescent="0.25">
      <c r="L403" s="17"/>
      <c r="P403" s="17"/>
      <c r="R403" s="16">
        <v>0</v>
      </c>
      <c r="U403" s="16"/>
      <c r="V403" s="16">
        <v>0</v>
      </c>
      <c r="Y403" s="16"/>
      <c r="Z403" s="16"/>
      <c r="AC403" s="16"/>
      <c r="AD403" s="16"/>
      <c r="AG403" s="16"/>
      <c r="AH403" s="16"/>
      <c r="AK403" s="16"/>
      <c r="AL403" s="16"/>
      <c r="AO403" s="16"/>
      <c r="AP403" s="16"/>
      <c r="AS403" s="16"/>
      <c r="AT403" s="16"/>
      <c r="AW403" s="16"/>
      <c r="AX403" s="16"/>
      <c r="BA403" s="16"/>
      <c r="BB403" s="16"/>
      <c r="BH403" s="19"/>
      <c r="CD403" s="19"/>
    </row>
    <row r="404" spans="12:82" x14ac:dyDescent="0.25">
      <c r="L404" s="17"/>
      <c r="P404" s="17"/>
      <c r="R404" s="16">
        <v>0</v>
      </c>
      <c r="U404" s="16"/>
      <c r="V404" s="16">
        <v>0</v>
      </c>
      <c r="Y404" s="16"/>
      <c r="Z404" s="16"/>
      <c r="AC404" s="16"/>
      <c r="AD404" s="16"/>
      <c r="AG404" s="16"/>
      <c r="AH404" s="16"/>
      <c r="AK404" s="16"/>
      <c r="AL404" s="16"/>
      <c r="AO404" s="16"/>
      <c r="AP404" s="16"/>
      <c r="AS404" s="16"/>
      <c r="AT404" s="16"/>
      <c r="AW404" s="16"/>
      <c r="AX404" s="16"/>
      <c r="BA404" s="16"/>
      <c r="BB404" s="16"/>
      <c r="BH404" s="19"/>
      <c r="CD404" s="19"/>
    </row>
    <row r="405" spans="12:82" x14ac:dyDescent="0.25">
      <c r="L405" s="17"/>
      <c r="P405" s="17"/>
      <c r="R405" s="16">
        <v>0</v>
      </c>
      <c r="U405" s="16"/>
      <c r="V405" s="16">
        <v>0</v>
      </c>
      <c r="Y405" s="16"/>
      <c r="Z405" s="16"/>
      <c r="AC405" s="16"/>
      <c r="AD405" s="16"/>
      <c r="AG405" s="16"/>
      <c r="AH405" s="16"/>
      <c r="AK405" s="16"/>
      <c r="AL405" s="16"/>
      <c r="AO405" s="16"/>
      <c r="AP405" s="16"/>
      <c r="AS405" s="16"/>
      <c r="AT405" s="16"/>
      <c r="AW405" s="16"/>
      <c r="AX405" s="16"/>
      <c r="BA405" s="16"/>
      <c r="BB405" s="16"/>
      <c r="BH405" s="19"/>
      <c r="CD405" s="19"/>
    </row>
    <row r="406" spans="12:82" x14ac:dyDescent="0.25">
      <c r="L406" s="17"/>
      <c r="P406" s="17"/>
      <c r="R406" s="16">
        <v>0</v>
      </c>
      <c r="U406" s="16"/>
      <c r="V406" s="16">
        <v>0</v>
      </c>
      <c r="Y406" s="16"/>
      <c r="Z406" s="16"/>
      <c r="AC406" s="16"/>
      <c r="AD406" s="16"/>
      <c r="AG406" s="16"/>
      <c r="AH406" s="16"/>
      <c r="AK406" s="16"/>
      <c r="AL406" s="16"/>
      <c r="AO406" s="16"/>
      <c r="AP406" s="16"/>
      <c r="AS406" s="16"/>
      <c r="AT406" s="16"/>
      <c r="AW406" s="16"/>
      <c r="AX406" s="16"/>
      <c r="BA406" s="16"/>
      <c r="BB406" s="16"/>
      <c r="BH406" s="19"/>
      <c r="CD406" s="19"/>
    </row>
    <row r="407" spans="12:82" x14ac:dyDescent="0.25">
      <c r="L407" s="17"/>
      <c r="P407" s="17"/>
      <c r="R407" s="16">
        <v>0</v>
      </c>
      <c r="U407" s="16"/>
      <c r="V407" s="16">
        <v>0</v>
      </c>
      <c r="Y407" s="16"/>
      <c r="Z407" s="16"/>
      <c r="AC407" s="16"/>
      <c r="AD407" s="16"/>
      <c r="AG407" s="16"/>
      <c r="AH407" s="16"/>
      <c r="AK407" s="16"/>
      <c r="AL407" s="16"/>
      <c r="AO407" s="16"/>
      <c r="AP407" s="16"/>
      <c r="AS407" s="16"/>
      <c r="AT407" s="16"/>
      <c r="AW407" s="16"/>
      <c r="AX407" s="16"/>
      <c r="BA407" s="16"/>
      <c r="BB407" s="16"/>
      <c r="BH407" s="19"/>
      <c r="CD407" s="19"/>
    </row>
    <row r="408" spans="12:82" x14ac:dyDescent="0.25">
      <c r="L408" s="17"/>
      <c r="P408" s="17"/>
      <c r="R408" s="16">
        <v>0</v>
      </c>
      <c r="U408" s="16"/>
      <c r="V408" s="16">
        <v>0</v>
      </c>
      <c r="Y408" s="16"/>
      <c r="Z408" s="16"/>
      <c r="AC408" s="16"/>
      <c r="AD408" s="16"/>
      <c r="AG408" s="16"/>
      <c r="AH408" s="16"/>
      <c r="AK408" s="16"/>
      <c r="AL408" s="16"/>
      <c r="AO408" s="16"/>
      <c r="AP408" s="16"/>
      <c r="AS408" s="16"/>
      <c r="AT408" s="16"/>
      <c r="AW408" s="16"/>
      <c r="AX408" s="16"/>
      <c r="BA408" s="16"/>
      <c r="BB408" s="16"/>
      <c r="BH408" s="19"/>
      <c r="CD408" s="19"/>
    </row>
    <row r="409" spans="12:82" x14ac:dyDescent="0.25">
      <c r="L409" s="17"/>
      <c r="P409" s="17"/>
      <c r="R409" s="16">
        <v>0</v>
      </c>
      <c r="U409" s="16"/>
      <c r="V409" s="16">
        <v>0</v>
      </c>
      <c r="Y409" s="16"/>
      <c r="Z409" s="16"/>
      <c r="AC409" s="16"/>
      <c r="AD409" s="16"/>
      <c r="AG409" s="16"/>
      <c r="AH409" s="16"/>
      <c r="AK409" s="16"/>
      <c r="AL409" s="16"/>
      <c r="AO409" s="16"/>
      <c r="AP409" s="16"/>
      <c r="AS409" s="16"/>
      <c r="AT409" s="16"/>
      <c r="AW409" s="16"/>
      <c r="AX409" s="16"/>
      <c r="BA409" s="16"/>
      <c r="BB409" s="16"/>
      <c r="BH409" s="19"/>
      <c r="CD409" s="19"/>
    </row>
    <row r="410" spans="12:82" x14ac:dyDescent="0.25">
      <c r="L410" s="17"/>
      <c r="P410" s="17"/>
      <c r="R410" s="16">
        <v>0</v>
      </c>
      <c r="U410" s="16"/>
      <c r="V410" s="16">
        <v>0</v>
      </c>
      <c r="Y410" s="16"/>
      <c r="Z410" s="16"/>
      <c r="AC410" s="16"/>
      <c r="AD410" s="16"/>
      <c r="AG410" s="16"/>
      <c r="AH410" s="16"/>
      <c r="AK410" s="16"/>
      <c r="AL410" s="16"/>
      <c r="AO410" s="16"/>
      <c r="AP410" s="16"/>
      <c r="AS410" s="16"/>
      <c r="AT410" s="16"/>
      <c r="AW410" s="16"/>
      <c r="AX410" s="16"/>
      <c r="BA410" s="16"/>
      <c r="BB410" s="16"/>
      <c r="BH410" s="19"/>
      <c r="CD410" s="19"/>
    </row>
    <row r="411" spans="12:82" x14ac:dyDescent="0.25">
      <c r="L411" s="17"/>
      <c r="P411" s="17"/>
      <c r="R411" s="16">
        <v>0</v>
      </c>
      <c r="U411" s="16"/>
      <c r="V411" s="16">
        <v>0</v>
      </c>
      <c r="Y411" s="16"/>
      <c r="Z411" s="16"/>
      <c r="AC411" s="16"/>
      <c r="AD411" s="16"/>
      <c r="AG411" s="16"/>
      <c r="AH411" s="16"/>
      <c r="AK411" s="16"/>
      <c r="AL411" s="16"/>
      <c r="AO411" s="16"/>
      <c r="AP411" s="16"/>
      <c r="AS411" s="16"/>
      <c r="AT411" s="16"/>
      <c r="AW411" s="16"/>
      <c r="AX411" s="16"/>
      <c r="BA411" s="16"/>
      <c r="BB411" s="16"/>
      <c r="BH411" s="19"/>
      <c r="CD411" s="19"/>
    </row>
    <row r="412" spans="12:82" x14ac:dyDescent="0.25">
      <c r="L412" s="17"/>
      <c r="P412" s="17"/>
      <c r="R412" s="16">
        <v>0</v>
      </c>
      <c r="U412" s="16"/>
      <c r="V412" s="16">
        <v>0</v>
      </c>
      <c r="Y412" s="16"/>
      <c r="Z412" s="16"/>
      <c r="AC412" s="16"/>
      <c r="AD412" s="16"/>
      <c r="AG412" s="16"/>
      <c r="AH412" s="16"/>
      <c r="AK412" s="16"/>
      <c r="AL412" s="16"/>
      <c r="AO412" s="16"/>
      <c r="AP412" s="16"/>
      <c r="AS412" s="16"/>
      <c r="AT412" s="16"/>
      <c r="AW412" s="16"/>
      <c r="AX412" s="16"/>
      <c r="BA412" s="16"/>
      <c r="BB412" s="16"/>
      <c r="BH412" s="19"/>
      <c r="CD412" s="19"/>
    </row>
    <row r="413" spans="12:82" x14ac:dyDescent="0.25">
      <c r="L413" s="17"/>
      <c r="P413" s="17"/>
      <c r="R413" s="16">
        <v>0</v>
      </c>
      <c r="U413" s="16"/>
      <c r="V413" s="16">
        <v>0</v>
      </c>
      <c r="Y413" s="16"/>
      <c r="Z413" s="16"/>
      <c r="AC413" s="16"/>
      <c r="AD413" s="16"/>
      <c r="AG413" s="16"/>
      <c r="AH413" s="16"/>
      <c r="AK413" s="16"/>
      <c r="AL413" s="16"/>
      <c r="AO413" s="16"/>
      <c r="AP413" s="16"/>
      <c r="AS413" s="16"/>
      <c r="AT413" s="16"/>
      <c r="AW413" s="16"/>
      <c r="AX413" s="16"/>
      <c r="BA413" s="16"/>
      <c r="BB413" s="16"/>
      <c r="BH413" s="19"/>
      <c r="CD413" s="19"/>
    </row>
    <row r="414" spans="12:82" x14ac:dyDescent="0.25">
      <c r="L414" s="17"/>
      <c r="P414" s="17"/>
      <c r="R414" s="16">
        <v>0</v>
      </c>
      <c r="U414" s="16"/>
      <c r="V414" s="16">
        <v>0</v>
      </c>
      <c r="Y414" s="16"/>
      <c r="Z414" s="16"/>
      <c r="AC414" s="16"/>
      <c r="AD414" s="16"/>
      <c r="AG414" s="16"/>
      <c r="AH414" s="16"/>
      <c r="AK414" s="16"/>
      <c r="AL414" s="16"/>
      <c r="AO414" s="16"/>
      <c r="AP414" s="16"/>
      <c r="AS414" s="16"/>
      <c r="AT414" s="16"/>
      <c r="AW414" s="16"/>
      <c r="AX414" s="16"/>
      <c r="BA414" s="16"/>
      <c r="BB414" s="16"/>
      <c r="BH414" s="19"/>
      <c r="CD414" s="19"/>
    </row>
    <row r="415" spans="12:82" x14ac:dyDescent="0.25">
      <c r="L415" s="17"/>
      <c r="P415" s="17"/>
      <c r="R415" s="16">
        <v>0</v>
      </c>
      <c r="U415" s="16"/>
      <c r="V415" s="16">
        <v>0</v>
      </c>
      <c r="Y415" s="16"/>
      <c r="Z415" s="16"/>
      <c r="AC415" s="16"/>
      <c r="AD415" s="16"/>
      <c r="AG415" s="16"/>
      <c r="AH415" s="16"/>
      <c r="AK415" s="16"/>
      <c r="AL415" s="16"/>
      <c r="AO415" s="16"/>
      <c r="AP415" s="16"/>
      <c r="AS415" s="16"/>
      <c r="AT415" s="16"/>
      <c r="AW415" s="16"/>
      <c r="AX415" s="16"/>
      <c r="BA415" s="16"/>
      <c r="BB415" s="16"/>
      <c r="BH415" s="19"/>
      <c r="CD415" s="19"/>
    </row>
    <row r="416" spans="12:82" x14ac:dyDescent="0.25">
      <c r="L416" s="17"/>
      <c r="P416" s="17"/>
      <c r="R416" s="16">
        <v>0</v>
      </c>
      <c r="U416" s="16"/>
      <c r="V416" s="16">
        <v>0</v>
      </c>
      <c r="Y416" s="16"/>
      <c r="Z416" s="16"/>
      <c r="AC416" s="16"/>
      <c r="AD416" s="16"/>
      <c r="AG416" s="16"/>
      <c r="AH416" s="16"/>
      <c r="AK416" s="16"/>
      <c r="AL416" s="16"/>
      <c r="AO416" s="16"/>
      <c r="AP416" s="16"/>
      <c r="AS416" s="16"/>
      <c r="AT416" s="16"/>
      <c r="AW416" s="16"/>
      <c r="AX416" s="16"/>
      <c r="BA416" s="16"/>
      <c r="BB416" s="16"/>
      <c r="BH416" s="19"/>
      <c r="CD416" s="19"/>
    </row>
    <row r="417" spans="12:82" x14ac:dyDescent="0.25">
      <c r="L417" s="17"/>
      <c r="P417" s="17"/>
      <c r="R417" s="16">
        <v>0</v>
      </c>
      <c r="U417" s="16"/>
      <c r="V417" s="16">
        <v>0</v>
      </c>
      <c r="Y417" s="16"/>
      <c r="Z417" s="16"/>
      <c r="AC417" s="16"/>
      <c r="AD417" s="16"/>
      <c r="AG417" s="16"/>
      <c r="AH417" s="16"/>
      <c r="AK417" s="16"/>
      <c r="AL417" s="16"/>
      <c r="AO417" s="16"/>
      <c r="AP417" s="16"/>
      <c r="AS417" s="16"/>
      <c r="AT417" s="16"/>
      <c r="AW417" s="16"/>
      <c r="AX417" s="16"/>
      <c r="BA417" s="16"/>
      <c r="BB417" s="16"/>
      <c r="BH417" s="19"/>
      <c r="CD417" s="19"/>
    </row>
    <row r="418" spans="12:82" x14ac:dyDescent="0.25">
      <c r="L418" s="17"/>
      <c r="P418" s="17"/>
      <c r="R418" s="16">
        <v>0</v>
      </c>
      <c r="U418" s="16"/>
      <c r="V418" s="16">
        <v>0</v>
      </c>
      <c r="Y418" s="16"/>
      <c r="Z418" s="16"/>
      <c r="AC418" s="16"/>
      <c r="AD418" s="16"/>
      <c r="AG418" s="16"/>
      <c r="AH418" s="16"/>
      <c r="AK418" s="16"/>
      <c r="AL418" s="16"/>
      <c r="AO418" s="16"/>
      <c r="AP418" s="16"/>
      <c r="AS418" s="16"/>
      <c r="AT418" s="16"/>
      <c r="AW418" s="16"/>
      <c r="AX418" s="16"/>
      <c r="BA418" s="16"/>
      <c r="BB418" s="16"/>
      <c r="BH418" s="19"/>
      <c r="CD418" s="19"/>
    </row>
    <row r="419" spans="12:82" x14ac:dyDescent="0.25">
      <c r="L419" s="17"/>
      <c r="P419" s="17"/>
      <c r="R419" s="16">
        <v>0</v>
      </c>
      <c r="U419" s="16"/>
      <c r="V419" s="16">
        <v>0</v>
      </c>
      <c r="Y419" s="16"/>
      <c r="Z419" s="16"/>
      <c r="AC419" s="16"/>
      <c r="AD419" s="16"/>
      <c r="AG419" s="16"/>
      <c r="AH419" s="16"/>
      <c r="AK419" s="16"/>
      <c r="AL419" s="16"/>
      <c r="AO419" s="16"/>
      <c r="AP419" s="16"/>
      <c r="AS419" s="16"/>
      <c r="AT419" s="16"/>
      <c r="AW419" s="16"/>
      <c r="AX419" s="16"/>
      <c r="BA419" s="16"/>
      <c r="BB419" s="16"/>
      <c r="BH419" s="19"/>
      <c r="CD419" s="19"/>
    </row>
    <row r="420" spans="12:82" x14ac:dyDescent="0.25">
      <c r="L420" s="17"/>
      <c r="P420" s="17"/>
      <c r="R420" s="16">
        <v>0</v>
      </c>
      <c r="U420" s="16"/>
      <c r="V420" s="16">
        <v>0</v>
      </c>
      <c r="Y420" s="16"/>
      <c r="Z420" s="16"/>
      <c r="AC420" s="16"/>
      <c r="AD420" s="16"/>
      <c r="AG420" s="16"/>
      <c r="AH420" s="16"/>
      <c r="AK420" s="16"/>
      <c r="AL420" s="16"/>
      <c r="AO420" s="16"/>
      <c r="AP420" s="16"/>
      <c r="AS420" s="16"/>
      <c r="AT420" s="16"/>
      <c r="AW420" s="16"/>
      <c r="AX420" s="16"/>
      <c r="BA420" s="16"/>
      <c r="BB420" s="16"/>
      <c r="BH420" s="19"/>
      <c r="CD420" s="19"/>
    </row>
    <row r="421" spans="12:82" x14ac:dyDescent="0.25">
      <c r="L421" s="17"/>
      <c r="P421" s="17"/>
      <c r="R421" s="16">
        <v>0</v>
      </c>
      <c r="U421" s="16"/>
      <c r="V421" s="16">
        <v>0</v>
      </c>
      <c r="Y421" s="16"/>
      <c r="Z421" s="16"/>
      <c r="AC421" s="16"/>
      <c r="AD421" s="16"/>
      <c r="AG421" s="16"/>
      <c r="AH421" s="16"/>
      <c r="AK421" s="16"/>
      <c r="AL421" s="16"/>
      <c r="AO421" s="16"/>
      <c r="AP421" s="16"/>
      <c r="AS421" s="16"/>
      <c r="AT421" s="16"/>
      <c r="AW421" s="16"/>
      <c r="AX421" s="16"/>
      <c r="BA421" s="16"/>
      <c r="BB421" s="16"/>
      <c r="BH421" s="19"/>
      <c r="CD421" s="19"/>
    </row>
    <row r="422" spans="12:82" x14ac:dyDescent="0.25">
      <c r="L422" s="17"/>
      <c r="P422" s="17"/>
      <c r="R422" s="16">
        <v>0</v>
      </c>
      <c r="U422" s="16"/>
      <c r="V422" s="16">
        <v>0</v>
      </c>
      <c r="Y422" s="16"/>
      <c r="Z422" s="16"/>
      <c r="AC422" s="16"/>
      <c r="AD422" s="16"/>
      <c r="AG422" s="16"/>
      <c r="AH422" s="16"/>
      <c r="AK422" s="16"/>
      <c r="AL422" s="16"/>
      <c r="AO422" s="16"/>
      <c r="AP422" s="16"/>
      <c r="AS422" s="16"/>
      <c r="AT422" s="16"/>
      <c r="AW422" s="16"/>
      <c r="AX422" s="16"/>
      <c r="BA422" s="16"/>
      <c r="BB422" s="16"/>
      <c r="BH422" s="19"/>
      <c r="CD422" s="19"/>
    </row>
    <row r="423" spans="12:82" x14ac:dyDescent="0.25">
      <c r="L423" s="17"/>
      <c r="P423" s="17"/>
      <c r="R423" s="16">
        <v>0</v>
      </c>
      <c r="U423" s="16"/>
      <c r="V423" s="16">
        <v>0</v>
      </c>
      <c r="Y423" s="16"/>
      <c r="Z423" s="16"/>
      <c r="AC423" s="16"/>
      <c r="AD423" s="16"/>
      <c r="AG423" s="16"/>
      <c r="AH423" s="16"/>
      <c r="AK423" s="16"/>
      <c r="AL423" s="16"/>
      <c r="AO423" s="16"/>
      <c r="AP423" s="16"/>
      <c r="AS423" s="16"/>
      <c r="AT423" s="16"/>
      <c r="AW423" s="16"/>
      <c r="AX423" s="16"/>
      <c r="BA423" s="16"/>
      <c r="BB423" s="16"/>
      <c r="BH423" s="19"/>
      <c r="CD423" s="19"/>
    </row>
    <row r="424" spans="12:82" x14ac:dyDescent="0.25">
      <c r="L424" s="17"/>
      <c r="P424" s="17"/>
      <c r="R424" s="16">
        <v>0</v>
      </c>
      <c r="U424" s="16"/>
      <c r="V424" s="16">
        <v>0</v>
      </c>
      <c r="Y424" s="16"/>
      <c r="Z424" s="16"/>
      <c r="AC424" s="16"/>
      <c r="AD424" s="16"/>
      <c r="AG424" s="16"/>
      <c r="AH424" s="16"/>
      <c r="AK424" s="16"/>
      <c r="AL424" s="16"/>
      <c r="AO424" s="16"/>
      <c r="AP424" s="16"/>
      <c r="AS424" s="16"/>
      <c r="AT424" s="16"/>
      <c r="AW424" s="16"/>
      <c r="AX424" s="16"/>
      <c r="BA424" s="16"/>
      <c r="BB424" s="16"/>
      <c r="BH424" s="19"/>
      <c r="CD424" s="19"/>
    </row>
    <row r="425" spans="12:82" x14ac:dyDescent="0.25">
      <c r="L425" s="17"/>
      <c r="P425" s="17"/>
      <c r="R425" s="16">
        <v>0</v>
      </c>
      <c r="U425" s="16"/>
      <c r="V425" s="16">
        <v>0</v>
      </c>
      <c r="Y425" s="16"/>
      <c r="Z425" s="16"/>
      <c r="AC425" s="16"/>
      <c r="AD425" s="16"/>
      <c r="AG425" s="16"/>
      <c r="AH425" s="16"/>
      <c r="AK425" s="16"/>
      <c r="AL425" s="16"/>
      <c r="AO425" s="16"/>
      <c r="AP425" s="16"/>
      <c r="AS425" s="16"/>
      <c r="AT425" s="16"/>
      <c r="AW425" s="16"/>
      <c r="AX425" s="16"/>
      <c r="BA425" s="16"/>
      <c r="BB425" s="16"/>
      <c r="BH425" s="19"/>
      <c r="CD425" s="19"/>
    </row>
    <row r="426" spans="12:82" x14ac:dyDescent="0.25">
      <c r="L426" s="17"/>
      <c r="P426" s="17"/>
      <c r="R426" s="16">
        <v>0</v>
      </c>
      <c r="U426" s="16"/>
      <c r="V426" s="16">
        <v>0</v>
      </c>
      <c r="Y426" s="16"/>
      <c r="Z426" s="16"/>
      <c r="AC426" s="16"/>
      <c r="AD426" s="16"/>
      <c r="AG426" s="16"/>
      <c r="AH426" s="16"/>
      <c r="AK426" s="16"/>
      <c r="AL426" s="16"/>
      <c r="AO426" s="16"/>
      <c r="AP426" s="16"/>
      <c r="AS426" s="16"/>
      <c r="AT426" s="16"/>
      <c r="AW426" s="16"/>
      <c r="AX426" s="16"/>
      <c r="BA426" s="16"/>
      <c r="BB426" s="16"/>
      <c r="BH426" s="19"/>
      <c r="CD426" s="19"/>
    </row>
    <row r="427" spans="12:82" x14ac:dyDescent="0.25">
      <c r="L427" s="17"/>
      <c r="P427" s="17"/>
      <c r="R427" s="16">
        <v>0</v>
      </c>
      <c r="U427" s="16"/>
      <c r="V427" s="16">
        <v>0</v>
      </c>
      <c r="Y427" s="16"/>
      <c r="Z427" s="16"/>
      <c r="AC427" s="16"/>
      <c r="AD427" s="16"/>
      <c r="AG427" s="16"/>
      <c r="AH427" s="16"/>
      <c r="AK427" s="16"/>
      <c r="AL427" s="16"/>
      <c r="AO427" s="16"/>
      <c r="AP427" s="16"/>
      <c r="AS427" s="16"/>
      <c r="AT427" s="16"/>
      <c r="AW427" s="16"/>
      <c r="AX427" s="16"/>
      <c r="BA427" s="16"/>
      <c r="BB427" s="16"/>
      <c r="BH427" s="19"/>
      <c r="CD427" s="19"/>
    </row>
    <row r="428" spans="12:82" x14ac:dyDescent="0.25">
      <c r="L428" s="17"/>
      <c r="P428" s="17"/>
      <c r="R428" s="16">
        <v>0</v>
      </c>
      <c r="U428" s="16"/>
      <c r="V428" s="16">
        <v>0</v>
      </c>
      <c r="Y428" s="16"/>
      <c r="Z428" s="16"/>
      <c r="AC428" s="16"/>
      <c r="AD428" s="16"/>
      <c r="AG428" s="16"/>
      <c r="AH428" s="16"/>
      <c r="AK428" s="16"/>
      <c r="AL428" s="16"/>
      <c r="AO428" s="16"/>
      <c r="AP428" s="16"/>
      <c r="AS428" s="16"/>
      <c r="AT428" s="16"/>
      <c r="AW428" s="16"/>
      <c r="AX428" s="16"/>
      <c r="BA428" s="16"/>
      <c r="BB428" s="16"/>
      <c r="BH428" s="19"/>
      <c r="CD428" s="19"/>
    </row>
    <row r="429" spans="12:82" x14ac:dyDescent="0.25">
      <c r="L429" s="17"/>
      <c r="P429" s="17"/>
      <c r="R429" s="16">
        <v>0</v>
      </c>
      <c r="U429" s="16"/>
      <c r="V429" s="16">
        <v>0</v>
      </c>
      <c r="Y429" s="16"/>
      <c r="Z429" s="16"/>
      <c r="AC429" s="16"/>
      <c r="AD429" s="16"/>
      <c r="AG429" s="16"/>
      <c r="AH429" s="16"/>
      <c r="AK429" s="16"/>
      <c r="AL429" s="16"/>
      <c r="AO429" s="16"/>
      <c r="AP429" s="16"/>
      <c r="AS429" s="16"/>
      <c r="AT429" s="16"/>
      <c r="AW429" s="16"/>
      <c r="AX429" s="16"/>
      <c r="BA429" s="16"/>
      <c r="BB429" s="16"/>
      <c r="BH429" s="19"/>
      <c r="CD429" s="19"/>
    </row>
    <row r="430" spans="12:82" x14ac:dyDescent="0.25">
      <c r="L430" s="17"/>
      <c r="P430" s="17"/>
      <c r="R430" s="16">
        <v>0</v>
      </c>
      <c r="U430" s="16"/>
      <c r="V430" s="16">
        <v>0</v>
      </c>
      <c r="Y430" s="16"/>
      <c r="Z430" s="16"/>
      <c r="AC430" s="16"/>
      <c r="AD430" s="16"/>
      <c r="AG430" s="16"/>
      <c r="AH430" s="16"/>
      <c r="AK430" s="16"/>
      <c r="AL430" s="16"/>
      <c r="AO430" s="16"/>
      <c r="AP430" s="16"/>
      <c r="AS430" s="16"/>
      <c r="AT430" s="16"/>
      <c r="AW430" s="16"/>
      <c r="AX430" s="16"/>
      <c r="BA430" s="16"/>
      <c r="BB430" s="16"/>
      <c r="BH430" s="19"/>
      <c r="CD430" s="19"/>
    </row>
    <row r="431" spans="12:82" x14ac:dyDescent="0.25">
      <c r="L431" s="17"/>
      <c r="P431" s="17"/>
      <c r="R431" s="16">
        <v>0</v>
      </c>
      <c r="U431" s="16"/>
      <c r="V431" s="16">
        <v>0</v>
      </c>
      <c r="Y431" s="16"/>
      <c r="Z431" s="16"/>
      <c r="AC431" s="16"/>
      <c r="AD431" s="16"/>
      <c r="AG431" s="16"/>
      <c r="AH431" s="16"/>
      <c r="AK431" s="16"/>
      <c r="AL431" s="16"/>
      <c r="AO431" s="16"/>
      <c r="AP431" s="16"/>
      <c r="AS431" s="16"/>
      <c r="AT431" s="16"/>
      <c r="AW431" s="16"/>
      <c r="AX431" s="16"/>
      <c r="BA431" s="16"/>
      <c r="BB431" s="16"/>
      <c r="BH431" s="19"/>
      <c r="CD431" s="19"/>
    </row>
    <row r="432" spans="12:82" x14ac:dyDescent="0.25">
      <c r="L432" s="17"/>
      <c r="P432" s="17"/>
      <c r="R432" s="16">
        <v>0</v>
      </c>
      <c r="U432" s="16"/>
      <c r="V432" s="16">
        <v>0</v>
      </c>
      <c r="Y432" s="16"/>
      <c r="Z432" s="16"/>
      <c r="AC432" s="16"/>
      <c r="AD432" s="16"/>
      <c r="AG432" s="16"/>
      <c r="AH432" s="16"/>
      <c r="AK432" s="16"/>
      <c r="AL432" s="16"/>
      <c r="AO432" s="16"/>
      <c r="AP432" s="16"/>
      <c r="AS432" s="16"/>
      <c r="AT432" s="16"/>
      <c r="AW432" s="16"/>
      <c r="AX432" s="16"/>
      <c r="BA432" s="16"/>
      <c r="BB432" s="16"/>
      <c r="BH432" s="19"/>
      <c r="CD432" s="19"/>
    </row>
    <row r="433" spans="12:82" x14ac:dyDescent="0.25">
      <c r="L433" s="17"/>
      <c r="P433" s="17"/>
      <c r="R433" s="16">
        <v>0</v>
      </c>
      <c r="U433" s="16"/>
      <c r="V433" s="16">
        <v>0</v>
      </c>
      <c r="Y433" s="16"/>
      <c r="Z433" s="16"/>
      <c r="AC433" s="16"/>
      <c r="AD433" s="16"/>
      <c r="AG433" s="16"/>
      <c r="AH433" s="16"/>
      <c r="AK433" s="16"/>
      <c r="AL433" s="16"/>
      <c r="AO433" s="16"/>
      <c r="AP433" s="16"/>
      <c r="AS433" s="16"/>
      <c r="AT433" s="16"/>
      <c r="AW433" s="16"/>
      <c r="AX433" s="16"/>
      <c r="BA433" s="16"/>
      <c r="BB433" s="16"/>
      <c r="BH433" s="19"/>
      <c r="CD433" s="19"/>
    </row>
    <row r="434" spans="12:82" x14ac:dyDescent="0.25">
      <c r="L434" s="17"/>
      <c r="P434" s="17"/>
      <c r="R434" s="16">
        <v>0</v>
      </c>
      <c r="U434" s="16"/>
      <c r="V434" s="16">
        <v>0</v>
      </c>
      <c r="Y434" s="16"/>
      <c r="Z434" s="16"/>
      <c r="AC434" s="16"/>
      <c r="AD434" s="16"/>
      <c r="AG434" s="16"/>
      <c r="AH434" s="16"/>
      <c r="AK434" s="16"/>
      <c r="AL434" s="16"/>
      <c r="AO434" s="16"/>
      <c r="AP434" s="16"/>
      <c r="AS434" s="16"/>
      <c r="AT434" s="16"/>
      <c r="AW434" s="16"/>
      <c r="AX434" s="16"/>
      <c r="BA434" s="16"/>
      <c r="BB434" s="16"/>
      <c r="BH434" s="19"/>
      <c r="CD434" s="19"/>
    </row>
    <row r="435" spans="12:82" x14ac:dyDescent="0.25">
      <c r="L435" s="17"/>
      <c r="P435" s="17"/>
      <c r="R435" s="16">
        <v>0</v>
      </c>
      <c r="U435" s="16"/>
      <c r="V435" s="16">
        <v>0</v>
      </c>
      <c r="Y435" s="16"/>
      <c r="Z435" s="16"/>
      <c r="AC435" s="16"/>
      <c r="AD435" s="16"/>
      <c r="AG435" s="16"/>
      <c r="AH435" s="16"/>
      <c r="AK435" s="16"/>
      <c r="AL435" s="16"/>
      <c r="AO435" s="16"/>
      <c r="AP435" s="16"/>
      <c r="AS435" s="16"/>
      <c r="AT435" s="16"/>
      <c r="AW435" s="16"/>
      <c r="AX435" s="16"/>
      <c r="BA435" s="16"/>
      <c r="BB435" s="16"/>
      <c r="BH435" s="19"/>
      <c r="CD435" s="19"/>
    </row>
    <row r="436" spans="12:82" x14ac:dyDescent="0.25">
      <c r="L436" s="17"/>
      <c r="P436" s="17"/>
      <c r="R436" s="16">
        <v>0</v>
      </c>
      <c r="U436" s="16"/>
      <c r="V436" s="16">
        <v>0</v>
      </c>
      <c r="Y436" s="16"/>
      <c r="Z436" s="16"/>
      <c r="AC436" s="16"/>
      <c r="AD436" s="16"/>
      <c r="AG436" s="16"/>
      <c r="AH436" s="16"/>
      <c r="AK436" s="16"/>
      <c r="AL436" s="16"/>
      <c r="AO436" s="16"/>
      <c r="AP436" s="16"/>
      <c r="AS436" s="16"/>
      <c r="AT436" s="16"/>
      <c r="AW436" s="16"/>
      <c r="AX436" s="16"/>
      <c r="BA436" s="16"/>
      <c r="BB436" s="16"/>
      <c r="BH436" s="19"/>
      <c r="CD436" s="19"/>
    </row>
    <row r="437" spans="12:82" x14ac:dyDescent="0.25">
      <c r="L437" s="17"/>
      <c r="P437" s="17"/>
      <c r="R437" s="16">
        <v>0</v>
      </c>
      <c r="U437" s="16"/>
      <c r="V437" s="16">
        <v>0</v>
      </c>
      <c r="Y437" s="16"/>
      <c r="Z437" s="16"/>
      <c r="AC437" s="16"/>
      <c r="AD437" s="16"/>
      <c r="AG437" s="16"/>
      <c r="AH437" s="16"/>
      <c r="AK437" s="16"/>
      <c r="AL437" s="16"/>
      <c r="AO437" s="16"/>
      <c r="AP437" s="16"/>
      <c r="AS437" s="16"/>
      <c r="AT437" s="16"/>
      <c r="AW437" s="16"/>
      <c r="AX437" s="16"/>
      <c r="BA437" s="16"/>
      <c r="BB437" s="16"/>
      <c r="BH437" s="19"/>
      <c r="CD437" s="19"/>
    </row>
    <row r="438" spans="12:82" x14ac:dyDescent="0.25">
      <c r="L438" s="17"/>
      <c r="P438" s="17"/>
      <c r="R438" s="16">
        <v>0</v>
      </c>
      <c r="U438" s="16"/>
      <c r="V438" s="16">
        <v>0</v>
      </c>
      <c r="Y438" s="16"/>
      <c r="Z438" s="16"/>
      <c r="AC438" s="16"/>
      <c r="AD438" s="16"/>
      <c r="AG438" s="16"/>
      <c r="AH438" s="16"/>
      <c r="AK438" s="16"/>
      <c r="AL438" s="16"/>
      <c r="AO438" s="16"/>
      <c r="AP438" s="16"/>
      <c r="AS438" s="16"/>
      <c r="AT438" s="16"/>
      <c r="AW438" s="16"/>
      <c r="AX438" s="16"/>
      <c r="BA438" s="16"/>
      <c r="BB438" s="16"/>
      <c r="BH438" s="19"/>
      <c r="CD438" s="19"/>
    </row>
    <row r="439" spans="12:82" x14ac:dyDescent="0.25">
      <c r="L439" s="17"/>
      <c r="P439" s="17"/>
      <c r="R439" s="16">
        <v>0</v>
      </c>
      <c r="U439" s="16"/>
      <c r="V439" s="16">
        <v>0</v>
      </c>
      <c r="Y439" s="16"/>
      <c r="Z439" s="16"/>
      <c r="AC439" s="16"/>
      <c r="AD439" s="16"/>
      <c r="AG439" s="16"/>
      <c r="AH439" s="16"/>
      <c r="AK439" s="16"/>
      <c r="AL439" s="16"/>
      <c r="AO439" s="16"/>
      <c r="AP439" s="16"/>
      <c r="AS439" s="16"/>
      <c r="AT439" s="16"/>
      <c r="AW439" s="16"/>
      <c r="AX439" s="16"/>
      <c r="BA439" s="16"/>
      <c r="BB439" s="16"/>
      <c r="BH439" s="19"/>
      <c r="CD439" s="19"/>
    </row>
    <row r="440" spans="12:82" x14ac:dyDescent="0.25">
      <c r="L440" s="17"/>
      <c r="P440" s="17"/>
      <c r="R440" s="16">
        <v>0</v>
      </c>
      <c r="U440" s="16"/>
      <c r="V440" s="16">
        <v>0</v>
      </c>
      <c r="Y440" s="16"/>
      <c r="Z440" s="16"/>
      <c r="AC440" s="16"/>
      <c r="AD440" s="16"/>
      <c r="AG440" s="16"/>
      <c r="AH440" s="16"/>
      <c r="AK440" s="16"/>
      <c r="AL440" s="16"/>
      <c r="AO440" s="16"/>
      <c r="AP440" s="16"/>
      <c r="AS440" s="16"/>
      <c r="AT440" s="16"/>
      <c r="AW440" s="16"/>
      <c r="AX440" s="16"/>
      <c r="BA440" s="16"/>
      <c r="BB440" s="16"/>
      <c r="BH440" s="19"/>
      <c r="CD440" s="19"/>
    </row>
    <row r="441" spans="12:82" x14ac:dyDescent="0.25">
      <c r="L441" s="17"/>
      <c r="P441" s="17"/>
      <c r="R441" s="16">
        <v>0</v>
      </c>
      <c r="U441" s="16"/>
      <c r="V441" s="16">
        <v>0</v>
      </c>
      <c r="Y441" s="16"/>
      <c r="Z441" s="16"/>
      <c r="AC441" s="16"/>
      <c r="AD441" s="16"/>
      <c r="AG441" s="16"/>
      <c r="AH441" s="16"/>
      <c r="AK441" s="16"/>
      <c r="AL441" s="16"/>
      <c r="AO441" s="16"/>
      <c r="AP441" s="16"/>
      <c r="AS441" s="16"/>
      <c r="AT441" s="16"/>
      <c r="AW441" s="16"/>
      <c r="AX441" s="16"/>
      <c r="BA441" s="16"/>
      <c r="BB441" s="16"/>
      <c r="BH441" s="19"/>
      <c r="CD441" s="19"/>
    </row>
    <row r="442" spans="12:82" x14ac:dyDescent="0.25">
      <c r="L442" s="17"/>
      <c r="P442" s="17"/>
      <c r="R442" s="16">
        <v>0</v>
      </c>
      <c r="U442" s="16"/>
      <c r="V442" s="16">
        <v>0</v>
      </c>
      <c r="Y442" s="16"/>
      <c r="Z442" s="16"/>
      <c r="AC442" s="16"/>
      <c r="AD442" s="16"/>
      <c r="AG442" s="16"/>
      <c r="AH442" s="16"/>
      <c r="AK442" s="16"/>
      <c r="AL442" s="16"/>
      <c r="AO442" s="16"/>
      <c r="AP442" s="16"/>
      <c r="AS442" s="16"/>
      <c r="AT442" s="16"/>
      <c r="AW442" s="16"/>
      <c r="AX442" s="16"/>
      <c r="BA442" s="16"/>
      <c r="BB442" s="16"/>
      <c r="BH442" s="19"/>
      <c r="CD442" s="19"/>
    </row>
    <row r="443" spans="12:82" x14ac:dyDescent="0.25">
      <c r="L443" s="17"/>
      <c r="P443" s="17"/>
      <c r="R443" s="16">
        <v>0</v>
      </c>
      <c r="U443" s="16"/>
      <c r="V443" s="16">
        <v>0</v>
      </c>
      <c r="Y443" s="16"/>
      <c r="Z443" s="16"/>
      <c r="AC443" s="16"/>
      <c r="AD443" s="16"/>
      <c r="AG443" s="16"/>
      <c r="AH443" s="16"/>
      <c r="AK443" s="16"/>
      <c r="AL443" s="16"/>
      <c r="AO443" s="16"/>
      <c r="AP443" s="16"/>
      <c r="AS443" s="16"/>
      <c r="AT443" s="16"/>
      <c r="AW443" s="16"/>
      <c r="AX443" s="16"/>
      <c r="BA443" s="16"/>
      <c r="BB443" s="16"/>
      <c r="BH443" s="19"/>
      <c r="CD443" s="19"/>
    </row>
    <row r="444" spans="12:82" x14ac:dyDescent="0.25">
      <c r="L444" s="17"/>
      <c r="P444" s="17"/>
      <c r="R444" s="16">
        <v>0</v>
      </c>
      <c r="U444" s="16"/>
      <c r="V444" s="16">
        <v>0</v>
      </c>
      <c r="Y444" s="16"/>
      <c r="Z444" s="16"/>
      <c r="AC444" s="16"/>
      <c r="AD444" s="16"/>
      <c r="AG444" s="16"/>
      <c r="AH444" s="16"/>
      <c r="AK444" s="16"/>
      <c r="AL444" s="16"/>
      <c r="AO444" s="16"/>
      <c r="AP444" s="16"/>
      <c r="AS444" s="16"/>
      <c r="AT444" s="16"/>
      <c r="AW444" s="16"/>
      <c r="AX444" s="16"/>
      <c r="BA444" s="16"/>
      <c r="BB444" s="16"/>
      <c r="BH444" s="19"/>
      <c r="CD444" s="19"/>
    </row>
    <row r="445" spans="12:82" x14ac:dyDescent="0.25">
      <c r="L445" s="17"/>
      <c r="P445" s="17"/>
      <c r="R445" s="16">
        <v>0</v>
      </c>
      <c r="U445" s="16"/>
      <c r="V445" s="16">
        <v>0</v>
      </c>
      <c r="Y445" s="16"/>
      <c r="Z445" s="16"/>
      <c r="AC445" s="16"/>
      <c r="AD445" s="16"/>
      <c r="AG445" s="16"/>
      <c r="AH445" s="16"/>
      <c r="AK445" s="16"/>
      <c r="AL445" s="16"/>
      <c r="AO445" s="16"/>
      <c r="AP445" s="16"/>
      <c r="AS445" s="16"/>
      <c r="AT445" s="16"/>
      <c r="AW445" s="16"/>
      <c r="AX445" s="16"/>
      <c r="BA445" s="16"/>
      <c r="BB445" s="16"/>
      <c r="BH445" s="19"/>
      <c r="CD445" s="19"/>
    </row>
    <row r="446" spans="12:82" x14ac:dyDescent="0.25">
      <c r="L446" s="17"/>
      <c r="P446" s="17"/>
      <c r="R446" s="16">
        <v>0</v>
      </c>
      <c r="U446" s="16"/>
      <c r="V446" s="16">
        <v>0</v>
      </c>
      <c r="Y446" s="16"/>
      <c r="Z446" s="16"/>
      <c r="AC446" s="16"/>
      <c r="AD446" s="16"/>
      <c r="AG446" s="16"/>
      <c r="AH446" s="16"/>
      <c r="AK446" s="16"/>
      <c r="AL446" s="16"/>
      <c r="AO446" s="16"/>
      <c r="AP446" s="16"/>
      <c r="AS446" s="16"/>
      <c r="AT446" s="16"/>
      <c r="AW446" s="16"/>
      <c r="AX446" s="16"/>
      <c r="BA446" s="16"/>
      <c r="BB446" s="16"/>
      <c r="BH446" s="19"/>
      <c r="CD446" s="19"/>
    </row>
    <row r="447" spans="12:82" x14ac:dyDescent="0.25">
      <c r="L447" s="17"/>
      <c r="P447" s="17"/>
      <c r="R447" s="16">
        <v>0</v>
      </c>
      <c r="U447" s="16"/>
      <c r="V447" s="16">
        <v>0</v>
      </c>
      <c r="Y447" s="16"/>
      <c r="Z447" s="16"/>
      <c r="AC447" s="16"/>
      <c r="AD447" s="16"/>
      <c r="AG447" s="16"/>
      <c r="AH447" s="16"/>
      <c r="AK447" s="16"/>
      <c r="AL447" s="16"/>
      <c r="AO447" s="16"/>
      <c r="AP447" s="16"/>
      <c r="AS447" s="16"/>
      <c r="AT447" s="16"/>
      <c r="AW447" s="16"/>
      <c r="AX447" s="16"/>
      <c r="BA447" s="16"/>
      <c r="BB447" s="16"/>
      <c r="BH447" s="19"/>
      <c r="CD447" s="19"/>
    </row>
    <row r="448" spans="12:82" x14ac:dyDescent="0.25">
      <c r="L448" s="17"/>
      <c r="P448" s="17"/>
      <c r="R448" s="16">
        <v>0</v>
      </c>
      <c r="U448" s="16"/>
      <c r="V448" s="16">
        <v>0</v>
      </c>
      <c r="Y448" s="16"/>
      <c r="Z448" s="16"/>
      <c r="AC448" s="16"/>
      <c r="AD448" s="16"/>
      <c r="AG448" s="16"/>
      <c r="AH448" s="16"/>
      <c r="AK448" s="16"/>
      <c r="AL448" s="16"/>
      <c r="AO448" s="16"/>
      <c r="AP448" s="16"/>
      <c r="AS448" s="16"/>
      <c r="AT448" s="16"/>
      <c r="AW448" s="16"/>
      <c r="AX448" s="16"/>
      <c r="BA448" s="16"/>
      <c r="BB448" s="16"/>
      <c r="BH448" s="19"/>
      <c r="CD448" s="19"/>
    </row>
    <row r="449" spans="12:82" x14ac:dyDescent="0.25">
      <c r="L449" s="17"/>
      <c r="P449" s="17"/>
      <c r="R449" s="16">
        <v>0</v>
      </c>
      <c r="U449" s="16"/>
      <c r="V449" s="16">
        <v>0</v>
      </c>
      <c r="Y449" s="16"/>
      <c r="Z449" s="16"/>
      <c r="AC449" s="16"/>
      <c r="AD449" s="16"/>
      <c r="AG449" s="16"/>
      <c r="AH449" s="16"/>
      <c r="AK449" s="16"/>
      <c r="AL449" s="16"/>
      <c r="AO449" s="16"/>
      <c r="AP449" s="16"/>
      <c r="AS449" s="16"/>
      <c r="AT449" s="16"/>
      <c r="AW449" s="16"/>
      <c r="AX449" s="16"/>
      <c r="BA449" s="16"/>
      <c r="BB449" s="16"/>
      <c r="BH449" s="19"/>
      <c r="CD449" s="19"/>
    </row>
    <row r="450" spans="12:82" x14ac:dyDescent="0.25">
      <c r="L450" s="17"/>
      <c r="P450" s="17"/>
      <c r="R450" s="16">
        <v>0</v>
      </c>
      <c r="U450" s="16"/>
      <c r="V450" s="16">
        <v>0</v>
      </c>
      <c r="Y450" s="16"/>
      <c r="Z450" s="16"/>
      <c r="AC450" s="16"/>
      <c r="AD450" s="16"/>
      <c r="AG450" s="16"/>
      <c r="AH450" s="16"/>
      <c r="AK450" s="16"/>
      <c r="AL450" s="16"/>
      <c r="AO450" s="16"/>
      <c r="AP450" s="16"/>
      <c r="AS450" s="16"/>
      <c r="AT450" s="16"/>
      <c r="AW450" s="16"/>
      <c r="AX450" s="16"/>
      <c r="BA450" s="16"/>
      <c r="BB450" s="16"/>
      <c r="BH450" s="19"/>
      <c r="CD450" s="19"/>
    </row>
    <row r="451" spans="12:82" x14ac:dyDescent="0.25">
      <c r="L451" s="17"/>
      <c r="P451" s="17"/>
      <c r="R451" s="16">
        <v>0</v>
      </c>
      <c r="U451" s="16"/>
      <c r="V451" s="16">
        <v>0</v>
      </c>
      <c r="Y451" s="16"/>
      <c r="Z451" s="16"/>
      <c r="AC451" s="16"/>
      <c r="AD451" s="16"/>
      <c r="AG451" s="16"/>
      <c r="AH451" s="16"/>
      <c r="AK451" s="16"/>
      <c r="AL451" s="16"/>
      <c r="AO451" s="16"/>
      <c r="AP451" s="16"/>
      <c r="AS451" s="16"/>
      <c r="AT451" s="16"/>
      <c r="AW451" s="16"/>
      <c r="AX451" s="16"/>
      <c r="BA451" s="16"/>
      <c r="BB451" s="16"/>
      <c r="BH451" s="19"/>
      <c r="CD451" s="19"/>
    </row>
    <row r="452" spans="12:82" x14ac:dyDescent="0.25">
      <c r="L452" s="17"/>
      <c r="P452" s="17"/>
      <c r="R452" s="16">
        <v>0</v>
      </c>
      <c r="U452" s="16"/>
      <c r="V452" s="16">
        <v>0</v>
      </c>
      <c r="Y452" s="16"/>
      <c r="Z452" s="16"/>
      <c r="AC452" s="16"/>
      <c r="AD452" s="16"/>
      <c r="AG452" s="16"/>
      <c r="AH452" s="16"/>
      <c r="AK452" s="16"/>
      <c r="AL452" s="16"/>
      <c r="AO452" s="16"/>
      <c r="AP452" s="16"/>
      <c r="AS452" s="16"/>
      <c r="AT452" s="16"/>
      <c r="AW452" s="16"/>
      <c r="AX452" s="16"/>
      <c r="BA452" s="16"/>
      <c r="BB452" s="16"/>
      <c r="BH452" s="19"/>
      <c r="CD452" s="19"/>
    </row>
    <row r="453" spans="12:82" x14ac:dyDescent="0.25">
      <c r="L453" s="17"/>
      <c r="P453" s="17"/>
      <c r="R453" s="16">
        <v>0</v>
      </c>
      <c r="U453" s="16"/>
      <c r="V453" s="16">
        <v>0</v>
      </c>
      <c r="Y453" s="16"/>
      <c r="Z453" s="16"/>
      <c r="AC453" s="16"/>
      <c r="AD453" s="16"/>
      <c r="AG453" s="16"/>
      <c r="AH453" s="16"/>
      <c r="AK453" s="16"/>
      <c r="AL453" s="16"/>
      <c r="AO453" s="16"/>
      <c r="AP453" s="16"/>
      <c r="AS453" s="16"/>
      <c r="AT453" s="16"/>
      <c r="AW453" s="16"/>
      <c r="AX453" s="16"/>
      <c r="BA453" s="16"/>
      <c r="BB453" s="16"/>
      <c r="BH453" s="19"/>
      <c r="CD453" s="19"/>
    </row>
    <row r="454" spans="12:82" x14ac:dyDescent="0.25">
      <c r="L454" s="17"/>
      <c r="P454" s="17"/>
      <c r="R454" s="16">
        <v>0</v>
      </c>
      <c r="U454" s="16"/>
      <c r="V454" s="16">
        <v>0</v>
      </c>
      <c r="Y454" s="16"/>
      <c r="Z454" s="16"/>
      <c r="AC454" s="16"/>
      <c r="AD454" s="16"/>
      <c r="AG454" s="16"/>
      <c r="AH454" s="16"/>
      <c r="AK454" s="16"/>
      <c r="AL454" s="16"/>
      <c r="AO454" s="16"/>
      <c r="AP454" s="16"/>
      <c r="AS454" s="16"/>
      <c r="AT454" s="16"/>
      <c r="AW454" s="16"/>
      <c r="AX454" s="16"/>
      <c r="BA454" s="16"/>
      <c r="BB454" s="16"/>
      <c r="BH454" s="19"/>
      <c r="CD454" s="19"/>
    </row>
    <row r="455" spans="12:82" x14ac:dyDescent="0.25">
      <c r="L455" s="17"/>
      <c r="P455" s="17"/>
      <c r="R455" s="16">
        <v>0</v>
      </c>
      <c r="U455" s="16"/>
      <c r="V455" s="16">
        <v>0</v>
      </c>
      <c r="Y455" s="16"/>
      <c r="Z455" s="16"/>
      <c r="AC455" s="16"/>
      <c r="AD455" s="16"/>
      <c r="AG455" s="16"/>
      <c r="AH455" s="16"/>
      <c r="AK455" s="16"/>
      <c r="AL455" s="16"/>
      <c r="AO455" s="16"/>
      <c r="AP455" s="16"/>
      <c r="AS455" s="16"/>
      <c r="AT455" s="16"/>
      <c r="AW455" s="16"/>
      <c r="AX455" s="16"/>
      <c r="BA455" s="16"/>
      <c r="BB455" s="16"/>
      <c r="BH455" s="19"/>
      <c r="CD455" s="19"/>
    </row>
    <row r="456" spans="12:82" x14ac:dyDescent="0.25">
      <c r="L456" s="17"/>
      <c r="P456" s="17"/>
      <c r="R456" s="16">
        <v>0</v>
      </c>
      <c r="U456" s="16"/>
      <c r="V456" s="16">
        <v>0</v>
      </c>
      <c r="Y456" s="16"/>
      <c r="Z456" s="16"/>
      <c r="AC456" s="16"/>
      <c r="AD456" s="16"/>
      <c r="AG456" s="16"/>
      <c r="AH456" s="16"/>
      <c r="AK456" s="16"/>
      <c r="AL456" s="16"/>
      <c r="AO456" s="16"/>
      <c r="AP456" s="16"/>
      <c r="AS456" s="16"/>
      <c r="AT456" s="16"/>
      <c r="AW456" s="16"/>
      <c r="AX456" s="16"/>
      <c r="BA456" s="16"/>
      <c r="BB456" s="16"/>
      <c r="BH456" s="19"/>
      <c r="CD456" s="19"/>
    </row>
    <row r="457" spans="12:82" x14ac:dyDescent="0.25">
      <c r="L457" s="17"/>
      <c r="P457" s="17"/>
      <c r="R457" s="16">
        <v>0</v>
      </c>
      <c r="U457" s="16"/>
      <c r="V457" s="16">
        <v>0</v>
      </c>
      <c r="Y457" s="16"/>
      <c r="Z457" s="16"/>
      <c r="AC457" s="16"/>
      <c r="AD457" s="16"/>
      <c r="AG457" s="16"/>
      <c r="AH457" s="16"/>
      <c r="AK457" s="16"/>
      <c r="AL457" s="16"/>
      <c r="AO457" s="16"/>
      <c r="AP457" s="16"/>
      <c r="AS457" s="16"/>
      <c r="AT457" s="16"/>
      <c r="AW457" s="16"/>
      <c r="AX457" s="16"/>
      <c r="BA457" s="16"/>
      <c r="BB457" s="16"/>
      <c r="BH457" s="19"/>
      <c r="CD457" s="19"/>
    </row>
    <row r="458" spans="12:82" x14ac:dyDescent="0.25">
      <c r="L458" s="17"/>
      <c r="P458" s="17"/>
      <c r="R458" s="16">
        <v>0</v>
      </c>
      <c r="U458" s="16"/>
      <c r="V458" s="16">
        <v>0</v>
      </c>
      <c r="Y458" s="16"/>
      <c r="Z458" s="16"/>
      <c r="AC458" s="16"/>
      <c r="AD458" s="16"/>
      <c r="AG458" s="16"/>
      <c r="AH458" s="16"/>
      <c r="AK458" s="16"/>
      <c r="AL458" s="16"/>
      <c r="AO458" s="16"/>
      <c r="AP458" s="16"/>
      <c r="AS458" s="16"/>
      <c r="AT458" s="16"/>
      <c r="AW458" s="16"/>
      <c r="AX458" s="16"/>
      <c r="BA458" s="16"/>
      <c r="BB458" s="16"/>
      <c r="BH458" s="19"/>
      <c r="CD458" s="19"/>
    </row>
    <row r="459" spans="12:82" x14ac:dyDescent="0.25">
      <c r="L459" s="17"/>
      <c r="P459" s="17"/>
      <c r="R459" s="16">
        <v>0</v>
      </c>
      <c r="U459" s="16"/>
      <c r="V459" s="16">
        <v>0</v>
      </c>
      <c r="Y459" s="16"/>
      <c r="Z459" s="16"/>
      <c r="AC459" s="16"/>
      <c r="AD459" s="16"/>
      <c r="AG459" s="16"/>
      <c r="AH459" s="16"/>
      <c r="AK459" s="16"/>
      <c r="AL459" s="16"/>
      <c r="AO459" s="16"/>
      <c r="AP459" s="16"/>
      <c r="AS459" s="16"/>
      <c r="AT459" s="16"/>
      <c r="AW459" s="16"/>
      <c r="AX459" s="16"/>
      <c r="BA459" s="16"/>
      <c r="BB459" s="16"/>
      <c r="BH459" s="19"/>
      <c r="CD459" s="19"/>
    </row>
    <row r="460" spans="12:82" x14ac:dyDescent="0.25">
      <c r="L460" s="17"/>
      <c r="P460" s="17"/>
      <c r="R460" s="16">
        <v>0</v>
      </c>
      <c r="U460" s="16"/>
      <c r="V460" s="16">
        <v>0</v>
      </c>
      <c r="Y460" s="16"/>
      <c r="Z460" s="16"/>
      <c r="AC460" s="16"/>
      <c r="AD460" s="16"/>
      <c r="AG460" s="16"/>
      <c r="AH460" s="16"/>
      <c r="AK460" s="16"/>
      <c r="AL460" s="16"/>
      <c r="AO460" s="16"/>
      <c r="AP460" s="16"/>
      <c r="AS460" s="16"/>
      <c r="AT460" s="16"/>
      <c r="AW460" s="16"/>
      <c r="AX460" s="16"/>
      <c r="BA460" s="16"/>
      <c r="BB460" s="16"/>
      <c r="BH460" s="19"/>
      <c r="CD460" s="19"/>
    </row>
    <row r="461" spans="12:82" x14ac:dyDescent="0.25">
      <c r="L461" s="17"/>
      <c r="P461" s="17"/>
      <c r="R461" s="16">
        <v>0</v>
      </c>
      <c r="U461" s="16"/>
      <c r="V461" s="16">
        <v>0</v>
      </c>
      <c r="Y461" s="16"/>
      <c r="Z461" s="16"/>
      <c r="AC461" s="16"/>
      <c r="AD461" s="16"/>
      <c r="AG461" s="16"/>
      <c r="AH461" s="16"/>
      <c r="AK461" s="16"/>
      <c r="AL461" s="16"/>
      <c r="AO461" s="16"/>
      <c r="AP461" s="16"/>
      <c r="AS461" s="16"/>
      <c r="AT461" s="16"/>
      <c r="AW461" s="16"/>
      <c r="AX461" s="16"/>
      <c r="BA461" s="16"/>
      <c r="BB461" s="16"/>
      <c r="BH461" s="19"/>
      <c r="CD461" s="19"/>
    </row>
    <row r="462" spans="12:82" x14ac:dyDescent="0.25">
      <c r="L462" s="17"/>
      <c r="P462" s="17"/>
      <c r="R462" s="16">
        <v>0</v>
      </c>
      <c r="U462" s="16"/>
      <c r="V462" s="16">
        <v>0</v>
      </c>
      <c r="Y462" s="16"/>
      <c r="Z462" s="16"/>
      <c r="AC462" s="16"/>
      <c r="AD462" s="16"/>
      <c r="AG462" s="16"/>
      <c r="AH462" s="16"/>
      <c r="AK462" s="16"/>
      <c r="AL462" s="16"/>
      <c r="AO462" s="16"/>
      <c r="AP462" s="16"/>
      <c r="AS462" s="16"/>
      <c r="AT462" s="16"/>
      <c r="AW462" s="16"/>
      <c r="AX462" s="16"/>
      <c r="BA462" s="16"/>
      <c r="BB462" s="16"/>
      <c r="BH462" s="19"/>
      <c r="CD462" s="19"/>
    </row>
    <row r="463" spans="12:82" x14ac:dyDescent="0.25">
      <c r="L463" s="17"/>
      <c r="P463" s="17"/>
      <c r="R463" s="16">
        <v>0</v>
      </c>
      <c r="U463" s="16"/>
      <c r="V463" s="16">
        <v>0</v>
      </c>
      <c r="Y463" s="16"/>
      <c r="Z463" s="16"/>
      <c r="AC463" s="16"/>
      <c r="AD463" s="16"/>
      <c r="AG463" s="16"/>
      <c r="AH463" s="16"/>
      <c r="AK463" s="16"/>
      <c r="AL463" s="16"/>
      <c r="AO463" s="16"/>
      <c r="AP463" s="16"/>
      <c r="AS463" s="16"/>
      <c r="AT463" s="16"/>
      <c r="AW463" s="16"/>
      <c r="AX463" s="16"/>
      <c r="BA463" s="16"/>
      <c r="BB463" s="16"/>
      <c r="BH463" s="19"/>
      <c r="CD463" s="19"/>
    </row>
    <row r="464" spans="12:82" x14ac:dyDescent="0.25">
      <c r="L464" s="17"/>
      <c r="P464" s="17"/>
      <c r="R464" s="16">
        <v>0</v>
      </c>
      <c r="U464" s="16"/>
      <c r="V464" s="16">
        <v>0</v>
      </c>
      <c r="Y464" s="16"/>
      <c r="Z464" s="16"/>
      <c r="AC464" s="16"/>
      <c r="AD464" s="16"/>
      <c r="AG464" s="16"/>
      <c r="AH464" s="16"/>
      <c r="AK464" s="16"/>
      <c r="AL464" s="16"/>
      <c r="AO464" s="16"/>
      <c r="AP464" s="16"/>
      <c r="AS464" s="16"/>
      <c r="AT464" s="16"/>
      <c r="AW464" s="16"/>
      <c r="AX464" s="16"/>
      <c r="BA464" s="16"/>
      <c r="BB464" s="16"/>
      <c r="BH464" s="19"/>
      <c r="CD464" s="19"/>
    </row>
    <row r="465" spans="12:82" x14ac:dyDescent="0.25">
      <c r="L465" s="17"/>
      <c r="P465" s="17"/>
      <c r="R465" s="16">
        <v>0</v>
      </c>
      <c r="U465" s="16"/>
      <c r="V465" s="16">
        <v>0</v>
      </c>
      <c r="Y465" s="16"/>
      <c r="Z465" s="16"/>
      <c r="AC465" s="16"/>
      <c r="AD465" s="16"/>
      <c r="AG465" s="16"/>
      <c r="AH465" s="16"/>
      <c r="AK465" s="16"/>
      <c r="AL465" s="16"/>
      <c r="AO465" s="16"/>
      <c r="AP465" s="16"/>
      <c r="AS465" s="16"/>
      <c r="AT465" s="16"/>
      <c r="AW465" s="16"/>
      <c r="AX465" s="16"/>
      <c r="BA465" s="16"/>
      <c r="BB465" s="16"/>
      <c r="BH465" s="19"/>
      <c r="CD465" s="19"/>
    </row>
    <row r="466" spans="12:82" x14ac:dyDescent="0.25">
      <c r="L466" s="17"/>
      <c r="P466" s="17"/>
      <c r="R466" s="16">
        <v>0</v>
      </c>
      <c r="U466" s="16"/>
      <c r="V466" s="16">
        <v>0</v>
      </c>
      <c r="Y466" s="16"/>
      <c r="Z466" s="16"/>
      <c r="AC466" s="16"/>
      <c r="AD466" s="16"/>
      <c r="AG466" s="16"/>
      <c r="AH466" s="16"/>
      <c r="AK466" s="16"/>
      <c r="AL466" s="16"/>
      <c r="AO466" s="16"/>
      <c r="AP466" s="16"/>
      <c r="AS466" s="16"/>
      <c r="AT466" s="16"/>
      <c r="AW466" s="16"/>
      <c r="AX466" s="16"/>
      <c r="BA466" s="16"/>
      <c r="BB466" s="16"/>
      <c r="BH466" s="19"/>
      <c r="CD466" s="19"/>
    </row>
    <row r="467" spans="12:82" x14ac:dyDescent="0.25">
      <c r="L467" s="17"/>
      <c r="P467" s="17"/>
      <c r="R467" s="16">
        <v>0</v>
      </c>
      <c r="U467" s="16"/>
      <c r="V467" s="16">
        <v>0</v>
      </c>
      <c r="Y467" s="16"/>
      <c r="Z467" s="16"/>
      <c r="AC467" s="16"/>
      <c r="AD467" s="16"/>
      <c r="AG467" s="16"/>
      <c r="AH467" s="16"/>
      <c r="AK467" s="16"/>
      <c r="AL467" s="16"/>
      <c r="AO467" s="16"/>
      <c r="AP467" s="16"/>
      <c r="AS467" s="16"/>
      <c r="AT467" s="16"/>
      <c r="AW467" s="16"/>
      <c r="AX467" s="16"/>
      <c r="BA467" s="16"/>
      <c r="BB467" s="16"/>
      <c r="BH467" s="19"/>
      <c r="CD467" s="19"/>
    </row>
    <row r="468" spans="12:82" x14ac:dyDescent="0.25">
      <c r="L468" s="17"/>
      <c r="P468" s="17"/>
      <c r="R468" s="16">
        <v>0</v>
      </c>
      <c r="U468" s="16"/>
      <c r="V468" s="16">
        <v>0</v>
      </c>
      <c r="Y468" s="16"/>
      <c r="Z468" s="16"/>
      <c r="AC468" s="16"/>
      <c r="AD468" s="16"/>
      <c r="AG468" s="16"/>
      <c r="AH468" s="16"/>
      <c r="AK468" s="16"/>
      <c r="AL468" s="16"/>
      <c r="AO468" s="16"/>
      <c r="AP468" s="16"/>
      <c r="AS468" s="16"/>
      <c r="AT468" s="16"/>
      <c r="AW468" s="16"/>
      <c r="AX468" s="16"/>
      <c r="BA468" s="16"/>
      <c r="BB468" s="16"/>
      <c r="BH468" s="19"/>
      <c r="CD468" s="19"/>
    </row>
    <row r="469" spans="12:82" x14ac:dyDescent="0.25">
      <c r="L469" s="17"/>
      <c r="P469" s="17"/>
      <c r="R469" s="16">
        <v>0</v>
      </c>
      <c r="U469" s="16"/>
      <c r="V469" s="16">
        <v>0</v>
      </c>
      <c r="Y469" s="16"/>
      <c r="Z469" s="16"/>
      <c r="AC469" s="16"/>
      <c r="AD469" s="16"/>
      <c r="AG469" s="16"/>
      <c r="AH469" s="16"/>
      <c r="AK469" s="16"/>
      <c r="AL469" s="16"/>
      <c r="AO469" s="16"/>
      <c r="AP469" s="16"/>
      <c r="AS469" s="16"/>
      <c r="AT469" s="16"/>
      <c r="AW469" s="16"/>
      <c r="AX469" s="16"/>
      <c r="BA469" s="16"/>
      <c r="BB469" s="16"/>
      <c r="BH469" s="19"/>
      <c r="CD469" s="19"/>
    </row>
    <row r="470" spans="12:82" x14ac:dyDescent="0.25">
      <c r="L470" s="17"/>
      <c r="P470" s="17"/>
      <c r="R470" s="16">
        <v>0</v>
      </c>
      <c r="U470" s="16"/>
      <c r="V470" s="16">
        <v>0</v>
      </c>
      <c r="Y470" s="16"/>
      <c r="Z470" s="16"/>
      <c r="AC470" s="16"/>
      <c r="AD470" s="16"/>
      <c r="AG470" s="16"/>
      <c r="AH470" s="16"/>
      <c r="AK470" s="16"/>
      <c r="AL470" s="16"/>
      <c r="AO470" s="16"/>
      <c r="AP470" s="16"/>
      <c r="AS470" s="16"/>
      <c r="AT470" s="16"/>
      <c r="AW470" s="16"/>
      <c r="AX470" s="16"/>
      <c r="BA470" s="16"/>
      <c r="BB470" s="16"/>
      <c r="BH470" s="19"/>
      <c r="CD470" s="19"/>
    </row>
    <row r="471" spans="12:82" x14ac:dyDescent="0.25">
      <c r="L471" s="17"/>
      <c r="P471" s="17"/>
      <c r="R471" s="16">
        <v>0</v>
      </c>
      <c r="U471" s="16"/>
      <c r="V471" s="16">
        <v>0</v>
      </c>
      <c r="Y471" s="16"/>
      <c r="Z471" s="16"/>
      <c r="AC471" s="16"/>
      <c r="AD471" s="16"/>
      <c r="AG471" s="16"/>
      <c r="AH471" s="16"/>
      <c r="AK471" s="16"/>
      <c r="AL471" s="16"/>
      <c r="AO471" s="16"/>
      <c r="AP471" s="16"/>
      <c r="AS471" s="16"/>
      <c r="AT471" s="16"/>
      <c r="AW471" s="16"/>
      <c r="AX471" s="16"/>
      <c r="BA471" s="16"/>
      <c r="BB471" s="16"/>
      <c r="BH471" s="19"/>
      <c r="CD471" s="19"/>
    </row>
    <row r="472" spans="12:82" x14ac:dyDescent="0.25">
      <c r="L472" s="17"/>
      <c r="P472" s="17"/>
      <c r="R472" s="16">
        <v>0</v>
      </c>
      <c r="U472" s="16"/>
      <c r="V472" s="16">
        <v>0</v>
      </c>
      <c r="Y472" s="16"/>
      <c r="Z472" s="16"/>
      <c r="AC472" s="16"/>
      <c r="AD472" s="16"/>
      <c r="AG472" s="16"/>
      <c r="AH472" s="16"/>
      <c r="AK472" s="16"/>
      <c r="AL472" s="16"/>
      <c r="AO472" s="16"/>
      <c r="AP472" s="16"/>
      <c r="AS472" s="16"/>
      <c r="AT472" s="16"/>
      <c r="AW472" s="16"/>
      <c r="AX472" s="16"/>
      <c r="BA472" s="16"/>
      <c r="BB472" s="16"/>
      <c r="BH472" s="19"/>
      <c r="CD472" s="19"/>
    </row>
    <row r="473" spans="12:82" x14ac:dyDescent="0.25">
      <c r="L473" s="17"/>
      <c r="P473" s="17"/>
      <c r="R473" s="16">
        <v>0</v>
      </c>
      <c r="U473" s="16"/>
      <c r="V473" s="16">
        <v>0</v>
      </c>
      <c r="Y473" s="16"/>
      <c r="Z473" s="16"/>
      <c r="AC473" s="16"/>
      <c r="AD473" s="16"/>
      <c r="AG473" s="16"/>
      <c r="AH473" s="16"/>
      <c r="AK473" s="16"/>
      <c r="AL473" s="16"/>
      <c r="AO473" s="16"/>
      <c r="AP473" s="16"/>
      <c r="AS473" s="16"/>
      <c r="AT473" s="16"/>
      <c r="AW473" s="16"/>
      <c r="AX473" s="16"/>
      <c r="BA473" s="16"/>
      <c r="BB473" s="16"/>
      <c r="BH473" s="19"/>
      <c r="CD473" s="19"/>
    </row>
    <row r="474" spans="12:82" x14ac:dyDescent="0.25">
      <c r="L474" s="17"/>
      <c r="P474" s="17"/>
      <c r="R474" s="16">
        <v>0</v>
      </c>
      <c r="U474" s="16"/>
      <c r="V474" s="16">
        <v>0</v>
      </c>
      <c r="Y474" s="16"/>
      <c r="Z474" s="16"/>
      <c r="AC474" s="16"/>
      <c r="AD474" s="16"/>
      <c r="AG474" s="16"/>
      <c r="AH474" s="16"/>
      <c r="AK474" s="16"/>
      <c r="AL474" s="16"/>
      <c r="AO474" s="16"/>
      <c r="AP474" s="16"/>
      <c r="AS474" s="16"/>
      <c r="AT474" s="16"/>
      <c r="AW474" s="16"/>
      <c r="AX474" s="16"/>
      <c r="BA474" s="16"/>
      <c r="BB474" s="16"/>
      <c r="BH474" s="19"/>
      <c r="CD474" s="19"/>
    </row>
    <row r="475" spans="12:82" x14ac:dyDescent="0.25">
      <c r="L475" s="17"/>
      <c r="P475" s="17"/>
      <c r="R475" s="16">
        <v>0</v>
      </c>
      <c r="U475" s="16"/>
      <c r="V475" s="16">
        <v>0</v>
      </c>
      <c r="Y475" s="16"/>
      <c r="Z475" s="16"/>
      <c r="AC475" s="16"/>
      <c r="AD475" s="16"/>
      <c r="AG475" s="16"/>
      <c r="AH475" s="16"/>
      <c r="AK475" s="16"/>
      <c r="AL475" s="16"/>
      <c r="AO475" s="16"/>
      <c r="AP475" s="16"/>
      <c r="AS475" s="16"/>
      <c r="AT475" s="16"/>
      <c r="AW475" s="16"/>
      <c r="AX475" s="16"/>
      <c r="BA475" s="16"/>
      <c r="BB475" s="16"/>
      <c r="BH475" s="19"/>
      <c r="CD475" s="19"/>
    </row>
    <row r="476" spans="12:82" x14ac:dyDescent="0.25">
      <c r="L476" s="17"/>
      <c r="P476" s="17"/>
      <c r="R476" s="16">
        <v>0</v>
      </c>
      <c r="U476" s="16"/>
      <c r="V476" s="16">
        <v>0</v>
      </c>
      <c r="Y476" s="16"/>
      <c r="Z476" s="16"/>
      <c r="AC476" s="16"/>
      <c r="AD476" s="16"/>
      <c r="AG476" s="16"/>
      <c r="AH476" s="16"/>
      <c r="AK476" s="16"/>
      <c r="AL476" s="16"/>
      <c r="AO476" s="16"/>
      <c r="AP476" s="16"/>
      <c r="AS476" s="16"/>
      <c r="AT476" s="16"/>
      <c r="AW476" s="16"/>
      <c r="AX476" s="16"/>
      <c r="BA476" s="16"/>
      <c r="BB476" s="16"/>
      <c r="BH476" s="19"/>
      <c r="CD476" s="19"/>
    </row>
    <row r="477" spans="12:82" x14ac:dyDescent="0.25">
      <c r="L477" s="17"/>
      <c r="P477" s="17"/>
      <c r="R477" s="16">
        <v>0</v>
      </c>
      <c r="U477" s="16"/>
      <c r="V477" s="16">
        <v>0</v>
      </c>
      <c r="Y477" s="16"/>
      <c r="Z477" s="16"/>
      <c r="AC477" s="16"/>
      <c r="AD477" s="16"/>
      <c r="AG477" s="16"/>
      <c r="AH477" s="16"/>
      <c r="AK477" s="16"/>
      <c r="AL477" s="16"/>
      <c r="AO477" s="16"/>
      <c r="AP477" s="16"/>
      <c r="AS477" s="16"/>
      <c r="AT477" s="16"/>
      <c r="AW477" s="16"/>
      <c r="AX477" s="16"/>
      <c r="BA477" s="16"/>
      <c r="BB477" s="16"/>
      <c r="BH477" s="19"/>
      <c r="CD477" s="19"/>
    </row>
    <row r="478" spans="12:82" x14ac:dyDescent="0.25">
      <c r="L478" s="17"/>
      <c r="P478" s="17"/>
      <c r="R478" s="16">
        <v>0</v>
      </c>
      <c r="U478" s="16"/>
      <c r="V478" s="16">
        <v>0</v>
      </c>
      <c r="Y478" s="16"/>
      <c r="Z478" s="16"/>
      <c r="AC478" s="16"/>
      <c r="AD478" s="16"/>
      <c r="AG478" s="16"/>
      <c r="AH478" s="16"/>
      <c r="AK478" s="16"/>
      <c r="AL478" s="16"/>
      <c r="AO478" s="16"/>
      <c r="AP478" s="16"/>
      <c r="AS478" s="16"/>
      <c r="AT478" s="16"/>
      <c r="AW478" s="16"/>
      <c r="AX478" s="16"/>
      <c r="BA478" s="16"/>
      <c r="BB478" s="16"/>
      <c r="BH478" s="19"/>
      <c r="CD478" s="19"/>
    </row>
    <row r="479" spans="12:82" x14ac:dyDescent="0.25">
      <c r="L479" s="17"/>
      <c r="P479" s="17"/>
      <c r="R479" s="16">
        <v>0</v>
      </c>
      <c r="U479" s="16"/>
      <c r="V479" s="16">
        <v>0</v>
      </c>
      <c r="Y479" s="16"/>
      <c r="Z479" s="16"/>
      <c r="AC479" s="16"/>
      <c r="AD479" s="16"/>
      <c r="AG479" s="16"/>
      <c r="AH479" s="16"/>
      <c r="AK479" s="16"/>
      <c r="AL479" s="16"/>
      <c r="AO479" s="16"/>
      <c r="AP479" s="16"/>
      <c r="AS479" s="16"/>
      <c r="AT479" s="16"/>
      <c r="AW479" s="16"/>
      <c r="AX479" s="16"/>
      <c r="BA479" s="16"/>
      <c r="BB479" s="16"/>
      <c r="BH479" s="19"/>
      <c r="CD479" s="19"/>
    </row>
    <row r="480" spans="12:82" x14ac:dyDescent="0.25">
      <c r="L480" s="17"/>
      <c r="P480" s="17"/>
      <c r="R480" s="16">
        <v>0</v>
      </c>
      <c r="U480" s="16"/>
      <c r="V480" s="16">
        <v>0</v>
      </c>
      <c r="Y480" s="16"/>
      <c r="Z480" s="16"/>
      <c r="AC480" s="16"/>
      <c r="AD480" s="16"/>
      <c r="AG480" s="16"/>
      <c r="AH480" s="16"/>
      <c r="AK480" s="16"/>
      <c r="AL480" s="16"/>
      <c r="AO480" s="16"/>
      <c r="AP480" s="16"/>
      <c r="AS480" s="16"/>
      <c r="AT480" s="16"/>
      <c r="AW480" s="16"/>
      <c r="AX480" s="16"/>
      <c r="BA480" s="16"/>
      <c r="BB480" s="16"/>
      <c r="BH480" s="19"/>
      <c r="CD480" s="19"/>
    </row>
    <row r="481" spans="12:82" x14ac:dyDescent="0.25">
      <c r="L481" s="17"/>
      <c r="P481" s="17"/>
      <c r="R481" s="16">
        <v>0</v>
      </c>
      <c r="U481" s="16"/>
      <c r="V481" s="16">
        <v>0</v>
      </c>
      <c r="Y481" s="16"/>
      <c r="Z481" s="16"/>
      <c r="AC481" s="16"/>
      <c r="AD481" s="16"/>
      <c r="AG481" s="16"/>
      <c r="AH481" s="16"/>
      <c r="AK481" s="16"/>
      <c r="AL481" s="16"/>
      <c r="AO481" s="16"/>
      <c r="AP481" s="16"/>
      <c r="AS481" s="16"/>
      <c r="AT481" s="16"/>
      <c r="AW481" s="16"/>
      <c r="AX481" s="16"/>
      <c r="BA481" s="16"/>
      <c r="BB481" s="16"/>
      <c r="BH481" s="19"/>
      <c r="CD481" s="19"/>
    </row>
    <row r="482" spans="12:82" x14ac:dyDescent="0.25">
      <c r="L482" s="17"/>
      <c r="P482" s="17"/>
      <c r="R482" s="16">
        <v>0</v>
      </c>
      <c r="U482" s="16"/>
      <c r="V482" s="16">
        <v>0</v>
      </c>
      <c r="Y482" s="16"/>
      <c r="Z482" s="16"/>
      <c r="AC482" s="16"/>
      <c r="AD482" s="16"/>
      <c r="AG482" s="16"/>
      <c r="AH482" s="16"/>
      <c r="AK482" s="16"/>
      <c r="AL482" s="16"/>
      <c r="AO482" s="16"/>
      <c r="AP482" s="16"/>
      <c r="AS482" s="16"/>
      <c r="AT482" s="16"/>
      <c r="AW482" s="16"/>
      <c r="AX482" s="16"/>
      <c r="BA482" s="16"/>
      <c r="BB482" s="16"/>
      <c r="BH482" s="19"/>
      <c r="CD482" s="19"/>
    </row>
    <row r="483" spans="12:82" x14ac:dyDescent="0.25">
      <c r="L483" s="17"/>
      <c r="P483" s="17"/>
      <c r="R483" s="16">
        <v>0</v>
      </c>
      <c r="U483" s="16"/>
      <c r="V483" s="16">
        <v>0</v>
      </c>
      <c r="Y483" s="16"/>
      <c r="Z483" s="16"/>
      <c r="AC483" s="16"/>
      <c r="AD483" s="16"/>
      <c r="AG483" s="16"/>
      <c r="AH483" s="16"/>
      <c r="AK483" s="16"/>
      <c r="AL483" s="16"/>
      <c r="AO483" s="16"/>
      <c r="AP483" s="16"/>
      <c r="AS483" s="16"/>
      <c r="AT483" s="16"/>
      <c r="AW483" s="16"/>
      <c r="AX483" s="16"/>
      <c r="BA483" s="16"/>
      <c r="BB483" s="16"/>
      <c r="BH483" s="19"/>
      <c r="CD483" s="19"/>
    </row>
    <row r="484" spans="12:82" x14ac:dyDescent="0.25">
      <c r="L484" s="17"/>
      <c r="P484" s="17"/>
      <c r="R484" s="16">
        <v>0</v>
      </c>
      <c r="U484" s="16"/>
      <c r="V484" s="16">
        <v>0</v>
      </c>
      <c r="Y484" s="16"/>
      <c r="Z484" s="16"/>
      <c r="AC484" s="16"/>
      <c r="AD484" s="16"/>
      <c r="AG484" s="16"/>
      <c r="AH484" s="16"/>
      <c r="AK484" s="16"/>
      <c r="AL484" s="16"/>
      <c r="AO484" s="16"/>
      <c r="AP484" s="16"/>
      <c r="AS484" s="16"/>
      <c r="AT484" s="16"/>
      <c r="AW484" s="16"/>
      <c r="AX484" s="16"/>
      <c r="BA484" s="16"/>
      <c r="BB484" s="16"/>
      <c r="BH484" s="19"/>
      <c r="CD484" s="19"/>
    </row>
    <row r="485" spans="12:82" x14ac:dyDescent="0.25">
      <c r="L485" s="17"/>
      <c r="P485" s="17"/>
      <c r="R485" s="16">
        <v>0</v>
      </c>
      <c r="U485" s="16"/>
      <c r="V485" s="16">
        <v>0</v>
      </c>
      <c r="Y485" s="16"/>
      <c r="Z485" s="16"/>
      <c r="AC485" s="16"/>
      <c r="AD485" s="16"/>
      <c r="AG485" s="16"/>
      <c r="AH485" s="16"/>
      <c r="AK485" s="16"/>
      <c r="AL485" s="16"/>
      <c r="AO485" s="16"/>
      <c r="AP485" s="16"/>
      <c r="AS485" s="16"/>
      <c r="AT485" s="16"/>
      <c r="AW485" s="16"/>
      <c r="AX485" s="16"/>
      <c r="BA485" s="16"/>
      <c r="BB485" s="16"/>
      <c r="BH485" s="19"/>
      <c r="CD485" s="19"/>
    </row>
    <row r="486" spans="12:82" x14ac:dyDescent="0.25">
      <c r="L486" s="17"/>
      <c r="P486" s="17"/>
      <c r="R486" s="16">
        <v>0</v>
      </c>
      <c r="U486" s="16"/>
      <c r="V486" s="16">
        <v>0</v>
      </c>
      <c r="Y486" s="16"/>
      <c r="Z486" s="16"/>
      <c r="AC486" s="16"/>
      <c r="AD486" s="16"/>
      <c r="AG486" s="16"/>
      <c r="AH486" s="16"/>
      <c r="AK486" s="16"/>
      <c r="AL486" s="16"/>
      <c r="AO486" s="16"/>
      <c r="AP486" s="16"/>
      <c r="AS486" s="16"/>
      <c r="AT486" s="16"/>
      <c r="AW486" s="16"/>
      <c r="AX486" s="16"/>
      <c r="BA486" s="16"/>
      <c r="BB486" s="16"/>
      <c r="BH486" s="19"/>
      <c r="CD486" s="19"/>
    </row>
    <row r="487" spans="12:82" x14ac:dyDescent="0.25">
      <c r="L487" s="17"/>
      <c r="P487" s="17"/>
      <c r="R487" s="16">
        <v>0</v>
      </c>
      <c r="U487" s="16"/>
      <c r="V487" s="16">
        <v>0</v>
      </c>
      <c r="Y487" s="16"/>
      <c r="Z487" s="16"/>
      <c r="AC487" s="16"/>
      <c r="AD487" s="16"/>
      <c r="AG487" s="16"/>
      <c r="AH487" s="16"/>
      <c r="AK487" s="16"/>
      <c r="AL487" s="16"/>
      <c r="AO487" s="16"/>
      <c r="AP487" s="16"/>
      <c r="AS487" s="16"/>
      <c r="AT487" s="16"/>
      <c r="AW487" s="16"/>
      <c r="AX487" s="16"/>
      <c r="BA487" s="16"/>
      <c r="BB487" s="16"/>
      <c r="BH487" s="19"/>
      <c r="CD487" s="19"/>
    </row>
    <row r="488" spans="12:82" x14ac:dyDescent="0.25">
      <c r="L488" s="17"/>
      <c r="P488" s="17"/>
      <c r="R488" s="16">
        <v>0</v>
      </c>
      <c r="U488" s="16"/>
      <c r="V488" s="16">
        <v>0</v>
      </c>
      <c r="Y488" s="16"/>
      <c r="Z488" s="16"/>
      <c r="AC488" s="16"/>
      <c r="AD488" s="16"/>
      <c r="AG488" s="16"/>
      <c r="AH488" s="16"/>
      <c r="AK488" s="16"/>
      <c r="AL488" s="16"/>
      <c r="AO488" s="16"/>
      <c r="AP488" s="16"/>
      <c r="AS488" s="16"/>
      <c r="AT488" s="16"/>
      <c r="AW488" s="16"/>
      <c r="AX488" s="16"/>
      <c r="BA488" s="16"/>
      <c r="BB488" s="16"/>
      <c r="BH488" s="19"/>
      <c r="CD488" s="19"/>
    </row>
    <row r="489" spans="12:82" x14ac:dyDescent="0.25">
      <c r="L489" s="17"/>
      <c r="P489" s="17"/>
      <c r="R489" s="16">
        <v>0</v>
      </c>
      <c r="U489" s="16"/>
      <c r="V489" s="16">
        <v>0</v>
      </c>
      <c r="Y489" s="16"/>
      <c r="Z489" s="16"/>
      <c r="AC489" s="16"/>
      <c r="AD489" s="16"/>
      <c r="AG489" s="16"/>
      <c r="AH489" s="16"/>
      <c r="AK489" s="16"/>
      <c r="AL489" s="16"/>
      <c r="AO489" s="16"/>
      <c r="AP489" s="16"/>
      <c r="AS489" s="16"/>
      <c r="AT489" s="16"/>
      <c r="AW489" s="16"/>
      <c r="AX489" s="16"/>
      <c r="BA489" s="16"/>
      <c r="BB489" s="16"/>
      <c r="BH489" s="19"/>
      <c r="CD489" s="19"/>
    </row>
    <row r="490" spans="12:82" x14ac:dyDescent="0.25">
      <c r="L490" s="17"/>
      <c r="P490" s="17"/>
      <c r="R490" s="16">
        <v>0</v>
      </c>
      <c r="U490" s="16"/>
      <c r="V490" s="16">
        <v>0</v>
      </c>
      <c r="Y490" s="16"/>
      <c r="Z490" s="16"/>
      <c r="AC490" s="16"/>
      <c r="AD490" s="16"/>
      <c r="AG490" s="16"/>
      <c r="AH490" s="16"/>
      <c r="AK490" s="16"/>
      <c r="AL490" s="16"/>
      <c r="AO490" s="16"/>
      <c r="AP490" s="16"/>
      <c r="AS490" s="16"/>
      <c r="AT490" s="16"/>
      <c r="AW490" s="16"/>
      <c r="AX490" s="16"/>
      <c r="BA490" s="16"/>
      <c r="BB490" s="16"/>
      <c r="BH490" s="19"/>
      <c r="CD490" s="19"/>
    </row>
    <row r="491" spans="12:82" x14ac:dyDescent="0.25">
      <c r="L491" s="17"/>
      <c r="P491" s="17"/>
      <c r="R491" s="16">
        <v>0</v>
      </c>
      <c r="U491" s="16"/>
      <c r="V491" s="16">
        <v>0</v>
      </c>
      <c r="Y491" s="16"/>
      <c r="Z491" s="16"/>
      <c r="AC491" s="16"/>
      <c r="AD491" s="16"/>
      <c r="AG491" s="16"/>
      <c r="AH491" s="16"/>
      <c r="AK491" s="16"/>
      <c r="AL491" s="16"/>
      <c r="AO491" s="16"/>
      <c r="AP491" s="16"/>
      <c r="AS491" s="16"/>
      <c r="AT491" s="16"/>
      <c r="AW491" s="16"/>
      <c r="AX491" s="16"/>
      <c r="BA491" s="16"/>
      <c r="BB491" s="16"/>
      <c r="BH491" s="19"/>
      <c r="CD491" s="19"/>
    </row>
    <row r="492" spans="12:82" x14ac:dyDescent="0.25">
      <c r="L492" s="17"/>
      <c r="P492" s="17"/>
      <c r="R492" s="16">
        <v>0</v>
      </c>
      <c r="U492" s="16"/>
      <c r="V492" s="16">
        <v>0</v>
      </c>
      <c r="Y492" s="16"/>
      <c r="Z492" s="16"/>
      <c r="AC492" s="16"/>
      <c r="AD492" s="16"/>
      <c r="AG492" s="16"/>
      <c r="AH492" s="16"/>
      <c r="AK492" s="16"/>
      <c r="AL492" s="16"/>
      <c r="AO492" s="16"/>
      <c r="AP492" s="16"/>
      <c r="AS492" s="16"/>
      <c r="AT492" s="16"/>
      <c r="AW492" s="16"/>
      <c r="AX492" s="16"/>
      <c r="BA492" s="16"/>
      <c r="BB492" s="16"/>
      <c r="BH492" s="19"/>
      <c r="CD492" s="19"/>
    </row>
    <row r="493" spans="12:82" x14ac:dyDescent="0.25">
      <c r="L493" s="17"/>
      <c r="P493" s="17"/>
      <c r="R493" s="16">
        <v>0</v>
      </c>
      <c r="U493" s="16"/>
      <c r="V493" s="16">
        <v>0</v>
      </c>
      <c r="Y493" s="16"/>
      <c r="Z493" s="16"/>
      <c r="AC493" s="16"/>
      <c r="AD493" s="16"/>
      <c r="AG493" s="16"/>
      <c r="AH493" s="16"/>
      <c r="AK493" s="16"/>
      <c r="AL493" s="16"/>
      <c r="AO493" s="16"/>
      <c r="AP493" s="16"/>
      <c r="AS493" s="16"/>
      <c r="AT493" s="16"/>
      <c r="AW493" s="16"/>
      <c r="AX493" s="16"/>
      <c r="BA493" s="16"/>
      <c r="BB493" s="16"/>
      <c r="BH493" s="19"/>
      <c r="CD493" s="19"/>
    </row>
    <row r="494" spans="12:82" x14ac:dyDescent="0.25">
      <c r="L494" s="17"/>
      <c r="P494" s="17"/>
      <c r="R494" s="16">
        <v>0</v>
      </c>
      <c r="U494" s="16"/>
      <c r="V494" s="16">
        <v>0</v>
      </c>
      <c r="Y494" s="16"/>
      <c r="Z494" s="16"/>
      <c r="AC494" s="16"/>
      <c r="AD494" s="16"/>
      <c r="AG494" s="16"/>
      <c r="AH494" s="16"/>
      <c r="AK494" s="16"/>
      <c r="AL494" s="16"/>
      <c r="AO494" s="16"/>
      <c r="AP494" s="16"/>
      <c r="AS494" s="16"/>
      <c r="AT494" s="16"/>
      <c r="AW494" s="16"/>
      <c r="AX494" s="16"/>
      <c r="BA494" s="16"/>
      <c r="BB494" s="16"/>
      <c r="BH494" s="19"/>
      <c r="CD494" s="19"/>
    </row>
    <row r="495" spans="12:82" x14ac:dyDescent="0.25">
      <c r="L495" s="17"/>
      <c r="P495" s="17"/>
      <c r="R495" s="16">
        <v>0</v>
      </c>
      <c r="U495" s="16"/>
      <c r="V495" s="16">
        <v>0</v>
      </c>
      <c r="Y495" s="16"/>
      <c r="Z495" s="16"/>
      <c r="AC495" s="16"/>
      <c r="AD495" s="16"/>
      <c r="AG495" s="16"/>
      <c r="AH495" s="16"/>
      <c r="AK495" s="16"/>
      <c r="AL495" s="16"/>
      <c r="AO495" s="16"/>
      <c r="AP495" s="16"/>
      <c r="AS495" s="16"/>
      <c r="AT495" s="16"/>
      <c r="AW495" s="16"/>
      <c r="AX495" s="16"/>
      <c r="BA495" s="16"/>
      <c r="BB495" s="16"/>
      <c r="BH495" s="19"/>
      <c r="CD495" s="19"/>
    </row>
    <row r="496" spans="12:82" x14ac:dyDescent="0.25">
      <c r="L496" s="17"/>
      <c r="P496" s="17"/>
      <c r="R496" s="16">
        <v>0</v>
      </c>
      <c r="U496" s="16"/>
      <c r="V496" s="16">
        <v>0</v>
      </c>
      <c r="Y496" s="16"/>
      <c r="Z496" s="16"/>
      <c r="AC496" s="16"/>
      <c r="AD496" s="16"/>
      <c r="AG496" s="16"/>
      <c r="AH496" s="16"/>
      <c r="AK496" s="16"/>
      <c r="AL496" s="16"/>
      <c r="AO496" s="16"/>
      <c r="AP496" s="16"/>
      <c r="AS496" s="16"/>
      <c r="AT496" s="16"/>
      <c r="AW496" s="16"/>
      <c r="AX496" s="16"/>
      <c r="BA496" s="16"/>
      <c r="BB496" s="16"/>
      <c r="BH496" s="19"/>
      <c r="CD496" s="19"/>
    </row>
    <row r="497" spans="12:82" x14ac:dyDescent="0.25">
      <c r="L497" s="17"/>
      <c r="P497" s="17"/>
      <c r="R497" s="16">
        <v>0</v>
      </c>
      <c r="U497" s="16"/>
      <c r="V497" s="16">
        <v>0</v>
      </c>
      <c r="Y497" s="16"/>
      <c r="Z497" s="16"/>
      <c r="AC497" s="16"/>
      <c r="AD497" s="16"/>
      <c r="AG497" s="16"/>
      <c r="AH497" s="16"/>
      <c r="AK497" s="16"/>
      <c r="AL497" s="16"/>
      <c r="AO497" s="16"/>
      <c r="AP497" s="16"/>
      <c r="AS497" s="16"/>
      <c r="AT497" s="16"/>
      <c r="AW497" s="16"/>
      <c r="AX497" s="16"/>
      <c r="BA497" s="16"/>
      <c r="BB497" s="16"/>
      <c r="BH497" s="19"/>
      <c r="CD497" s="19"/>
    </row>
    <row r="498" spans="12:82" x14ac:dyDescent="0.25">
      <c r="L498" s="17"/>
      <c r="P498" s="17"/>
      <c r="R498" s="16">
        <v>0</v>
      </c>
      <c r="U498" s="16"/>
      <c r="V498" s="16">
        <v>0</v>
      </c>
      <c r="Y498" s="16"/>
      <c r="Z498" s="16"/>
      <c r="AC498" s="16"/>
      <c r="AD498" s="16"/>
      <c r="AG498" s="16"/>
      <c r="AH498" s="16"/>
      <c r="AK498" s="16"/>
      <c r="AL498" s="16"/>
      <c r="AO498" s="16"/>
      <c r="AP498" s="16"/>
      <c r="AS498" s="16"/>
      <c r="AT498" s="16"/>
      <c r="AW498" s="16"/>
      <c r="AX498" s="16"/>
      <c r="BA498" s="16"/>
      <c r="BB498" s="16"/>
      <c r="BH498" s="19"/>
      <c r="CD498" s="19"/>
    </row>
    <row r="499" spans="12:82" x14ac:dyDescent="0.25">
      <c r="L499" s="17"/>
      <c r="P499" s="17"/>
      <c r="R499" s="16">
        <v>0</v>
      </c>
      <c r="U499" s="16"/>
      <c r="V499" s="16">
        <v>0</v>
      </c>
      <c r="Y499" s="16"/>
      <c r="Z499" s="16"/>
      <c r="AC499" s="16"/>
      <c r="AD499" s="16"/>
      <c r="AG499" s="16"/>
      <c r="AH499" s="16"/>
      <c r="AK499" s="16"/>
      <c r="AL499" s="16"/>
      <c r="AO499" s="16"/>
      <c r="AP499" s="16"/>
      <c r="AS499" s="16"/>
      <c r="AT499" s="16"/>
      <c r="AW499" s="16"/>
      <c r="AX499" s="16"/>
      <c r="BA499" s="16"/>
      <c r="BB499" s="16"/>
      <c r="BH499" s="19"/>
      <c r="CD499" s="19"/>
    </row>
    <row r="500" spans="12:82" x14ac:dyDescent="0.25">
      <c r="L500" s="17"/>
      <c r="P500" s="17"/>
      <c r="R500" s="16">
        <v>0</v>
      </c>
      <c r="U500" s="16"/>
      <c r="V500" s="16">
        <v>0</v>
      </c>
      <c r="Y500" s="16"/>
      <c r="Z500" s="16"/>
      <c r="AC500" s="16"/>
      <c r="AD500" s="16"/>
      <c r="AG500" s="16"/>
      <c r="AH500" s="16"/>
      <c r="AK500" s="16"/>
      <c r="AL500" s="16"/>
      <c r="AO500" s="16"/>
      <c r="AP500" s="16"/>
      <c r="AS500" s="16"/>
      <c r="AT500" s="16"/>
      <c r="AW500" s="16"/>
      <c r="AX500" s="16"/>
      <c r="BA500" s="16"/>
      <c r="BB500" s="16"/>
      <c r="BH500" s="19"/>
      <c r="CD500" s="19"/>
    </row>
    <row r="501" spans="12:82" x14ac:dyDescent="0.25">
      <c r="L501" s="17"/>
      <c r="P501" s="17"/>
      <c r="R501" s="16">
        <v>0</v>
      </c>
      <c r="U501" s="16"/>
      <c r="V501" s="16">
        <v>0</v>
      </c>
      <c r="Y501" s="16"/>
      <c r="Z501" s="16"/>
      <c r="AC501" s="16"/>
      <c r="AD501" s="16"/>
      <c r="AG501" s="16"/>
      <c r="AH501" s="16"/>
      <c r="AK501" s="16"/>
      <c r="AL501" s="16"/>
      <c r="AO501" s="16"/>
      <c r="AP501" s="16"/>
      <c r="AS501" s="16"/>
      <c r="AT501" s="16"/>
      <c r="AW501" s="16"/>
      <c r="AX501" s="16"/>
      <c r="BA501" s="16"/>
      <c r="BB501" s="16"/>
      <c r="BH501" s="19"/>
      <c r="CD501" s="19"/>
    </row>
    <row r="502" spans="12:82" x14ac:dyDescent="0.25">
      <c r="L502" s="17"/>
      <c r="P502" s="17"/>
      <c r="R502" s="16">
        <v>0</v>
      </c>
      <c r="U502" s="16"/>
      <c r="V502" s="16">
        <v>0</v>
      </c>
      <c r="Y502" s="16"/>
      <c r="Z502" s="16"/>
      <c r="AC502" s="16"/>
      <c r="AD502" s="16"/>
      <c r="AG502" s="16"/>
      <c r="AH502" s="16"/>
      <c r="AK502" s="16"/>
      <c r="AL502" s="16"/>
      <c r="AO502" s="16"/>
      <c r="AP502" s="16"/>
      <c r="AS502" s="16"/>
      <c r="AT502" s="16"/>
      <c r="AW502" s="16"/>
      <c r="AX502" s="16"/>
      <c r="BA502" s="16"/>
      <c r="BB502" s="16"/>
      <c r="BH502" s="19"/>
      <c r="CD502" s="19"/>
    </row>
    <row r="503" spans="12:82" x14ac:dyDescent="0.25">
      <c r="L503" s="17"/>
      <c r="P503" s="17"/>
      <c r="R503" s="16">
        <v>0</v>
      </c>
      <c r="U503" s="16"/>
      <c r="V503" s="16">
        <v>0</v>
      </c>
      <c r="Y503" s="16"/>
      <c r="Z503" s="16"/>
      <c r="AC503" s="16"/>
      <c r="AD503" s="16"/>
      <c r="AG503" s="16"/>
      <c r="AH503" s="16"/>
      <c r="AK503" s="16"/>
      <c r="AL503" s="16"/>
      <c r="AO503" s="16"/>
      <c r="AP503" s="16"/>
      <c r="AS503" s="16"/>
      <c r="AT503" s="16"/>
      <c r="AW503" s="16"/>
      <c r="AX503" s="16"/>
      <c r="BA503" s="16"/>
      <c r="BB503" s="16"/>
      <c r="BH503" s="19"/>
      <c r="CD503" s="19"/>
    </row>
    <row r="504" spans="12:82" x14ac:dyDescent="0.25">
      <c r="L504" s="17"/>
      <c r="P504" s="17"/>
      <c r="R504" s="16">
        <v>0</v>
      </c>
      <c r="U504" s="16"/>
      <c r="V504" s="16">
        <v>0</v>
      </c>
      <c r="Y504" s="16"/>
      <c r="Z504" s="16"/>
      <c r="AC504" s="16"/>
      <c r="AD504" s="16"/>
      <c r="AG504" s="16"/>
      <c r="AH504" s="16"/>
      <c r="AK504" s="16"/>
      <c r="AL504" s="16"/>
      <c r="AO504" s="16"/>
      <c r="AP504" s="16"/>
      <c r="AS504" s="16"/>
      <c r="AT504" s="16"/>
      <c r="AW504" s="16"/>
      <c r="AX504" s="16"/>
      <c r="BA504" s="16"/>
      <c r="BB504" s="16"/>
      <c r="BH504" s="19"/>
      <c r="CD504" s="19"/>
    </row>
    <row r="505" spans="12:82" x14ac:dyDescent="0.25">
      <c r="L505" s="17"/>
      <c r="P505" s="17"/>
      <c r="R505" s="16">
        <v>0</v>
      </c>
      <c r="U505" s="16"/>
      <c r="V505" s="16">
        <v>0</v>
      </c>
      <c r="Y505" s="16"/>
      <c r="Z505" s="16"/>
      <c r="AC505" s="16"/>
      <c r="AD505" s="16"/>
      <c r="AG505" s="16"/>
      <c r="AH505" s="16"/>
      <c r="AK505" s="16"/>
      <c r="AL505" s="16"/>
      <c r="AO505" s="16"/>
      <c r="AP505" s="16"/>
      <c r="AS505" s="16"/>
      <c r="AT505" s="16"/>
      <c r="AW505" s="16"/>
      <c r="AX505" s="16"/>
      <c r="BA505" s="16"/>
      <c r="BB505" s="16"/>
      <c r="BH505" s="19"/>
      <c r="CD505" s="19"/>
    </row>
    <row r="506" spans="12:82" x14ac:dyDescent="0.25">
      <c r="L506" s="17"/>
      <c r="P506" s="17"/>
      <c r="R506" s="16">
        <v>0</v>
      </c>
      <c r="U506" s="16"/>
      <c r="V506" s="16">
        <v>0</v>
      </c>
      <c r="Y506" s="16"/>
      <c r="Z506" s="16"/>
      <c r="AC506" s="16"/>
      <c r="AD506" s="16"/>
      <c r="AG506" s="16"/>
      <c r="AH506" s="16"/>
      <c r="AK506" s="16"/>
      <c r="AL506" s="16"/>
      <c r="AO506" s="16"/>
      <c r="AP506" s="16"/>
      <c r="AS506" s="16"/>
      <c r="AT506" s="16"/>
      <c r="AW506" s="16"/>
      <c r="AX506" s="16"/>
      <c r="BA506" s="16"/>
      <c r="BB506" s="16"/>
      <c r="BH506" s="19"/>
      <c r="CD506" s="19"/>
    </row>
    <row r="507" spans="12:82" x14ac:dyDescent="0.25">
      <c r="L507" s="17"/>
      <c r="P507" s="17"/>
      <c r="R507" s="16">
        <v>0</v>
      </c>
      <c r="U507" s="16"/>
      <c r="V507" s="16">
        <v>0</v>
      </c>
      <c r="Y507" s="16"/>
      <c r="Z507" s="16"/>
      <c r="AC507" s="16"/>
      <c r="AD507" s="16"/>
      <c r="AG507" s="16"/>
      <c r="AH507" s="16"/>
      <c r="AK507" s="16"/>
      <c r="AL507" s="16"/>
      <c r="AO507" s="16"/>
      <c r="AP507" s="16"/>
      <c r="AS507" s="16"/>
      <c r="AT507" s="16"/>
      <c r="AW507" s="16"/>
      <c r="AX507" s="16"/>
      <c r="BA507" s="16"/>
      <c r="BB507" s="16"/>
      <c r="BH507" s="19"/>
      <c r="CD507" s="19"/>
    </row>
    <row r="508" spans="12:82" x14ac:dyDescent="0.25">
      <c r="L508" s="17"/>
      <c r="P508" s="17"/>
      <c r="R508" s="16">
        <v>0</v>
      </c>
      <c r="U508" s="16"/>
      <c r="V508" s="16">
        <v>0</v>
      </c>
      <c r="Y508" s="16"/>
      <c r="Z508" s="16"/>
      <c r="AC508" s="16"/>
      <c r="AD508" s="16"/>
      <c r="AG508" s="16"/>
      <c r="AH508" s="16"/>
      <c r="AK508" s="16"/>
      <c r="AL508" s="16"/>
      <c r="AO508" s="16"/>
      <c r="AP508" s="16"/>
      <c r="AS508" s="16"/>
      <c r="AT508" s="16"/>
      <c r="AW508" s="16"/>
      <c r="AX508" s="16"/>
      <c r="BA508" s="16"/>
      <c r="BB508" s="16"/>
      <c r="BH508" s="19"/>
      <c r="CD508" s="19"/>
    </row>
    <row r="509" spans="12:82" x14ac:dyDescent="0.25">
      <c r="L509" s="17"/>
      <c r="P509" s="17"/>
      <c r="R509" s="16">
        <v>0</v>
      </c>
      <c r="U509" s="16"/>
      <c r="V509" s="16">
        <v>0</v>
      </c>
      <c r="Y509" s="16"/>
      <c r="Z509" s="16"/>
      <c r="AC509" s="16"/>
      <c r="AD509" s="16"/>
      <c r="AG509" s="16"/>
      <c r="AH509" s="16"/>
      <c r="AK509" s="16"/>
      <c r="AL509" s="16"/>
      <c r="AO509" s="16"/>
      <c r="AP509" s="16"/>
      <c r="AS509" s="16"/>
      <c r="AT509" s="16"/>
      <c r="AW509" s="16"/>
      <c r="AX509" s="16"/>
      <c r="BA509" s="16"/>
      <c r="BB509" s="16"/>
      <c r="BH509" s="19"/>
      <c r="CD509" s="19"/>
    </row>
    <row r="510" spans="12:82" x14ac:dyDescent="0.25">
      <c r="L510" s="17"/>
      <c r="P510" s="17"/>
      <c r="R510" s="16">
        <v>0</v>
      </c>
      <c r="U510" s="16"/>
      <c r="V510" s="16">
        <v>0</v>
      </c>
      <c r="Y510" s="16"/>
      <c r="Z510" s="16"/>
      <c r="AC510" s="16"/>
      <c r="AD510" s="16"/>
      <c r="AG510" s="16"/>
      <c r="AH510" s="16"/>
      <c r="AK510" s="16"/>
      <c r="AL510" s="16"/>
      <c r="AO510" s="16"/>
      <c r="AP510" s="16"/>
      <c r="AS510" s="16"/>
      <c r="AT510" s="16"/>
      <c r="AW510" s="16"/>
      <c r="AX510" s="16"/>
      <c r="BA510" s="16"/>
      <c r="BB510" s="16"/>
      <c r="BH510" s="19"/>
      <c r="CD510" s="19"/>
    </row>
    <row r="511" spans="12:82" x14ac:dyDescent="0.25">
      <c r="L511" s="17"/>
      <c r="P511" s="17"/>
      <c r="R511" s="16">
        <v>0</v>
      </c>
      <c r="U511" s="16"/>
      <c r="V511" s="16">
        <v>0</v>
      </c>
      <c r="Y511" s="16"/>
      <c r="Z511" s="16"/>
      <c r="AC511" s="16"/>
      <c r="AD511" s="16"/>
      <c r="AG511" s="16"/>
      <c r="AH511" s="16"/>
      <c r="AK511" s="16"/>
      <c r="AL511" s="16"/>
      <c r="AO511" s="16"/>
      <c r="AP511" s="16"/>
      <c r="AS511" s="16"/>
      <c r="AT511" s="16"/>
      <c r="AW511" s="16"/>
      <c r="AX511" s="16"/>
      <c r="BA511" s="16"/>
      <c r="BB511" s="16"/>
      <c r="BH511" s="19"/>
      <c r="CD511" s="19"/>
    </row>
    <row r="512" spans="12:82" x14ac:dyDescent="0.25">
      <c r="L512" s="17"/>
      <c r="P512" s="17"/>
      <c r="R512" s="16">
        <v>0</v>
      </c>
      <c r="U512" s="16"/>
      <c r="V512" s="16">
        <v>0</v>
      </c>
      <c r="Y512" s="16"/>
      <c r="Z512" s="16"/>
      <c r="AC512" s="16"/>
      <c r="AD512" s="16"/>
      <c r="AG512" s="16"/>
      <c r="AH512" s="16"/>
      <c r="AK512" s="16"/>
      <c r="AL512" s="16"/>
      <c r="AO512" s="16"/>
      <c r="AP512" s="16"/>
      <c r="AS512" s="16"/>
      <c r="AT512" s="16"/>
      <c r="AW512" s="16"/>
      <c r="AX512" s="16"/>
      <c r="BA512" s="16"/>
      <c r="BB512" s="16"/>
      <c r="BH512" s="19"/>
      <c r="CD512" s="19"/>
    </row>
    <row r="513" spans="12:82" x14ac:dyDescent="0.25">
      <c r="L513" s="17"/>
      <c r="P513" s="17"/>
      <c r="R513" s="16">
        <v>0</v>
      </c>
      <c r="U513" s="16"/>
      <c r="V513" s="16">
        <v>0</v>
      </c>
      <c r="Y513" s="16"/>
      <c r="Z513" s="16"/>
      <c r="AC513" s="16"/>
      <c r="AD513" s="16"/>
      <c r="AG513" s="16"/>
      <c r="AH513" s="16"/>
      <c r="AK513" s="16"/>
      <c r="AL513" s="16"/>
      <c r="AO513" s="16"/>
      <c r="AP513" s="16"/>
      <c r="AS513" s="16"/>
      <c r="AT513" s="16"/>
      <c r="AW513" s="16"/>
      <c r="AX513" s="16"/>
      <c r="BA513" s="16"/>
      <c r="BB513" s="16"/>
      <c r="BH513" s="19"/>
      <c r="CD513" s="19"/>
    </row>
    <row r="514" spans="12:82" x14ac:dyDescent="0.25">
      <c r="L514" s="17"/>
      <c r="P514" s="17"/>
      <c r="R514" s="16">
        <v>0</v>
      </c>
      <c r="U514" s="16"/>
      <c r="V514" s="16">
        <v>0</v>
      </c>
      <c r="Y514" s="16"/>
      <c r="Z514" s="16"/>
      <c r="AC514" s="16"/>
      <c r="AD514" s="16"/>
      <c r="AG514" s="16"/>
      <c r="AH514" s="16"/>
      <c r="AK514" s="16"/>
      <c r="AL514" s="16"/>
      <c r="AO514" s="16"/>
      <c r="AP514" s="16"/>
      <c r="AS514" s="16"/>
      <c r="AT514" s="16"/>
      <c r="AW514" s="16"/>
      <c r="AX514" s="16"/>
      <c r="BA514" s="16"/>
      <c r="BB514" s="16"/>
      <c r="BH514" s="19"/>
      <c r="CD514" s="19"/>
    </row>
    <row r="515" spans="12:82" x14ac:dyDescent="0.25">
      <c r="L515" s="17"/>
      <c r="P515" s="17"/>
      <c r="R515" s="16">
        <v>0</v>
      </c>
      <c r="U515" s="16"/>
      <c r="V515" s="16">
        <v>0</v>
      </c>
      <c r="Y515" s="16"/>
      <c r="Z515" s="16"/>
      <c r="AC515" s="16"/>
      <c r="AD515" s="16"/>
      <c r="AG515" s="16"/>
      <c r="AH515" s="16"/>
      <c r="AK515" s="16"/>
      <c r="AL515" s="16"/>
      <c r="AO515" s="16"/>
      <c r="AP515" s="16"/>
      <c r="AS515" s="16"/>
      <c r="AT515" s="16"/>
      <c r="AW515" s="16"/>
      <c r="AX515" s="16"/>
      <c r="BA515" s="16"/>
      <c r="BB515" s="16"/>
      <c r="BH515" s="19"/>
      <c r="CD515" s="19"/>
    </row>
    <row r="516" spans="12:82" x14ac:dyDescent="0.25">
      <c r="L516" s="17"/>
      <c r="P516" s="17"/>
      <c r="R516" s="16">
        <v>0</v>
      </c>
      <c r="U516" s="16"/>
      <c r="V516" s="16">
        <v>0</v>
      </c>
      <c r="Y516" s="16"/>
      <c r="Z516" s="16"/>
      <c r="AC516" s="16"/>
      <c r="AD516" s="16"/>
      <c r="AG516" s="16"/>
      <c r="AH516" s="16"/>
      <c r="AK516" s="16"/>
      <c r="AL516" s="16"/>
      <c r="AO516" s="16"/>
      <c r="AP516" s="16"/>
      <c r="AS516" s="16"/>
      <c r="AT516" s="16"/>
      <c r="AW516" s="16"/>
      <c r="AX516" s="16"/>
      <c r="BA516" s="16"/>
      <c r="BB516" s="16"/>
      <c r="BH516" s="19"/>
      <c r="CD516" s="19"/>
    </row>
    <row r="517" spans="12:82" x14ac:dyDescent="0.25">
      <c r="L517" s="17"/>
      <c r="P517" s="17"/>
      <c r="R517" s="16">
        <v>0</v>
      </c>
      <c r="U517" s="16"/>
      <c r="V517" s="16">
        <v>0</v>
      </c>
      <c r="Y517" s="16"/>
      <c r="Z517" s="16"/>
      <c r="AC517" s="16"/>
      <c r="AD517" s="16"/>
      <c r="AG517" s="16"/>
      <c r="AH517" s="16"/>
      <c r="AK517" s="16"/>
      <c r="AL517" s="16"/>
      <c r="AO517" s="16"/>
      <c r="AP517" s="16"/>
      <c r="AS517" s="16"/>
      <c r="AT517" s="16"/>
      <c r="AW517" s="16"/>
      <c r="AX517" s="16"/>
      <c r="BA517" s="16"/>
      <c r="BB517" s="16"/>
      <c r="BH517" s="19"/>
      <c r="CD517" s="19"/>
    </row>
    <row r="518" spans="12:82" x14ac:dyDescent="0.25">
      <c r="L518" s="17"/>
      <c r="P518" s="17"/>
      <c r="R518" s="16">
        <v>0</v>
      </c>
      <c r="U518" s="16"/>
      <c r="V518" s="16">
        <v>0</v>
      </c>
      <c r="Y518" s="16"/>
      <c r="Z518" s="16"/>
      <c r="AC518" s="16"/>
      <c r="AD518" s="16"/>
      <c r="AG518" s="16"/>
      <c r="AH518" s="16"/>
      <c r="AK518" s="16"/>
      <c r="AL518" s="16"/>
      <c r="AO518" s="16"/>
      <c r="AP518" s="16"/>
      <c r="AS518" s="16"/>
      <c r="AT518" s="16"/>
      <c r="AW518" s="16"/>
      <c r="AX518" s="16"/>
      <c r="BA518" s="16"/>
      <c r="BB518" s="16"/>
      <c r="BH518" s="19"/>
      <c r="CD518" s="19"/>
    </row>
    <row r="519" spans="12:82" x14ac:dyDescent="0.25">
      <c r="L519" s="17"/>
      <c r="P519" s="17"/>
      <c r="R519" s="16">
        <v>0</v>
      </c>
      <c r="U519" s="16"/>
      <c r="V519" s="16">
        <v>0</v>
      </c>
      <c r="Y519" s="16"/>
      <c r="Z519" s="16"/>
      <c r="AC519" s="16"/>
      <c r="AD519" s="16"/>
      <c r="AG519" s="16"/>
      <c r="AH519" s="16"/>
      <c r="AK519" s="16"/>
      <c r="AL519" s="16"/>
      <c r="AO519" s="16"/>
      <c r="AP519" s="16"/>
      <c r="AS519" s="16"/>
      <c r="AT519" s="16"/>
      <c r="AW519" s="16"/>
      <c r="AX519" s="16"/>
      <c r="BA519" s="16"/>
      <c r="BB519" s="16"/>
      <c r="BH519" s="19"/>
      <c r="CD519" s="19"/>
    </row>
    <row r="520" spans="12:82" x14ac:dyDescent="0.25">
      <c r="L520" s="17"/>
      <c r="P520" s="17"/>
      <c r="R520" s="16">
        <v>0</v>
      </c>
      <c r="U520" s="16"/>
      <c r="V520" s="16">
        <v>0</v>
      </c>
      <c r="Y520" s="16"/>
      <c r="Z520" s="16"/>
      <c r="AC520" s="16"/>
      <c r="AD520" s="16"/>
      <c r="AG520" s="16"/>
      <c r="AH520" s="16"/>
      <c r="AK520" s="16"/>
      <c r="AL520" s="16"/>
      <c r="AO520" s="16"/>
      <c r="AP520" s="16"/>
      <c r="AS520" s="16"/>
      <c r="AT520" s="16"/>
      <c r="AW520" s="16"/>
      <c r="AX520" s="16"/>
      <c r="BA520" s="16"/>
      <c r="BB520" s="16"/>
      <c r="BH520" s="19"/>
      <c r="CD520" s="19"/>
    </row>
    <row r="521" spans="12:82" x14ac:dyDescent="0.25">
      <c r="L521" s="17"/>
      <c r="P521" s="17"/>
      <c r="R521" s="16">
        <v>0</v>
      </c>
      <c r="U521" s="16"/>
      <c r="V521" s="16">
        <v>0</v>
      </c>
      <c r="Y521" s="16"/>
      <c r="Z521" s="16"/>
      <c r="AC521" s="16"/>
      <c r="AD521" s="16"/>
      <c r="AG521" s="16"/>
      <c r="AH521" s="16"/>
      <c r="AK521" s="16"/>
      <c r="AL521" s="16"/>
      <c r="AO521" s="16"/>
      <c r="AP521" s="16"/>
      <c r="AS521" s="16"/>
      <c r="AT521" s="16"/>
      <c r="AW521" s="16"/>
      <c r="AX521" s="16"/>
      <c r="BA521" s="16"/>
      <c r="BB521" s="16"/>
      <c r="BH521" s="19"/>
      <c r="CD521" s="19"/>
    </row>
    <row r="522" spans="12:82" x14ac:dyDescent="0.25">
      <c r="L522" s="17"/>
      <c r="P522" s="17"/>
      <c r="R522" s="16">
        <v>0</v>
      </c>
      <c r="U522" s="16"/>
      <c r="V522" s="16">
        <v>0</v>
      </c>
      <c r="Y522" s="16"/>
      <c r="Z522" s="16"/>
      <c r="AC522" s="16"/>
      <c r="AD522" s="16"/>
      <c r="AG522" s="16"/>
      <c r="AH522" s="16"/>
      <c r="AK522" s="16"/>
      <c r="AL522" s="16"/>
      <c r="AO522" s="16"/>
      <c r="AP522" s="16"/>
      <c r="AS522" s="16"/>
      <c r="AT522" s="16"/>
      <c r="AW522" s="16"/>
      <c r="AX522" s="16"/>
      <c r="BA522" s="16"/>
      <c r="BB522" s="16"/>
      <c r="BH522" s="19"/>
      <c r="CD522" s="19"/>
    </row>
    <row r="523" spans="12:82" x14ac:dyDescent="0.25">
      <c r="L523" s="17"/>
      <c r="P523" s="17"/>
      <c r="R523" s="16">
        <v>0</v>
      </c>
      <c r="U523" s="16"/>
      <c r="V523" s="16">
        <v>0</v>
      </c>
      <c r="Y523" s="16"/>
      <c r="Z523" s="16"/>
      <c r="AC523" s="16"/>
      <c r="AD523" s="16"/>
      <c r="AG523" s="16"/>
      <c r="AH523" s="16"/>
      <c r="AK523" s="16"/>
      <c r="AL523" s="16"/>
      <c r="AO523" s="16"/>
      <c r="AP523" s="16"/>
      <c r="AS523" s="16"/>
      <c r="AT523" s="16"/>
      <c r="AW523" s="16"/>
      <c r="AX523" s="16"/>
      <c r="BA523" s="16"/>
      <c r="BB523" s="16"/>
      <c r="BH523" s="19"/>
      <c r="CD523" s="19"/>
    </row>
    <row r="524" spans="12:82" x14ac:dyDescent="0.25">
      <c r="L524" s="17"/>
      <c r="P524" s="17"/>
      <c r="R524" s="16">
        <v>0</v>
      </c>
      <c r="U524" s="16"/>
      <c r="V524" s="16">
        <v>0</v>
      </c>
      <c r="Y524" s="16"/>
      <c r="Z524" s="16"/>
      <c r="AC524" s="16"/>
      <c r="AD524" s="16"/>
      <c r="AG524" s="16"/>
      <c r="AH524" s="16"/>
      <c r="AK524" s="16"/>
      <c r="AL524" s="16"/>
      <c r="AO524" s="16"/>
      <c r="AP524" s="16"/>
      <c r="AS524" s="16"/>
      <c r="AT524" s="16"/>
      <c r="AW524" s="16"/>
      <c r="AX524" s="16"/>
      <c r="BA524" s="16"/>
      <c r="BB524" s="16"/>
      <c r="BH524" s="19"/>
      <c r="CD524" s="19"/>
    </row>
    <row r="525" spans="12:82" x14ac:dyDescent="0.25">
      <c r="L525" s="17"/>
      <c r="P525" s="17"/>
      <c r="R525" s="16">
        <v>0</v>
      </c>
      <c r="U525" s="16"/>
      <c r="V525" s="16">
        <v>0</v>
      </c>
      <c r="Y525" s="16"/>
      <c r="Z525" s="16"/>
      <c r="AC525" s="16"/>
      <c r="AD525" s="16"/>
      <c r="AG525" s="16"/>
      <c r="AH525" s="16"/>
      <c r="AK525" s="16"/>
      <c r="AL525" s="16"/>
      <c r="AO525" s="16"/>
      <c r="AP525" s="16"/>
      <c r="AS525" s="16"/>
      <c r="AT525" s="16"/>
      <c r="AW525" s="16"/>
      <c r="AX525" s="16"/>
      <c r="BA525" s="16"/>
      <c r="BB525" s="16"/>
      <c r="BH525" s="19"/>
      <c r="CD525" s="19"/>
    </row>
    <row r="526" spans="12:82" x14ac:dyDescent="0.25">
      <c r="L526" s="17"/>
      <c r="P526" s="17"/>
      <c r="R526" s="16">
        <v>0</v>
      </c>
      <c r="U526" s="16"/>
      <c r="V526" s="16">
        <v>0</v>
      </c>
      <c r="Y526" s="16"/>
      <c r="Z526" s="16"/>
      <c r="AC526" s="16"/>
      <c r="AD526" s="16"/>
      <c r="AG526" s="16"/>
      <c r="AH526" s="16"/>
      <c r="AK526" s="16"/>
      <c r="AL526" s="16"/>
      <c r="AO526" s="16"/>
      <c r="AP526" s="16"/>
      <c r="AS526" s="16"/>
      <c r="AT526" s="16"/>
      <c r="AW526" s="16"/>
      <c r="AX526" s="16"/>
      <c r="BA526" s="16"/>
      <c r="BB526" s="16"/>
      <c r="BH526" s="19"/>
      <c r="CD526" s="19"/>
    </row>
    <row r="527" spans="12:82" x14ac:dyDescent="0.25">
      <c r="L527" s="17"/>
      <c r="P527" s="17"/>
      <c r="R527" s="16">
        <v>0</v>
      </c>
      <c r="U527" s="16"/>
      <c r="V527" s="16">
        <v>0</v>
      </c>
      <c r="Y527" s="16"/>
      <c r="Z527" s="16"/>
      <c r="AC527" s="16"/>
      <c r="AD527" s="16"/>
      <c r="AG527" s="16"/>
      <c r="AH527" s="16"/>
      <c r="AK527" s="16"/>
      <c r="AL527" s="16"/>
      <c r="AO527" s="16"/>
      <c r="AP527" s="16"/>
      <c r="AS527" s="16"/>
      <c r="AT527" s="16"/>
      <c r="AW527" s="16"/>
      <c r="AX527" s="16"/>
      <c r="BA527" s="16"/>
      <c r="BB527" s="16"/>
      <c r="BH527" s="19"/>
      <c r="CD527" s="19"/>
    </row>
    <row r="528" spans="12:82" x14ac:dyDescent="0.25">
      <c r="L528" s="17"/>
      <c r="P528" s="17"/>
      <c r="R528" s="16">
        <v>0</v>
      </c>
      <c r="U528" s="16"/>
      <c r="V528" s="16">
        <v>0</v>
      </c>
      <c r="Y528" s="16"/>
      <c r="Z528" s="16"/>
      <c r="AC528" s="16"/>
      <c r="AD528" s="16"/>
      <c r="AG528" s="16"/>
      <c r="AH528" s="16"/>
      <c r="AK528" s="16"/>
      <c r="AL528" s="16"/>
      <c r="AO528" s="16"/>
      <c r="AP528" s="16"/>
      <c r="AS528" s="16"/>
      <c r="AT528" s="16"/>
      <c r="AW528" s="16"/>
      <c r="AX528" s="16"/>
      <c r="BA528" s="16"/>
      <c r="BB528" s="16"/>
      <c r="BH528" s="19"/>
      <c r="CD528" s="19"/>
    </row>
    <row r="529" spans="12:82" x14ac:dyDescent="0.25">
      <c r="L529" s="17"/>
      <c r="P529" s="17"/>
      <c r="R529" s="16">
        <v>0</v>
      </c>
      <c r="U529" s="16"/>
      <c r="V529" s="16">
        <v>0</v>
      </c>
      <c r="Y529" s="16"/>
      <c r="Z529" s="16"/>
      <c r="AC529" s="16"/>
      <c r="AD529" s="16"/>
      <c r="AG529" s="16"/>
      <c r="AH529" s="16"/>
      <c r="AK529" s="16"/>
      <c r="AL529" s="16"/>
      <c r="AO529" s="16"/>
      <c r="AP529" s="16"/>
      <c r="AS529" s="16"/>
      <c r="AT529" s="16"/>
      <c r="AW529" s="16"/>
      <c r="AX529" s="16"/>
      <c r="BA529" s="16"/>
      <c r="BB529" s="16"/>
      <c r="BH529" s="19"/>
      <c r="CD529" s="19"/>
    </row>
    <row r="530" spans="12:82" x14ac:dyDescent="0.25">
      <c r="L530" s="17"/>
      <c r="P530" s="17"/>
      <c r="R530" s="16">
        <v>0</v>
      </c>
      <c r="U530" s="16"/>
      <c r="V530" s="16">
        <v>0</v>
      </c>
      <c r="Y530" s="16"/>
      <c r="Z530" s="16"/>
      <c r="AC530" s="16"/>
      <c r="AD530" s="16"/>
      <c r="AG530" s="16"/>
      <c r="AH530" s="16"/>
      <c r="AK530" s="16"/>
      <c r="AL530" s="16"/>
      <c r="AO530" s="16"/>
      <c r="AP530" s="16"/>
      <c r="AS530" s="16"/>
      <c r="AT530" s="16"/>
      <c r="AW530" s="16"/>
      <c r="AX530" s="16"/>
      <c r="BA530" s="16"/>
      <c r="BB530" s="16"/>
      <c r="BH530" s="19"/>
      <c r="CD530" s="19"/>
    </row>
    <row r="531" spans="12:82" x14ac:dyDescent="0.25">
      <c r="L531" s="17"/>
      <c r="P531" s="17"/>
      <c r="R531" s="16">
        <v>0</v>
      </c>
      <c r="U531" s="16"/>
      <c r="V531" s="16">
        <v>0</v>
      </c>
      <c r="Y531" s="16"/>
      <c r="Z531" s="16"/>
      <c r="AC531" s="16"/>
      <c r="AD531" s="16"/>
      <c r="AG531" s="16"/>
      <c r="AH531" s="16"/>
      <c r="AK531" s="16"/>
      <c r="AL531" s="16"/>
      <c r="AO531" s="16"/>
      <c r="AP531" s="16"/>
      <c r="AS531" s="16"/>
      <c r="AT531" s="16"/>
      <c r="AW531" s="16"/>
      <c r="AX531" s="16"/>
      <c r="BA531" s="16"/>
      <c r="BB531" s="16"/>
      <c r="BH531" s="19"/>
      <c r="CD531" s="19"/>
    </row>
    <row r="532" spans="12:82" x14ac:dyDescent="0.25">
      <c r="L532" s="17"/>
      <c r="P532" s="17"/>
      <c r="R532" s="16">
        <v>0</v>
      </c>
      <c r="U532" s="16"/>
      <c r="V532" s="16">
        <v>0</v>
      </c>
      <c r="Y532" s="16"/>
      <c r="Z532" s="16"/>
      <c r="AC532" s="16"/>
      <c r="AD532" s="16"/>
      <c r="AG532" s="16"/>
      <c r="AH532" s="16"/>
      <c r="AK532" s="16"/>
      <c r="AL532" s="16"/>
      <c r="AO532" s="16"/>
      <c r="AP532" s="16"/>
      <c r="AS532" s="16"/>
      <c r="AT532" s="16"/>
      <c r="AW532" s="16"/>
      <c r="AX532" s="16"/>
      <c r="BA532" s="16"/>
      <c r="BB532" s="16"/>
      <c r="BH532" s="19"/>
      <c r="CD532" s="19"/>
    </row>
    <row r="533" spans="12:82" x14ac:dyDescent="0.25">
      <c r="L533" s="17"/>
      <c r="P533" s="17"/>
      <c r="R533" s="16">
        <v>0</v>
      </c>
      <c r="U533" s="16"/>
      <c r="V533" s="16">
        <v>0</v>
      </c>
      <c r="Y533" s="16"/>
      <c r="Z533" s="16"/>
      <c r="AC533" s="16"/>
      <c r="AD533" s="16"/>
      <c r="AG533" s="16"/>
      <c r="AH533" s="16"/>
      <c r="AK533" s="16"/>
      <c r="AL533" s="16"/>
      <c r="AO533" s="16"/>
      <c r="AP533" s="16"/>
      <c r="AS533" s="16"/>
      <c r="AT533" s="16"/>
      <c r="AW533" s="16"/>
      <c r="AX533" s="16"/>
      <c r="BA533" s="16"/>
      <c r="BB533" s="16"/>
      <c r="BH533" s="19"/>
      <c r="CD533" s="19"/>
    </row>
    <row r="534" spans="12:82" x14ac:dyDescent="0.25">
      <c r="L534" s="17"/>
      <c r="P534" s="17"/>
      <c r="R534" s="16">
        <v>0</v>
      </c>
      <c r="U534" s="16"/>
      <c r="V534" s="16">
        <v>0</v>
      </c>
      <c r="Y534" s="16"/>
      <c r="Z534" s="16"/>
      <c r="AC534" s="16"/>
      <c r="AD534" s="16"/>
      <c r="AG534" s="16"/>
      <c r="AH534" s="16"/>
      <c r="AK534" s="16"/>
      <c r="AL534" s="16"/>
      <c r="AO534" s="16"/>
      <c r="AP534" s="16"/>
      <c r="AS534" s="16"/>
      <c r="AT534" s="16"/>
      <c r="AW534" s="16"/>
      <c r="AX534" s="16"/>
      <c r="BA534" s="16"/>
      <c r="BB534" s="16"/>
      <c r="BH534" s="19"/>
      <c r="CD534" s="19"/>
    </row>
    <row r="535" spans="12:82" x14ac:dyDescent="0.25">
      <c r="L535" s="17"/>
      <c r="P535" s="17"/>
      <c r="R535" s="16">
        <v>0</v>
      </c>
      <c r="U535" s="16"/>
      <c r="V535" s="16">
        <v>0</v>
      </c>
      <c r="Y535" s="16"/>
      <c r="Z535" s="16"/>
      <c r="AC535" s="16"/>
      <c r="AD535" s="16"/>
      <c r="AG535" s="16"/>
      <c r="AH535" s="16"/>
      <c r="AK535" s="16"/>
      <c r="AL535" s="16"/>
      <c r="AO535" s="16"/>
      <c r="AP535" s="16"/>
      <c r="AS535" s="16"/>
      <c r="AT535" s="16"/>
      <c r="AW535" s="16"/>
      <c r="AX535" s="16"/>
      <c r="BA535" s="16"/>
      <c r="BB535" s="16"/>
      <c r="BH535" s="19"/>
      <c r="CD535" s="19"/>
    </row>
    <row r="536" spans="12:82" x14ac:dyDescent="0.25">
      <c r="L536" s="17"/>
      <c r="P536" s="17"/>
      <c r="R536" s="16">
        <v>0</v>
      </c>
      <c r="U536" s="16"/>
      <c r="V536" s="16">
        <v>0</v>
      </c>
      <c r="Y536" s="16"/>
      <c r="Z536" s="16"/>
      <c r="AC536" s="16"/>
      <c r="AD536" s="16"/>
      <c r="AG536" s="16"/>
      <c r="AH536" s="16"/>
      <c r="AK536" s="16"/>
      <c r="AL536" s="16"/>
      <c r="AO536" s="16"/>
      <c r="AP536" s="16"/>
      <c r="AS536" s="16"/>
      <c r="AT536" s="16"/>
      <c r="AW536" s="16"/>
      <c r="AX536" s="16"/>
      <c r="BA536" s="16"/>
      <c r="BB536" s="16"/>
      <c r="BH536" s="19"/>
      <c r="CD536" s="19"/>
    </row>
    <row r="537" spans="12:82" x14ac:dyDescent="0.25">
      <c r="L537" s="17"/>
      <c r="P537" s="17"/>
      <c r="R537" s="16">
        <v>0</v>
      </c>
      <c r="U537" s="16"/>
      <c r="V537" s="16">
        <v>0</v>
      </c>
      <c r="Y537" s="16"/>
      <c r="Z537" s="16"/>
      <c r="AC537" s="16"/>
      <c r="AD537" s="16"/>
      <c r="AG537" s="16"/>
      <c r="AH537" s="16"/>
      <c r="AK537" s="16"/>
      <c r="AL537" s="16"/>
      <c r="AO537" s="16"/>
      <c r="AP537" s="16"/>
      <c r="AS537" s="16"/>
      <c r="AT537" s="16"/>
      <c r="AW537" s="16"/>
      <c r="AX537" s="16"/>
      <c r="BA537" s="16"/>
      <c r="BB537" s="16"/>
      <c r="BH537" s="19"/>
      <c r="CD537" s="19"/>
    </row>
    <row r="538" spans="12:82" x14ac:dyDescent="0.25">
      <c r="L538" s="17"/>
      <c r="P538" s="17"/>
      <c r="R538" s="16">
        <v>0</v>
      </c>
      <c r="U538" s="16"/>
      <c r="V538" s="16">
        <v>0</v>
      </c>
      <c r="Y538" s="16"/>
      <c r="Z538" s="16"/>
      <c r="AC538" s="16"/>
      <c r="AD538" s="16"/>
      <c r="AG538" s="16"/>
      <c r="AH538" s="16"/>
      <c r="AK538" s="16"/>
      <c r="AL538" s="16"/>
      <c r="AO538" s="16"/>
      <c r="AP538" s="16"/>
      <c r="AS538" s="16"/>
      <c r="AT538" s="16"/>
      <c r="AW538" s="16"/>
      <c r="AX538" s="16"/>
      <c r="BA538" s="16"/>
      <c r="BB538" s="16"/>
      <c r="BH538" s="19"/>
      <c r="CD538" s="19"/>
    </row>
    <row r="539" spans="12:82" x14ac:dyDescent="0.25">
      <c r="L539" s="17"/>
      <c r="P539" s="17"/>
      <c r="R539" s="16">
        <v>0</v>
      </c>
      <c r="U539" s="16"/>
      <c r="V539" s="16">
        <v>0</v>
      </c>
      <c r="Y539" s="16"/>
      <c r="Z539" s="16"/>
      <c r="AC539" s="16"/>
      <c r="AD539" s="16"/>
      <c r="AG539" s="16"/>
      <c r="AH539" s="16"/>
      <c r="AK539" s="16"/>
      <c r="AL539" s="16"/>
      <c r="AO539" s="16"/>
      <c r="AP539" s="16"/>
      <c r="AS539" s="16"/>
      <c r="AT539" s="16"/>
      <c r="AW539" s="16"/>
      <c r="AX539" s="16"/>
      <c r="BA539" s="16"/>
      <c r="BB539" s="16"/>
      <c r="BH539" s="19"/>
      <c r="CD539" s="19"/>
    </row>
    <row r="540" spans="12:82" x14ac:dyDescent="0.25">
      <c r="L540" s="17"/>
      <c r="P540" s="17"/>
      <c r="R540" s="16">
        <v>0</v>
      </c>
      <c r="U540" s="16"/>
      <c r="V540" s="16">
        <v>0</v>
      </c>
      <c r="Y540" s="16"/>
      <c r="Z540" s="16"/>
      <c r="AC540" s="16"/>
      <c r="AD540" s="16"/>
      <c r="AG540" s="16"/>
      <c r="AH540" s="16"/>
      <c r="AK540" s="16"/>
      <c r="AL540" s="16"/>
      <c r="AO540" s="16"/>
      <c r="AP540" s="16"/>
      <c r="AS540" s="16"/>
      <c r="AT540" s="16"/>
      <c r="AW540" s="16"/>
      <c r="AX540" s="16"/>
      <c r="BA540" s="16"/>
      <c r="BB540" s="16"/>
      <c r="BH540" s="19"/>
      <c r="CD540" s="19"/>
    </row>
    <row r="541" spans="12:82" x14ac:dyDescent="0.25">
      <c r="L541" s="17"/>
      <c r="P541" s="17"/>
      <c r="R541" s="16">
        <v>0</v>
      </c>
      <c r="U541" s="16"/>
      <c r="V541" s="16">
        <v>0</v>
      </c>
      <c r="Y541" s="16"/>
      <c r="Z541" s="16"/>
      <c r="AC541" s="16"/>
      <c r="AD541" s="16"/>
      <c r="AG541" s="16"/>
      <c r="AH541" s="16"/>
      <c r="AK541" s="16"/>
      <c r="AL541" s="16"/>
      <c r="AO541" s="16"/>
      <c r="AP541" s="16"/>
      <c r="AS541" s="16"/>
      <c r="AT541" s="16"/>
      <c r="AW541" s="16"/>
      <c r="AX541" s="16"/>
      <c r="BA541" s="16"/>
      <c r="BB541" s="16"/>
      <c r="BH541" s="19"/>
      <c r="CD541" s="19"/>
    </row>
    <row r="542" spans="12:82" x14ac:dyDescent="0.25">
      <c r="L542" s="17"/>
      <c r="P542" s="17"/>
      <c r="R542" s="16">
        <v>0</v>
      </c>
      <c r="U542" s="16"/>
      <c r="V542" s="16">
        <v>0</v>
      </c>
      <c r="Y542" s="16"/>
      <c r="Z542" s="16"/>
      <c r="AC542" s="16"/>
      <c r="AD542" s="16"/>
      <c r="AG542" s="16"/>
      <c r="AH542" s="16"/>
      <c r="AK542" s="16"/>
      <c r="AL542" s="16"/>
      <c r="AO542" s="16"/>
      <c r="AP542" s="16"/>
      <c r="AS542" s="16"/>
      <c r="AT542" s="16"/>
      <c r="AW542" s="16"/>
      <c r="AX542" s="16"/>
      <c r="BA542" s="16"/>
      <c r="BB542" s="16"/>
      <c r="BH542" s="19"/>
      <c r="CD542" s="19"/>
    </row>
    <row r="543" spans="12:82" x14ac:dyDescent="0.25">
      <c r="L543" s="17"/>
      <c r="P543" s="17"/>
      <c r="R543" s="16">
        <v>0</v>
      </c>
      <c r="U543" s="16"/>
      <c r="V543" s="16">
        <v>0</v>
      </c>
      <c r="Y543" s="16"/>
      <c r="Z543" s="16"/>
      <c r="AC543" s="16"/>
      <c r="AD543" s="16"/>
      <c r="AG543" s="16"/>
      <c r="AH543" s="16"/>
      <c r="AK543" s="16"/>
      <c r="AL543" s="16"/>
      <c r="AO543" s="16"/>
      <c r="AP543" s="16"/>
      <c r="AS543" s="16"/>
      <c r="AT543" s="16"/>
      <c r="AW543" s="16"/>
      <c r="AX543" s="16"/>
      <c r="BA543" s="16"/>
      <c r="BB543" s="16"/>
      <c r="BH543" s="19"/>
      <c r="CD543" s="19"/>
    </row>
    <row r="544" spans="12:82" x14ac:dyDescent="0.25">
      <c r="L544" s="17"/>
      <c r="P544" s="17"/>
      <c r="R544" s="16">
        <v>0</v>
      </c>
      <c r="U544" s="16"/>
      <c r="V544" s="16">
        <v>0</v>
      </c>
      <c r="Y544" s="16"/>
      <c r="Z544" s="16"/>
      <c r="AC544" s="16"/>
      <c r="AD544" s="16"/>
      <c r="AG544" s="16"/>
      <c r="AH544" s="16"/>
      <c r="AK544" s="16"/>
      <c r="AL544" s="16"/>
      <c r="AO544" s="16"/>
      <c r="AP544" s="16"/>
      <c r="AS544" s="16"/>
      <c r="AT544" s="16"/>
      <c r="AW544" s="16"/>
      <c r="AX544" s="16"/>
      <c r="BA544" s="16"/>
      <c r="BB544" s="16"/>
      <c r="BH544" s="19"/>
      <c r="CD544" s="19"/>
    </row>
    <row r="545" spans="12:82" x14ac:dyDescent="0.25">
      <c r="L545" s="17"/>
      <c r="P545" s="17"/>
      <c r="R545" s="16">
        <v>0</v>
      </c>
      <c r="U545" s="16"/>
      <c r="V545" s="16">
        <v>0</v>
      </c>
      <c r="Y545" s="16"/>
      <c r="Z545" s="16"/>
      <c r="AC545" s="16"/>
      <c r="AD545" s="16"/>
      <c r="AG545" s="16"/>
      <c r="AH545" s="16"/>
      <c r="AK545" s="16"/>
      <c r="AL545" s="16"/>
      <c r="AO545" s="16"/>
      <c r="AP545" s="16"/>
      <c r="AS545" s="16"/>
      <c r="AT545" s="16"/>
      <c r="AW545" s="16"/>
      <c r="AX545" s="16"/>
      <c r="BA545" s="16"/>
      <c r="BB545" s="16"/>
      <c r="BH545" s="19"/>
      <c r="CD545" s="19"/>
    </row>
    <row r="546" spans="12:82" x14ac:dyDescent="0.25">
      <c r="L546" s="17"/>
      <c r="P546" s="17"/>
      <c r="R546" s="16">
        <v>0</v>
      </c>
      <c r="U546" s="16"/>
      <c r="V546" s="16">
        <v>0</v>
      </c>
      <c r="Y546" s="16"/>
      <c r="Z546" s="16"/>
      <c r="AC546" s="16"/>
      <c r="AD546" s="16"/>
      <c r="AG546" s="16"/>
      <c r="AH546" s="16"/>
      <c r="AK546" s="16"/>
      <c r="AL546" s="16"/>
      <c r="AO546" s="16"/>
      <c r="AP546" s="16"/>
      <c r="AS546" s="16"/>
      <c r="AT546" s="16"/>
      <c r="AW546" s="16"/>
      <c r="AX546" s="16"/>
      <c r="BA546" s="16"/>
      <c r="BB546" s="16"/>
      <c r="BH546" s="19"/>
      <c r="CD546" s="19"/>
    </row>
    <row r="547" spans="12:82" x14ac:dyDescent="0.25">
      <c r="L547" s="17"/>
      <c r="P547" s="17"/>
      <c r="R547" s="16">
        <v>0</v>
      </c>
      <c r="U547" s="16"/>
      <c r="V547" s="16">
        <v>0</v>
      </c>
      <c r="Y547" s="16"/>
      <c r="Z547" s="16"/>
      <c r="AC547" s="16"/>
      <c r="AD547" s="16"/>
      <c r="AG547" s="16"/>
      <c r="AH547" s="16"/>
      <c r="AK547" s="16"/>
      <c r="AL547" s="16"/>
      <c r="AO547" s="16"/>
      <c r="AP547" s="16"/>
      <c r="AS547" s="16"/>
      <c r="AT547" s="16"/>
      <c r="AW547" s="16"/>
      <c r="AX547" s="16"/>
      <c r="BA547" s="16"/>
      <c r="BB547" s="16"/>
      <c r="BH547" s="19"/>
      <c r="CD547" s="19"/>
    </row>
    <row r="548" spans="12:82" x14ac:dyDescent="0.25">
      <c r="L548" s="17"/>
      <c r="P548" s="17"/>
      <c r="R548" s="16">
        <v>0</v>
      </c>
      <c r="U548" s="16"/>
      <c r="V548" s="16">
        <v>0</v>
      </c>
      <c r="Y548" s="16"/>
      <c r="Z548" s="16"/>
      <c r="AC548" s="16"/>
      <c r="AD548" s="16"/>
      <c r="AG548" s="16"/>
      <c r="AH548" s="16"/>
      <c r="AK548" s="16"/>
      <c r="AL548" s="16"/>
      <c r="AO548" s="16"/>
      <c r="AP548" s="16"/>
      <c r="AS548" s="16"/>
      <c r="AT548" s="16"/>
      <c r="AW548" s="16"/>
      <c r="AX548" s="16"/>
      <c r="BA548" s="16"/>
      <c r="BB548" s="16"/>
      <c r="BH548" s="19"/>
      <c r="CD548" s="19"/>
    </row>
    <row r="549" spans="12:82" x14ac:dyDescent="0.25">
      <c r="L549" s="17"/>
      <c r="P549" s="17"/>
      <c r="R549" s="16">
        <v>0</v>
      </c>
      <c r="U549" s="16"/>
      <c r="V549" s="16">
        <v>0</v>
      </c>
      <c r="Y549" s="16"/>
      <c r="Z549" s="16"/>
      <c r="AC549" s="16"/>
      <c r="AD549" s="16"/>
      <c r="AG549" s="16"/>
      <c r="AH549" s="16"/>
      <c r="AK549" s="16"/>
      <c r="AL549" s="16"/>
      <c r="AO549" s="16"/>
      <c r="AP549" s="16"/>
      <c r="AS549" s="16"/>
      <c r="AT549" s="16"/>
      <c r="AW549" s="16"/>
      <c r="AX549" s="16"/>
      <c r="BA549" s="16"/>
      <c r="BB549" s="16"/>
      <c r="BH549" s="19"/>
      <c r="CD549" s="19"/>
    </row>
    <row r="550" spans="12:82" x14ac:dyDescent="0.25">
      <c r="L550" s="17"/>
      <c r="P550" s="17"/>
      <c r="R550" s="16">
        <v>0</v>
      </c>
      <c r="U550" s="16"/>
      <c r="V550" s="16">
        <v>0</v>
      </c>
      <c r="Y550" s="16"/>
      <c r="Z550" s="16"/>
      <c r="AC550" s="16"/>
      <c r="AD550" s="16"/>
      <c r="AG550" s="16"/>
      <c r="AH550" s="16"/>
      <c r="AK550" s="16"/>
      <c r="AL550" s="16"/>
      <c r="AO550" s="16"/>
      <c r="AP550" s="16"/>
      <c r="AS550" s="16"/>
      <c r="AT550" s="16"/>
      <c r="AW550" s="16"/>
      <c r="AX550" s="16"/>
      <c r="BA550" s="16"/>
      <c r="BB550" s="16"/>
      <c r="BH550" s="19"/>
      <c r="CD550" s="19"/>
    </row>
    <row r="551" spans="12:82" x14ac:dyDescent="0.25">
      <c r="L551" s="17"/>
      <c r="P551" s="17"/>
      <c r="R551" s="16">
        <v>0</v>
      </c>
      <c r="U551" s="16"/>
      <c r="V551" s="16">
        <v>0</v>
      </c>
      <c r="Y551" s="16"/>
      <c r="Z551" s="16"/>
      <c r="AC551" s="16"/>
      <c r="AD551" s="16"/>
      <c r="AG551" s="16"/>
      <c r="AH551" s="16"/>
      <c r="AK551" s="16"/>
      <c r="AL551" s="16"/>
      <c r="AO551" s="16"/>
      <c r="AP551" s="16"/>
      <c r="AS551" s="16"/>
      <c r="AT551" s="16"/>
      <c r="AW551" s="16"/>
      <c r="AX551" s="16"/>
      <c r="BA551" s="16"/>
      <c r="BB551" s="16"/>
      <c r="BH551" s="19"/>
      <c r="CD551" s="19"/>
    </row>
    <row r="552" spans="12:82" x14ac:dyDescent="0.25">
      <c r="L552" s="17"/>
      <c r="P552" s="17"/>
      <c r="R552" s="16">
        <v>0</v>
      </c>
      <c r="U552" s="16"/>
      <c r="V552" s="16">
        <v>0</v>
      </c>
      <c r="Y552" s="16"/>
      <c r="Z552" s="16"/>
      <c r="AC552" s="16"/>
      <c r="AD552" s="16"/>
      <c r="AG552" s="16"/>
      <c r="AH552" s="16"/>
      <c r="AK552" s="16"/>
      <c r="AL552" s="16"/>
      <c r="AO552" s="16"/>
      <c r="AP552" s="16"/>
      <c r="AS552" s="16"/>
      <c r="AT552" s="16"/>
      <c r="AW552" s="16"/>
      <c r="AX552" s="16"/>
      <c r="BA552" s="16"/>
      <c r="BB552" s="16"/>
      <c r="BH552" s="19"/>
      <c r="CD552" s="19"/>
    </row>
    <row r="553" spans="12:82" x14ac:dyDescent="0.25">
      <c r="L553" s="17"/>
      <c r="P553" s="17"/>
      <c r="R553" s="16">
        <v>0</v>
      </c>
      <c r="U553" s="16"/>
      <c r="V553" s="16">
        <v>0</v>
      </c>
      <c r="Y553" s="16"/>
      <c r="Z553" s="16"/>
      <c r="AC553" s="16"/>
      <c r="AD553" s="16"/>
      <c r="AG553" s="16"/>
      <c r="AH553" s="16"/>
      <c r="AK553" s="16"/>
      <c r="AL553" s="16"/>
      <c r="AO553" s="16"/>
      <c r="AP553" s="16"/>
      <c r="AS553" s="16"/>
      <c r="AT553" s="16"/>
      <c r="AW553" s="16"/>
      <c r="AX553" s="16"/>
      <c r="BA553" s="16"/>
      <c r="BB553" s="16"/>
      <c r="BH553" s="19"/>
      <c r="CD553" s="19"/>
    </row>
    <row r="554" spans="12:82" x14ac:dyDescent="0.25">
      <c r="L554" s="17"/>
      <c r="P554" s="17"/>
      <c r="R554" s="16">
        <v>0</v>
      </c>
      <c r="U554" s="16"/>
      <c r="V554" s="16">
        <v>0</v>
      </c>
      <c r="Y554" s="16"/>
      <c r="Z554" s="16"/>
      <c r="AC554" s="16"/>
      <c r="AD554" s="16"/>
      <c r="AG554" s="16"/>
      <c r="AH554" s="16"/>
      <c r="AK554" s="16"/>
      <c r="AL554" s="16"/>
      <c r="AO554" s="16"/>
      <c r="AP554" s="16"/>
      <c r="AS554" s="16"/>
      <c r="AT554" s="16"/>
      <c r="AW554" s="16"/>
      <c r="AX554" s="16"/>
      <c r="BA554" s="16"/>
      <c r="BB554" s="16"/>
      <c r="BH554" s="19"/>
      <c r="CD554" s="19"/>
    </row>
    <row r="555" spans="12:82" x14ac:dyDescent="0.25">
      <c r="L555" s="17"/>
      <c r="P555" s="17"/>
      <c r="R555" s="16">
        <v>0</v>
      </c>
      <c r="U555" s="16"/>
      <c r="V555" s="16">
        <v>0</v>
      </c>
      <c r="Y555" s="16"/>
      <c r="Z555" s="16"/>
      <c r="AC555" s="16"/>
      <c r="AD555" s="16"/>
      <c r="AG555" s="16"/>
      <c r="AH555" s="16"/>
      <c r="AK555" s="16"/>
      <c r="AL555" s="16"/>
      <c r="AO555" s="16"/>
      <c r="AP555" s="16"/>
      <c r="AS555" s="16"/>
      <c r="AT555" s="16"/>
      <c r="AW555" s="16"/>
      <c r="AX555" s="16"/>
      <c r="BA555" s="16"/>
      <c r="BB555" s="16"/>
      <c r="BH555" s="19"/>
      <c r="CD555" s="19"/>
    </row>
    <row r="556" spans="12:82" x14ac:dyDescent="0.25">
      <c r="L556" s="17"/>
      <c r="P556" s="17"/>
      <c r="R556" s="16">
        <v>0</v>
      </c>
      <c r="U556" s="16"/>
      <c r="V556" s="16">
        <v>0</v>
      </c>
      <c r="Y556" s="16"/>
      <c r="Z556" s="16"/>
      <c r="AC556" s="16"/>
      <c r="AD556" s="16"/>
      <c r="AG556" s="16"/>
      <c r="AH556" s="16"/>
      <c r="AK556" s="16"/>
      <c r="AL556" s="16"/>
      <c r="AO556" s="16"/>
      <c r="AP556" s="16"/>
      <c r="AS556" s="16"/>
      <c r="AT556" s="16"/>
      <c r="AW556" s="16"/>
      <c r="AX556" s="16"/>
      <c r="BA556" s="16"/>
      <c r="BB556" s="16"/>
      <c r="BH556" s="19"/>
      <c r="CD556" s="19"/>
    </row>
    <row r="557" spans="12:82" x14ac:dyDescent="0.25">
      <c r="L557" s="17"/>
      <c r="P557" s="17"/>
      <c r="R557" s="16">
        <v>0</v>
      </c>
      <c r="U557" s="16"/>
      <c r="V557" s="16">
        <v>0</v>
      </c>
      <c r="Y557" s="16"/>
      <c r="Z557" s="16"/>
      <c r="AC557" s="16"/>
      <c r="AD557" s="16"/>
      <c r="AG557" s="16"/>
      <c r="AH557" s="16"/>
      <c r="AK557" s="16"/>
      <c r="AL557" s="16"/>
      <c r="AO557" s="16"/>
      <c r="AP557" s="16"/>
      <c r="AS557" s="16"/>
      <c r="AT557" s="16"/>
      <c r="AW557" s="16"/>
      <c r="AX557" s="16"/>
      <c r="BA557" s="16"/>
      <c r="BB557" s="16"/>
      <c r="BH557" s="19"/>
      <c r="CD557" s="19"/>
    </row>
    <row r="558" spans="12:82" x14ac:dyDescent="0.25">
      <c r="L558" s="17"/>
      <c r="P558" s="17"/>
      <c r="R558" s="16">
        <v>0</v>
      </c>
      <c r="U558" s="16"/>
      <c r="V558" s="16">
        <v>0</v>
      </c>
      <c r="Y558" s="16"/>
      <c r="Z558" s="16"/>
      <c r="AC558" s="16"/>
      <c r="AD558" s="16"/>
      <c r="AG558" s="16"/>
      <c r="AH558" s="16"/>
      <c r="AK558" s="16"/>
      <c r="AL558" s="16"/>
      <c r="AO558" s="16"/>
      <c r="AP558" s="16"/>
      <c r="AS558" s="16"/>
      <c r="AT558" s="16"/>
      <c r="AW558" s="16"/>
      <c r="AX558" s="16"/>
      <c r="BA558" s="16"/>
      <c r="BB558" s="16"/>
      <c r="BH558" s="19"/>
      <c r="CD558" s="19"/>
    </row>
    <row r="559" spans="12:82" x14ac:dyDescent="0.25">
      <c r="L559" s="17"/>
      <c r="P559" s="17"/>
      <c r="R559" s="16">
        <v>0</v>
      </c>
      <c r="U559" s="16"/>
      <c r="V559" s="16">
        <v>0</v>
      </c>
      <c r="Y559" s="16"/>
      <c r="Z559" s="16"/>
      <c r="AC559" s="16"/>
      <c r="AD559" s="16"/>
      <c r="AG559" s="16"/>
      <c r="AH559" s="16"/>
      <c r="AK559" s="16"/>
      <c r="AL559" s="16"/>
      <c r="AO559" s="16"/>
      <c r="AP559" s="16"/>
      <c r="AS559" s="16"/>
      <c r="AT559" s="16"/>
      <c r="AW559" s="16"/>
      <c r="AX559" s="16"/>
      <c r="BA559" s="16"/>
      <c r="BB559" s="16"/>
      <c r="BH559" s="19"/>
      <c r="CD559" s="19"/>
    </row>
    <row r="560" spans="12:82" x14ac:dyDescent="0.25">
      <c r="L560" s="17"/>
      <c r="P560" s="17"/>
      <c r="R560" s="16">
        <v>0</v>
      </c>
      <c r="U560" s="16"/>
      <c r="V560" s="16">
        <v>0</v>
      </c>
      <c r="Y560" s="16"/>
      <c r="Z560" s="16"/>
      <c r="AC560" s="16"/>
      <c r="AD560" s="16"/>
      <c r="AG560" s="16"/>
      <c r="AH560" s="16"/>
      <c r="AK560" s="16"/>
      <c r="AL560" s="16"/>
      <c r="AO560" s="16"/>
      <c r="AP560" s="16"/>
      <c r="AS560" s="16"/>
      <c r="AT560" s="16"/>
      <c r="AW560" s="16"/>
      <c r="AX560" s="16"/>
      <c r="BA560" s="16"/>
      <c r="BB560" s="16"/>
      <c r="BH560" s="19"/>
      <c r="CD560" s="19"/>
    </row>
    <row r="561" spans="1:82" x14ac:dyDescent="0.25">
      <c r="L561" s="17"/>
      <c r="P561" s="17"/>
      <c r="R561" s="16">
        <v>0</v>
      </c>
      <c r="U561" s="16"/>
      <c r="V561" s="16">
        <v>0</v>
      </c>
      <c r="Y561" s="16"/>
      <c r="Z561" s="16"/>
      <c r="AC561" s="16"/>
      <c r="AD561" s="16"/>
      <c r="AG561" s="16"/>
      <c r="AH561" s="16"/>
      <c r="AK561" s="16"/>
      <c r="AL561" s="16"/>
      <c r="AO561" s="16"/>
      <c r="AP561" s="16"/>
      <c r="AS561" s="16"/>
      <c r="AT561" s="16"/>
      <c r="AW561" s="16"/>
      <c r="AX561" s="16"/>
      <c r="BA561" s="16"/>
      <c r="BB561" s="16"/>
      <c r="BH561" s="19"/>
      <c r="CD561" s="19"/>
    </row>
    <row r="562" spans="1:82" x14ac:dyDescent="0.25">
      <c r="L562" s="17"/>
      <c r="P562" s="17"/>
      <c r="R562" s="16">
        <v>0</v>
      </c>
      <c r="U562" s="16"/>
      <c r="V562" s="16">
        <v>0</v>
      </c>
      <c r="Y562" s="16"/>
      <c r="Z562" s="16"/>
      <c r="AC562" s="16"/>
      <c r="AD562" s="16"/>
      <c r="AG562" s="16"/>
      <c r="AH562" s="16"/>
      <c r="AK562" s="16"/>
      <c r="AL562" s="16"/>
      <c r="AO562" s="16"/>
      <c r="AP562" s="16"/>
      <c r="AS562" s="16"/>
      <c r="AT562" s="16"/>
      <c r="AW562" s="16"/>
      <c r="AX562" s="16"/>
      <c r="BA562" s="16"/>
      <c r="BB562" s="16"/>
      <c r="BH562" s="19"/>
      <c r="CD562" s="19"/>
    </row>
    <row r="563" spans="1:82" x14ac:dyDescent="0.25">
      <c r="L563" s="17"/>
      <c r="P563" s="17"/>
      <c r="R563" s="16">
        <v>0</v>
      </c>
      <c r="U563" s="16"/>
      <c r="V563" s="16">
        <v>0</v>
      </c>
      <c r="Y563" s="16"/>
      <c r="Z563" s="16"/>
      <c r="AC563" s="16"/>
      <c r="AD563" s="16"/>
      <c r="AG563" s="16"/>
      <c r="AH563" s="16"/>
      <c r="AK563" s="16"/>
      <c r="AL563" s="16"/>
      <c r="AO563" s="16"/>
      <c r="AP563" s="16"/>
      <c r="AS563" s="16"/>
      <c r="AT563" s="16"/>
      <c r="AW563" s="16"/>
      <c r="AX563" s="16"/>
      <c r="BA563" s="16"/>
      <c r="BB563" s="16"/>
      <c r="BH563" s="19"/>
      <c r="CD563" s="19"/>
    </row>
    <row r="564" spans="1:82" x14ac:dyDescent="0.25">
      <c r="L564" s="17"/>
      <c r="P564" s="17"/>
      <c r="R564" s="16">
        <v>0</v>
      </c>
      <c r="U564" s="16"/>
      <c r="V564" s="16">
        <v>0</v>
      </c>
      <c r="Y564" s="16"/>
      <c r="Z564" s="16"/>
      <c r="AC564" s="16"/>
      <c r="AD564" s="16"/>
      <c r="AG564" s="16"/>
      <c r="AH564" s="16"/>
      <c r="AK564" s="16"/>
      <c r="AL564" s="16"/>
      <c r="AO564" s="16"/>
      <c r="AP564" s="16"/>
      <c r="AS564" s="16"/>
      <c r="AT564" s="16"/>
      <c r="AW564" s="16"/>
      <c r="AX564" s="16"/>
      <c r="BA564" s="16"/>
      <c r="BB564" s="16"/>
      <c r="BH564" s="19"/>
      <c r="CD564" s="19"/>
    </row>
    <row r="565" spans="1:82" x14ac:dyDescent="0.25">
      <c r="A565" s="10"/>
      <c r="L565" s="17"/>
      <c r="P565" s="17"/>
      <c r="R565" s="16">
        <v>0</v>
      </c>
      <c r="U565" s="16"/>
      <c r="V565" s="16">
        <v>0</v>
      </c>
      <c r="Y565" s="16"/>
      <c r="Z565" s="16"/>
      <c r="AC565" s="16"/>
      <c r="AD565" s="16"/>
      <c r="AG565" s="16"/>
      <c r="AH565" s="16"/>
      <c r="AK565" s="16"/>
      <c r="AL565" s="16"/>
      <c r="AO565" s="16"/>
      <c r="AP565" s="16"/>
      <c r="AS565" s="16"/>
      <c r="AT565" s="16"/>
      <c r="AW565" s="16"/>
      <c r="AX565" s="16"/>
      <c r="BA565" s="16"/>
      <c r="BB565" s="16"/>
      <c r="BH565" s="19"/>
      <c r="CD565" s="19"/>
    </row>
  </sheetData>
  <autoFilter ref="A1:BE565" xr:uid="{04BA4BFA-E281-4F43-8B61-020F2027BE1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DCC-6FC8-4D11-974E-281241AE3F6B}">
  <sheetPr codeName="Feuil3"/>
  <dimension ref="A1:H51"/>
  <sheetViews>
    <sheetView workbookViewId="0">
      <selection activeCell="B2" sqref="B2"/>
    </sheetView>
  </sheetViews>
  <sheetFormatPr baseColWidth="10" defaultRowHeight="15" x14ac:dyDescent="0.25"/>
  <cols>
    <col min="1" max="1" width="10.5703125" style="5" bestFit="1" customWidth="1"/>
    <col min="2" max="3" width="13.85546875" style="6" bestFit="1" customWidth="1"/>
    <col min="4" max="16384" width="11.42578125" style="1"/>
  </cols>
  <sheetData>
    <row r="1" spans="1:2" x14ac:dyDescent="0.25">
      <c r="A1" s="5" t="str">
        <f>'ALL VARS'!A1</f>
        <v>Date</v>
      </c>
      <c r="B1" s="6" t="str">
        <f>'ALL VARS'!B1</f>
        <v>Adj close price</v>
      </c>
    </row>
    <row r="2" spans="1:2" x14ac:dyDescent="0.25">
      <c r="A2" s="5">
        <f>'ALL VARS'!A2</f>
        <v>43980</v>
      </c>
      <c r="B2" s="6">
        <f>'ALL VARS'!B2</f>
        <v>15192.799805000001</v>
      </c>
    </row>
    <row r="3" spans="1:2" x14ac:dyDescent="0.25">
      <c r="A3" s="5">
        <f>'ALL VARS'!A3</f>
        <v>43979</v>
      </c>
      <c r="B3" s="6">
        <f>'ALL VARS'!B3</f>
        <v>15262.700194999999</v>
      </c>
    </row>
    <row r="4" spans="1:2" x14ac:dyDescent="0.25">
      <c r="A4" s="5">
        <f>'ALL VARS'!A4</f>
        <v>43978</v>
      </c>
      <c r="B4" s="6">
        <f>'ALL VARS'!B4</f>
        <v>15272</v>
      </c>
    </row>
    <row r="5" spans="1:2" x14ac:dyDescent="0.25">
      <c r="A5" s="5">
        <f>'ALL VARS'!A5</f>
        <v>43977</v>
      </c>
      <c r="B5" s="6">
        <f>'ALL VARS'!B5</f>
        <v>15148.099609000001</v>
      </c>
    </row>
    <row r="6" spans="1:2" x14ac:dyDescent="0.25">
      <c r="A6" s="5">
        <f>'ALL VARS'!A6</f>
        <v>43976</v>
      </c>
      <c r="B6" s="6">
        <f>'ALL VARS'!B6</f>
        <v>15075.400390999999</v>
      </c>
    </row>
    <row r="7" spans="1:2" x14ac:dyDescent="0.25">
      <c r="A7" s="5">
        <f>'ALL VARS'!A7</f>
        <v>43973</v>
      </c>
      <c r="B7" s="6">
        <f>'ALL VARS'!B7</f>
        <v>14913.599609000001</v>
      </c>
    </row>
    <row r="8" spans="1:2" x14ac:dyDescent="0.25">
      <c r="A8" s="5">
        <f>'ALL VARS'!A8</f>
        <v>43972</v>
      </c>
      <c r="B8" s="6">
        <f>'ALL VARS'!B8</f>
        <v>14884.900390999999</v>
      </c>
    </row>
    <row r="9" spans="1:2" x14ac:dyDescent="0.25">
      <c r="A9" s="5">
        <f>'ALL VARS'!A9</f>
        <v>43971</v>
      </c>
      <c r="B9" s="6">
        <f>'ALL VARS'!B9</f>
        <v>14997.599609000001</v>
      </c>
    </row>
    <row r="10" spans="1:2" x14ac:dyDescent="0.25">
      <c r="A10" s="5">
        <f>'ALL VARS'!A10</f>
        <v>43970</v>
      </c>
      <c r="B10" s="6">
        <f>'ALL VARS'!B10</f>
        <v>14885.5</v>
      </c>
    </row>
    <row r="11" spans="1:2" x14ac:dyDescent="0.25">
      <c r="A11" s="5">
        <f>'ALL VARS'!A11</f>
        <v>43966</v>
      </c>
      <c r="B11" s="6">
        <f>'ALL VARS'!B11</f>
        <v>14638.900390999999</v>
      </c>
    </row>
    <row r="12" spans="1:2" x14ac:dyDescent="0.25">
      <c r="A12" s="5">
        <f>'ALL VARS'!A12</f>
        <v>43965</v>
      </c>
      <c r="B12" s="6">
        <f>'ALL VARS'!B12</f>
        <v>14509.700194999999</v>
      </c>
    </row>
    <row r="13" spans="1:2" x14ac:dyDescent="0.25">
      <c r="A13" s="5">
        <f>'ALL VARS'!A13</f>
        <v>43964</v>
      </c>
      <c r="B13" s="6">
        <f>'ALL VARS'!B13</f>
        <v>14503.200194999999</v>
      </c>
    </row>
    <row r="14" spans="1:2" x14ac:dyDescent="0.25">
      <c r="A14" s="5">
        <f>'ALL VARS'!A14</f>
        <v>43963</v>
      </c>
      <c r="B14" s="6">
        <f>'ALL VARS'!B14</f>
        <v>14881.200194999999</v>
      </c>
    </row>
    <row r="15" spans="1:2" x14ac:dyDescent="0.25">
      <c r="A15" s="5">
        <f>'ALL VARS'!A15</f>
        <v>43962</v>
      </c>
      <c r="B15" s="6">
        <f>'ALL VARS'!B15</f>
        <v>15103.200194999999</v>
      </c>
    </row>
    <row r="16" spans="1:2" x14ac:dyDescent="0.25">
      <c r="A16" s="5">
        <f>'ALL VARS'!A16</f>
        <v>43959</v>
      </c>
      <c r="B16" s="6">
        <f>'ALL VARS'!B16</f>
        <v>14966.599609000001</v>
      </c>
    </row>
    <row r="17" spans="1:8" x14ac:dyDescent="0.25">
      <c r="A17" s="5">
        <f>'ALL VARS'!A17</f>
        <v>43958</v>
      </c>
      <c r="B17" s="6">
        <f>'ALL VARS'!B17</f>
        <v>14833.700194999999</v>
      </c>
    </row>
    <row r="18" spans="1:8" x14ac:dyDescent="0.25">
      <c r="A18" s="5">
        <f>'ALL VARS'!A18</f>
        <v>43957</v>
      </c>
      <c r="B18" s="6">
        <f>'ALL VARS'!B18</f>
        <v>14830.700194999999</v>
      </c>
    </row>
    <row r="19" spans="1:8" x14ac:dyDescent="0.25">
      <c r="A19" s="5">
        <f>'ALL VARS'!A19</f>
        <v>43956</v>
      </c>
      <c r="B19" s="6">
        <f>'ALL VARS'!B19</f>
        <v>14811.599609000001</v>
      </c>
    </row>
    <row r="20" spans="1:8" x14ac:dyDescent="0.25">
      <c r="A20" s="5">
        <f>'ALL VARS'!A20</f>
        <v>43955</v>
      </c>
      <c r="B20" s="6">
        <f>'ALL VARS'!B20</f>
        <v>14745</v>
      </c>
      <c r="D20" s="5" t="s">
        <v>104</v>
      </c>
      <c r="E20" s="6">
        <f>MAX(B2:B48)</f>
        <v>15272</v>
      </c>
      <c r="G20" s="7"/>
    </row>
    <row r="21" spans="1:8" x14ac:dyDescent="0.25">
      <c r="A21" s="5">
        <f>'ALL VARS'!A21</f>
        <v>43952</v>
      </c>
      <c r="B21" s="6">
        <f>'ALL VARS'!B21</f>
        <v>14620.299805000001</v>
      </c>
      <c r="D21" s="5" t="s">
        <v>32</v>
      </c>
      <c r="E21" s="6">
        <f>QUARTILE(B2:B48, 3)</f>
        <v>14883.050293</v>
      </c>
      <c r="H21" s="7"/>
    </row>
    <row r="22" spans="1:8" x14ac:dyDescent="0.25">
      <c r="A22" s="5">
        <f>'ALL VARS'!A22</f>
        <v>43951</v>
      </c>
      <c r="B22" s="6">
        <f>'ALL VARS'!B22</f>
        <v>14780.700194999999</v>
      </c>
      <c r="D22" s="5" t="s">
        <v>33</v>
      </c>
      <c r="E22" s="6">
        <f>MEDIAN(B2:B48)</f>
        <v>14503.200194999999</v>
      </c>
    </row>
    <row r="23" spans="1:8" x14ac:dyDescent="0.25">
      <c r="A23" s="5">
        <f>'ALL VARS'!A23</f>
        <v>43950</v>
      </c>
      <c r="B23" s="6">
        <f>'ALL VARS'!B23</f>
        <v>15228.099609000001</v>
      </c>
      <c r="C23" s="1"/>
      <c r="D23" s="5" t="s">
        <v>34</v>
      </c>
      <c r="E23" s="6">
        <f>QUARTILE(B2:B48, 1)</f>
        <v>13912.5</v>
      </c>
    </row>
    <row r="24" spans="1:8" x14ac:dyDescent="0.25">
      <c r="A24" s="5">
        <f>'ALL VARS'!A24</f>
        <v>43949</v>
      </c>
      <c r="B24" s="6">
        <f>'ALL VARS'!B24</f>
        <v>14798.299805000001</v>
      </c>
      <c r="C24" s="1"/>
      <c r="D24" s="5" t="s">
        <v>105</v>
      </c>
      <c r="E24" s="6">
        <f>MIN(B2:B48)</f>
        <v>12571.099609000001</v>
      </c>
    </row>
    <row r="25" spans="1:8" x14ac:dyDescent="0.25">
      <c r="A25" s="5">
        <f>'ALL VARS'!A25</f>
        <v>43948</v>
      </c>
      <c r="B25" s="6">
        <f>'ALL VARS'!B25</f>
        <v>14642.099609000001</v>
      </c>
      <c r="C25" s="1"/>
    </row>
    <row r="26" spans="1:8" x14ac:dyDescent="0.25">
      <c r="A26" s="5">
        <f>'ALL VARS'!A26</f>
        <v>43945</v>
      </c>
      <c r="B26" s="6">
        <f>'ALL VARS'!B26</f>
        <v>14420.400390999999</v>
      </c>
      <c r="C26" s="1"/>
    </row>
    <row r="27" spans="1:8" x14ac:dyDescent="0.25">
      <c r="A27" s="5">
        <f>'ALL VARS'!A27</f>
        <v>43944</v>
      </c>
      <c r="B27" s="6">
        <f>'ALL VARS'!B27</f>
        <v>14251.099609000001</v>
      </c>
      <c r="C27" s="1"/>
    </row>
    <row r="28" spans="1:8" x14ac:dyDescent="0.25">
      <c r="A28" s="5">
        <f>'ALL VARS'!A28</f>
        <v>43943</v>
      </c>
      <c r="B28" s="6">
        <f>'ALL VARS'!B28</f>
        <v>14288.200194999999</v>
      </c>
    </row>
    <row r="29" spans="1:8" x14ac:dyDescent="0.25">
      <c r="A29" s="5">
        <f>'ALL VARS'!A29</f>
        <v>43942</v>
      </c>
      <c r="B29" s="6">
        <f>'ALL VARS'!B29</f>
        <v>13940.099609000001</v>
      </c>
    </row>
    <row r="30" spans="1:8" x14ac:dyDescent="0.25">
      <c r="A30" s="5">
        <f>'ALL VARS'!A30</f>
        <v>43941</v>
      </c>
      <c r="B30" s="6">
        <f>'ALL VARS'!B30</f>
        <v>14388.299805000001</v>
      </c>
    </row>
    <row r="31" spans="1:8" x14ac:dyDescent="0.25">
      <c r="A31" s="5">
        <f>'ALL VARS'!A31</f>
        <v>43938</v>
      </c>
      <c r="B31" s="6">
        <f>'ALL VARS'!B31</f>
        <v>14359.900390999999</v>
      </c>
    </row>
    <row r="32" spans="1:8" x14ac:dyDescent="0.25">
      <c r="A32" s="5">
        <f>'ALL VARS'!A32</f>
        <v>43937</v>
      </c>
      <c r="B32" s="6">
        <f>'ALL VARS'!B32</f>
        <v>13899.299805000001</v>
      </c>
    </row>
    <row r="33" spans="1:2" x14ac:dyDescent="0.25">
      <c r="A33" s="5">
        <f>'ALL VARS'!A33</f>
        <v>43936</v>
      </c>
      <c r="B33" s="6">
        <f>'ALL VARS'!B33</f>
        <v>13958.599609000001</v>
      </c>
    </row>
    <row r="34" spans="1:2" x14ac:dyDescent="0.25">
      <c r="A34" s="5">
        <f>'ALL VARS'!A34</f>
        <v>43935</v>
      </c>
      <c r="B34" s="6">
        <f>'ALL VARS'!B34</f>
        <v>14258.400390999999</v>
      </c>
    </row>
    <row r="35" spans="1:2" x14ac:dyDescent="0.25">
      <c r="A35" s="5">
        <f>'ALL VARS'!A35</f>
        <v>43934</v>
      </c>
      <c r="B35" s="6">
        <f>'ALL VARS'!B35</f>
        <v>14075.900390999999</v>
      </c>
    </row>
    <row r="36" spans="1:2" x14ac:dyDescent="0.25">
      <c r="A36" s="5">
        <f>'ALL VARS'!A36</f>
        <v>43930</v>
      </c>
      <c r="B36" s="6">
        <f>'ALL VARS'!B36</f>
        <v>14166.599609000001</v>
      </c>
    </row>
    <row r="37" spans="1:2" x14ac:dyDescent="0.25">
      <c r="A37" s="5">
        <f>'ALL VARS'!A37</f>
        <v>43929</v>
      </c>
      <c r="B37" s="6">
        <f>'ALL VARS'!B37</f>
        <v>13925.700194999999</v>
      </c>
    </row>
    <row r="38" spans="1:2" x14ac:dyDescent="0.25">
      <c r="A38" s="5">
        <f>'ALL VARS'!A38</f>
        <v>43928</v>
      </c>
      <c r="B38" s="6">
        <f>'ALL VARS'!B38</f>
        <v>13614.099609000001</v>
      </c>
    </row>
    <row r="39" spans="1:2" x14ac:dyDescent="0.25">
      <c r="A39" s="5">
        <f>'ALL VARS'!A39</f>
        <v>43927</v>
      </c>
      <c r="B39" s="6">
        <f>'ALL VARS'!B39</f>
        <v>13592.700194999999</v>
      </c>
    </row>
    <row r="40" spans="1:2" x14ac:dyDescent="0.25">
      <c r="A40" s="5">
        <f>'ALL VARS'!A40</f>
        <v>43924</v>
      </c>
      <c r="B40" s="6">
        <f>'ALL VARS'!B40</f>
        <v>12938.299805000001</v>
      </c>
    </row>
    <row r="41" spans="1:2" x14ac:dyDescent="0.25">
      <c r="A41" s="5">
        <f>'ALL VARS'!A41</f>
        <v>43923</v>
      </c>
      <c r="B41" s="6">
        <f>'ALL VARS'!B41</f>
        <v>13097.799805000001</v>
      </c>
    </row>
    <row r="42" spans="1:2" x14ac:dyDescent="0.25">
      <c r="A42" s="5">
        <f>'ALL VARS'!A42</f>
        <v>43922</v>
      </c>
      <c r="B42" s="6">
        <f>'ALL VARS'!B42</f>
        <v>12876.400390999999</v>
      </c>
    </row>
    <row r="43" spans="1:2" x14ac:dyDescent="0.25">
      <c r="A43" s="5">
        <f>'ALL VARS'!A43</f>
        <v>43921</v>
      </c>
      <c r="B43" s="6">
        <f>'ALL VARS'!B43</f>
        <v>13378.799805000001</v>
      </c>
    </row>
    <row r="44" spans="1:2" x14ac:dyDescent="0.25">
      <c r="A44" s="5">
        <f>'ALL VARS'!A44</f>
        <v>43920</v>
      </c>
      <c r="B44" s="6">
        <f>'ALL VARS'!B44</f>
        <v>13038.5</v>
      </c>
    </row>
    <row r="45" spans="1:2" x14ac:dyDescent="0.25">
      <c r="A45" s="5">
        <f>'ALL VARS'!A45</f>
        <v>43917</v>
      </c>
      <c r="B45" s="6">
        <f>'ALL VARS'!B45</f>
        <v>12687.700194999999</v>
      </c>
    </row>
    <row r="46" spans="1:2" x14ac:dyDescent="0.25">
      <c r="A46" s="5">
        <f>'ALL VARS'!A46</f>
        <v>43916</v>
      </c>
      <c r="B46" s="6">
        <f>'ALL VARS'!B46</f>
        <v>13371.200194999999</v>
      </c>
    </row>
    <row r="47" spans="1:2" x14ac:dyDescent="0.25">
      <c r="A47" s="5">
        <f>'ALL VARS'!A47</f>
        <v>43915</v>
      </c>
      <c r="B47" s="6">
        <f>'ALL VARS'!B47</f>
        <v>13139.200194999999</v>
      </c>
    </row>
    <row r="48" spans="1:2" x14ac:dyDescent="0.25">
      <c r="A48" s="5">
        <f>'ALL VARS'!A48</f>
        <v>43914</v>
      </c>
      <c r="B48" s="6">
        <f>'ALL VARS'!B48</f>
        <v>12571.099609000001</v>
      </c>
    </row>
    <row r="50" spans="2:2" x14ac:dyDescent="0.25">
      <c r="B50" s="7"/>
    </row>
    <row r="51" spans="2:2" x14ac:dyDescent="0.25">
      <c r="B51" s="7">
        <f>(B2-'[1]Adj close price'!$B$2)/'[1]Adj close price'!$B$2</f>
        <v>0.35305693592198428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04A-C0F5-4334-A820-1266E55FA9FA}">
  <sheetPr codeName="Feuil4"/>
  <dimension ref="A1:Q100"/>
  <sheetViews>
    <sheetView tabSelected="1" zoomScaleNormal="100"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2.7109375" style="16" bestFit="1" customWidth="1"/>
    <col min="6" max="6" width="39" style="16" bestFit="1" customWidth="1"/>
    <col min="7" max="7" width="8.7109375" style="25" bestFit="1" customWidth="1"/>
    <col min="8" max="8" width="8.7109375" style="25" customWidth="1"/>
    <col min="9" max="9" width="46" style="18" bestFit="1" customWidth="1"/>
    <col min="10" max="10" width="23.85546875" style="16" customWidth="1"/>
    <col min="11" max="11" width="17.42578125" style="16" bestFit="1" customWidth="1"/>
    <col min="12" max="12" width="19.140625" style="16" bestFit="1" customWidth="1"/>
    <col min="13" max="13" width="12.28515625" style="16" bestFit="1" customWidth="1"/>
    <col min="14" max="15" width="21" style="16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21" t="str">
        <f>'ALL VARS'!F1</f>
        <v>Daily Return-Adj_t_+1</v>
      </c>
      <c r="C1" s="21" t="str">
        <f>'ALL VARS'!G1</f>
        <v>Daily Return-Adj_t</v>
      </c>
      <c r="D1" s="21" t="str">
        <f>'ALL VARS'!H1</f>
        <v>Daily Return-Adj_t_minus_1</v>
      </c>
      <c r="E1" s="21" t="str">
        <f>'ALL VARS'!P1</f>
        <v>Sent_t_+_1</v>
      </c>
      <c r="F1" s="21" t="str">
        <f>'ALL VARS'!R1</f>
        <v>Sent_t_+_1 * (VIX_10_t  minus VIX_bar_10)</v>
      </c>
      <c r="G1" s="22" t="str">
        <f>'ALL VARS'!J1</f>
        <v>VIX_10_t</v>
      </c>
      <c r="H1" s="23"/>
    </row>
    <row r="2" spans="1:14" x14ac:dyDescent="0.25">
      <c r="A2" s="24">
        <f>'ALL VARS'!A2</f>
        <v>43980</v>
      </c>
      <c r="B2" s="16">
        <f>'ALL VARS'!F2</f>
        <v>2.3093919546915233E-2</v>
      </c>
      <c r="C2" s="16">
        <f>'ALL VARS'!G2</f>
        <v>-4.5798180601685388E-3</v>
      </c>
      <c r="D2" s="16">
        <f>'ALL VARS'!H2</f>
        <v>-6.0894480094293875E-4</v>
      </c>
      <c r="E2" s="16">
        <f>'ALL VARS'!P2</f>
        <v>-6.7721571688512602E-2</v>
      </c>
      <c r="F2" s="16">
        <f>'ALL VARS'!R2</f>
        <v>-0.85012212926853625</v>
      </c>
      <c r="G2" s="25">
        <f>'ALL VARS'!J2</f>
        <v>29.423000200000001</v>
      </c>
      <c r="I2" s="18" t="s">
        <v>39</v>
      </c>
    </row>
    <row r="3" spans="1:14" ht="15.75" thickBot="1" x14ac:dyDescent="0.3">
      <c r="A3" s="24">
        <f>'ALL VARS'!A3</f>
        <v>43979</v>
      </c>
      <c r="B3" s="16">
        <f>'ALL VARS'!F3</f>
        <v>-4.5798180601685388E-3</v>
      </c>
      <c r="C3" s="16">
        <f>'ALL VARS'!G3</f>
        <v>-6.0894480094293875E-4</v>
      </c>
      <c r="D3" s="16">
        <f>'ALL VARS'!H3</f>
        <v>8.1792696244475296E-3</v>
      </c>
      <c r="E3" s="16">
        <f>'ALL VARS'!P3</f>
        <v>-0.24457772169262171</v>
      </c>
      <c r="F3" s="16">
        <f>'ALL VARS'!R3</f>
        <v>3.6986287764710584</v>
      </c>
      <c r="G3" s="25">
        <f>'ALL VARS'!J3</f>
        <v>30.092000099999996</v>
      </c>
    </row>
    <row r="4" spans="1:14" x14ac:dyDescent="0.25">
      <c r="A4" s="24">
        <f>'ALL VARS'!A4</f>
        <v>43978</v>
      </c>
      <c r="B4" s="16">
        <f>'ALL VARS'!F4</f>
        <v>-6.0894480094293875E-4</v>
      </c>
      <c r="C4" s="16">
        <f>'ALL VARS'!G4</f>
        <v>8.1792696244475296E-3</v>
      </c>
      <c r="D4" s="16">
        <f>'ALL VARS'!H4</f>
        <v>4.8223739412853626E-3</v>
      </c>
      <c r="E4" s="16">
        <f>'ALL VARS'!P4</f>
        <v>6.2640197575092316E-3</v>
      </c>
      <c r="F4" s="16">
        <f>'ALL VARS'!R4</f>
        <v>-9.1332595912055087E-2</v>
      </c>
      <c r="G4" s="25">
        <f>'ALL VARS'!J4</f>
        <v>30.634000099999998</v>
      </c>
      <c r="I4" s="26" t="s">
        <v>40</v>
      </c>
      <c r="J4" s="27"/>
    </row>
    <row r="5" spans="1:14" x14ac:dyDescent="0.25">
      <c r="A5" s="24">
        <f>'ALL VARS'!A5</f>
        <v>43977</v>
      </c>
      <c r="B5" s="16">
        <f>'ALL VARS'!F5</f>
        <v>8.1792696244475296E-3</v>
      </c>
      <c r="C5" s="16">
        <f>'ALL VARS'!G5</f>
        <v>4.8223739412853626E-3</v>
      </c>
      <c r="D5" s="16">
        <f>'ALL VARS'!H5</f>
        <v>1.0849210535487055E-2</v>
      </c>
      <c r="E5" s="16">
        <f>'ALL VARS'!P5</f>
        <v>-0.23609326717754206</v>
      </c>
      <c r="F5" s="16">
        <f>'ALL VARS'!R5</f>
        <v>3.4527480903816254</v>
      </c>
      <c r="G5" s="25">
        <f>'ALL VARS'!J5</f>
        <v>30.590000099999997</v>
      </c>
      <c r="I5" s="18" t="s">
        <v>41</v>
      </c>
      <c r="J5" s="16">
        <v>0.40807590704578894</v>
      </c>
    </row>
    <row r="6" spans="1:14" x14ac:dyDescent="0.25">
      <c r="A6" s="24">
        <f>'ALL VARS'!A6</f>
        <v>43976</v>
      </c>
      <c r="B6" s="16">
        <f>'ALL VARS'!F6</f>
        <v>4.8223739412853626E-3</v>
      </c>
      <c r="C6" s="16">
        <f>'ALL VARS'!G6</f>
        <v>1.0849210535487055E-2</v>
      </c>
      <c r="D6" s="16">
        <f>'ALL VARS'!H6</f>
        <v>1.9280759189597432E-3</v>
      </c>
      <c r="E6" s="16">
        <f>'ALL VARS'!P6</f>
        <v>0.13119693499590671</v>
      </c>
      <c r="F6" s="16">
        <f>'ALL VARS'!R6</f>
        <v>-1.9198715177566794</v>
      </c>
      <c r="G6" s="25">
        <f>'ALL VARS'!J6</f>
        <v>30.581000099999997</v>
      </c>
      <c r="I6" s="18" t="s">
        <v>42</v>
      </c>
      <c r="J6" s="16">
        <v>0.16652594591124337</v>
      </c>
    </row>
    <row r="7" spans="1:14" x14ac:dyDescent="0.25">
      <c r="A7" s="24">
        <f>'ALL VARS'!A7</f>
        <v>43973</v>
      </c>
      <c r="B7" s="16">
        <f>'ALL VARS'!F7</f>
        <v>1.0849210535487055E-2</v>
      </c>
      <c r="C7" s="16">
        <f>'ALL VARS'!G7</f>
        <v>1.9280759189597432E-3</v>
      </c>
      <c r="D7" s="16">
        <f>'ALL VARS'!H7</f>
        <v>-7.5144837132717695E-3</v>
      </c>
      <c r="E7" s="16">
        <f>'ALL VARS'!P7</f>
        <v>-0.66873623467981813</v>
      </c>
      <c r="F7" s="16">
        <f>'ALL VARS'!R7</f>
        <v>9.791976277437481</v>
      </c>
      <c r="G7" s="25">
        <f>'ALL VARS'!J7</f>
        <v>30.572000099999997</v>
      </c>
      <c r="I7" s="18" t="s">
        <v>42</v>
      </c>
      <c r="J7" s="16">
        <v>6.3337940759933195E-2</v>
      </c>
    </row>
    <row r="8" spans="1:14" x14ac:dyDescent="0.25">
      <c r="A8" s="24">
        <f>'ALL VARS'!A8</f>
        <v>43972</v>
      </c>
      <c r="B8" s="16">
        <f>'ALL VARS'!F8</f>
        <v>1.9280759189597432E-3</v>
      </c>
      <c r="C8" s="16">
        <f>'ALL VARS'!G8</f>
        <v>-7.5144837132717695E-3</v>
      </c>
      <c r="D8" s="16">
        <f>'ALL VARS'!H8</f>
        <v>7.5307923146686901E-3</v>
      </c>
      <c r="E8" s="16">
        <f>'ALL VARS'!P8</f>
        <v>5.5399095018704735E-2</v>
      </c>
      <c r="F8" s="16">
        <f>'ALL VARS'!R8</f>
        <v>-0.80060051549228672</v>
      </c>
      <c r="G8" s="25">
        <f>'ALL VARS'!J8</f>
        <v>30.763000099999999</v>
      </c>
      <c r="I8" s="18" t="s">
        <v>43</v>
      </c>
      <c r="J8" s="16">
        <v>1.9772489756116344E-2</v>
      </c>
    </row>
    <row r="9" spans="1:14" ht="15.75" thickBot="1" x14ac:dyDescent="0.3">
      <c r="A9" s="24">
        <f>'ALL VARS'!A9</f>
        <v>43971</v>
      </c>
      <c r="B9" s="16">
        <f>'ALL VARS'!F9</f>
        <v>-7.5144837132717695E-3</v>
      </c>
      <c r="C9" s="16">
        <f>'ALL VARS'!G9</f>
        <v>7.5307923146686901E-3</v>
      </c>
      <c r="D9" s="16">
        <f>'ALL VARS'!H9</f>
        <v>1.6845500851389788E-2</v>
      </c>
      <c r="E9" s="16">
        <f>'ALL VARS'!P9</f>
        <v>9.735283938546975E-2</v>
      </c>
      <c r="F9" s="16">
        <f>'ALL VARS'!R9</f>
        <v>-1.3472181453777308</v>
      </c>
      <c r="G9" s="25">
        <f>'ALL VARS'!J9</f>
        <v>31.375999999999998</v>
      </c>
      <c r="I9" s="28" t="s">
        <v>44</v>
      </c>
      <c r="J9" s="29">
        <v>47</v>
      </c>
    </row>
    <row r="10" spans="1:14" x14ac:dyDescent="0.25">
      <c r="A10" s="24">
        <f>'ALL VARS'!A10</f>
        <v>43970</v>
      </c>
      <c r="B10" s="16">
        <f>'ALL VARS'!F10</f>
        <v>7.5307923146686901E-3</v>
      </c>
      <c r="C10" s="16">
        <f>'ALL VARS'!G10</f>
        <v>1.6845500851389788E-2</v>
      </c>
      <c r="D10" s="16">
        <f>'ALL VARS'!H10</f>
        <v>8.9044014875318926E-3</v>
      </c>
      <c r="E10" s="16">
        <f>'ALL VARS'!P10</f>
        <v>0.49790565359095734</v>
      </c>
      <c r="F10" s="16">
        <f>'ALL VARS'!R10</f>
        <v>-6.7369169340514672</v>
      </c>
      <c r="G10" s="25">
        <f>'ALL VARS'!J10</f>
        <v>31.683999999999997</v>
      </c>
    </row>
    <row r="11" spans="1:14" ht="15.75" thickBot="1" x14ac:dyDescent="0.3">
      <c r="A11" s="24">
        <f>'ALL VARS'!A11</f>
        <v>43966</v>
      </c>
      <c r="B11" s="16">
        <f>'ALL VARS'!F11</f>
        <v>1.6845500851389788E-2</v>
      </c>
      <c r="C11" s="16">
        <f>'ALL VARS'!G11</f>
        <v>8.9044014875318926E-3</v>
      </c>
      <c r="D11" s="16">
        <f>'ALL VARS'!H11</f>
        <v>4.4817694802564231E-4</v>
      </c>
      <c r="E11" s="16">
        <f>'ALL VARS'!P11</f>
        <v>0.48645331314764917</v>
      </c>
      <c r="F11" s="16">
        <f>'ALL VARS'!R11</f>
        <v>-5.9996762253230864</v>
      </c>
      <c r="G11" s="25">
        <f>'ALL VARS'!J11</f>
        <v>32.881000200000003</v>
      </c>
      <c r="I11" s="18" t="s">
        <v>45</v>
      </c>
    </row>
    <row r="12" spans="1:14" x14ac:dyDescent="0.25">
      <c r="A12" s="24">
        <f>'ALL VARS'!A12</f>
        <v>43965</v>
      </c>
      <c r="B12" s="16">
        <f>'ALL VARS'!F12</f>
        <v>8.9044014875318926E-3</v>
      </c>
      <c r="C12" s="16">
        <f>'ALL VARS'!G12</f>
        <v>4.4817694802564231E-4</v>
      </c>
      <c r="D12" s="16">
        <f>'ALL VARS'!H12</f>
        <v>-2.5401176991557837E-2</v>
      </c>
      <c r="E12" s="16">
        <f>'ALL VARS'!P12</f>
        <v>-0.19248065624672633</v>
      </c>
      <c r="F12" s="16">
        <f>'ALL VARS'!R12</f>
        <v>2.34431983004019</v>
      </c>
      <c r="G12" s="25">
        <f>'ALL VARS'!J12</f>
        <v>33.0350003</v>
      </c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A13" s="24">
        <f>'ALL VARS'!A13</f>
        <v>43964</v>
      </c>
      <c r="B13" s="16">
        <f>'ALL VARS'!F13</f>
        <v>4.4817694802564231E-4</v>
      </c>
      <c r="C13" s="16">
        <f>'ALL VARS'!G13</f>
        <v>-2.5401176991557837E-2</v>
      </c>
      <c r="D13" s="16">
        <f>'ALL VARS'!H13</f>
        <v>-1.4698871572495898E-2</v>
      </c>
      <c r="E13" s="16">
        <f>'ALL VARS'!P13</f>
        <v>0.27620824612677097</v>
      </c>
      <c r="F13" s="16">
        <f>'ALL VARS'!R13</f>
        <v>-3.475945052649867</v>
      </c>
      <c r="G13" s="25">
        <f>'ALL VARS'!J13</f>
        <v>32.630000399999993</v>
      </c>
      <c r="I13" s="18" t="s">
        <v>46</v>
      </c>
      <c r="J13" s="16">
        <v>5</v>
      </c>
      <c r="K13" s="16">
        <v>3.2806646061248924E-3</v>
      </c>
      <c r="L13" s="16">
        <v>6.5613292122497849E-4</v>
      </c>
      <c r="M13" s="16">
        <v>1.6782981291286656</v>
      </c>
      <c r="N13" s="16">
        <v>0.16151591861573197</v>
      </c>
    </row>
    <row r="14" spans="1:14" x14ac:dyDescent="0.25">
      <c r="A14" s="24">
        <f>'ALL VARS'!A14</f>
        <v>43963</v>
      </c>
      <c r="B14" s="16">
        <f>'ALL VARS'!F14</f>
        <v>-2.5401176991557837E-2</v>
      </c>
      <c r="C14" s="16">
        <f>'ALL VARS'!G14</f>
        <v>-1.4698871572495898E-2</v>
      </c>
      <c r="D14" s="16">
        <f>'ALL VARS'!H14</f>
        <v>9.1270288220883112E-3</v>
      </c>
      <c r="E14" s="16">
        <f>'ALL VARS'!P14</f>
        <v>0.1164589305408299</v>
      </c>
      <c r="F14" s="16">
        <f>'ALL VARS'!R14</f>
        <v>-1.4594061028996139</v>
      </c>
      <c r="G14" s="25">
        <f>'ALL VARS'!J14</f>
        <v>32.683000299999996</v>
      </c>
      <c r="I14" s="18" t="s">
        <v>47</v>
      </c>
      <c r="J14" s="16">
        <v>42</v>
      </c>
      <c r="K14" s="16">
        <v>1.6419956748540483E-2</v>
      </c>
      <c r="L14" s="16">
        <v>3.9095135115572576E-4</v>
      </c>
    </row>
    <row r="15" spans="1:14" ht="15.75" thickBot="1" x14ac:dyDescent="0.3">
      <c r="A15" s="24">
        <f>'ALL VARS'!A15</f>
        <v>43962</v>
      </c>
      <c r="B15" s="16">
        <f>'ALL VARS'!F15</f>
        <v>-1.4698871572495898E-2</v>
      </c>
      <c r="C15" s="16">
        <f>'ALL VARS'!G15</f>
        <v>9.1270288220883112E-3</v>
      </c>
      <c r="D15" s="16">
        <f>'ALL VARS'!H15</f>
        <v>8.9592894728179693E-3</v>
      </c>
      <c r="E15" s="16">
        <f>'ALL VARS'!P15</f>
        <v>-0.15498585706915369</v>
      </c>
      <c r="F15" s="16">
        <f>'ALL VARS'!R15</f>
        <v>1.85355469267215</v>
      </c>
      <c r="G15" s="25">
        <f>'ALL VARS'!J15</f>
        <v>33.2550004</v>
      </c>
      <c r="I15" s="28" t="s">
        <v>48</v>
      </c>
      <c r="J15" s="29">
        <v>47</v>
      </c>
      <c r="K15" s="29">
        <v>1.9700621354665375E-2</v>
      </c>
      <c r="L15" s="29"/>
      <c r="M15" s="29"/>
      <c r="N15" s="29"/>
    </row>
    <row r="16" spans="1:14" ht="15.75" thickBot="1" x14ac:dyDescent="0.3">
      <c r="A16" s="24">
        <f>'ALL VARS'!A16</f>
        <v>43959</v>
      </c>
      <c r="B16" s="16">
        <f>'ALL VARS'!F16</f>
        <v>9.1270288220883112E-3</v>
      </c>
      <c r="C16" s="16">
        <f>'ALL VARS'!G16</f>
        <v>8.9592894728179693E-3</v>
      </c>
      <c r="D16" s="16">
        <f>'ALL VARS'!H16</f>
        <v>2.0228309928424119E-4</v>
      </c>
      <c r="E16" s="16">
        <f>'ALL VARS'!P16</f>
        <v>9.5311682671308517E-2</v>
      </c>
      <c r="F16" s="16">
        <f>'ALL VARS'!R16</f>
        <v>-1.0641081022019998</v>
      </c>
      <c r="G16" s="25">
        <f>'ALL VARS'!J16</f>
        <v>34.050000400000002</v>
      </c>
    </row>
    <row r="17" spans="1:17" ht="45" x14ac:dyDescent="0.25">
      <c r="A17" s="24">
        <f>'ALL VARS'!A17</f>
        <v>43958</v>
      </c>
      <c r="B17" s="16">
        <f>'ALL VARS'!F17</f>
        <v>8.9592894728179693E-3</v>
      </c>
      <c r="C17" s="16">
        <f>'ALL VARS'!G17</f>
        <v>2.0228309928424119E-4</v>
      </c>
      <c r="D17" s="16">
        <f>'ALL VARS'!H17</f>
        <v>1.2895694256002256E-3</v>
      </c>
      <c r="E17" s="16">
        <f>'ALL VARS'!P17</f>
        <v>0.29172629743282286</v>
      </c>
      <c r="F17" s="16">
        <f>'ALL VARS'!R17</f>
        <v>-2.967004820981078</v>
      </c>
      <c r="G17" s="25">
        <f>'ALL VARS'!J17</f>
        <v>35.044000400000002</v>
      </c>
      <c r="I17" s="30"/>
      <c r="J17" s="30" t="s">
        <v>55</v>
      </c>
      <c r="K17" s="30" t="s">
        <v>43</v>
      </c>
      <c r="L17" s="30" t="s">
        <v>56</v>
      </c>
      <c r="M17" s="30" t="s">
        <v>57</v>
      </c>
      <c r="N17" s="30" t="s">
        <v>58</v>
      </c>
      <c r="O17" s="30" t="s">
        <v>59</v>
      </c>
      <c r="P17" s="27" t="s">
        <v>60</v>
      </c>
      <c r="Q17" s="27" t="s">
        <v>61</v>
      </c>
    </row>
    <row r="18" spans="1:17" x14ac:dyDescent="0.25">
      <c r="A18" s="24">
        <f>'ALL VARS'!A18</f>
        <v>43957</v>
      </c>
      <c r="B18" s="16">
        <f>'ALL VARS'!F18</f>
        <v>2.0228309928424119E-4</v>
      </c>
      <c r="C18" s="16">
        <f>'ALL VARS'!G18</f>
        <v>1.2895694256002256E-3</v>
      </c>
      <c r="D18" s="16">
        <f>'ALL VARS'!H18</f>
        <v>4.5167588335029351E-3</v>
      </c>
      <c r="E18" s="16">
        <f>'ALL VARS'!P18</f>
        <v>-0.23442382345508253</v>
      </c>
      <c r="F18" s="16">
        <f>'ALL VARS'!R18</f>
        <v>2.1999523671068744</v>
      </c>
      <c r="G18" s="25">
        <f>'ALL VARS'!J18</f>
        <v>35.830000499999997</v>
      </c>
      <c r="I18" s="18" t="s">
        <v>49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8" t="e">
        <v>#N/A</v>
      </c>
      <c r="Q18" s="18" t="e">
        <v>#N/A</v>
      </c>
    </row>
    <row r="19" spans="1:17" x14ac:dyDescent="0.25">
      <c r="A19" s="24">
        <f>'ALL VARS'!A19</f>
        <v>43956</v>
      </c>
      <c r="B19" s="16">
        <f>'ALL VARS'!F19</f>
        <v>1.2895694256002256E-3</v>
      </c>
      <c r="C19" s="16">
        <f>'ALL VARS'!G19</f>
        <v>4.5167588335029351E-3</v>
      </c>
      <c r="D19" s="16">
        <f>'ALL VARS'!H19</f>
        <v>8.5292501975474666E-3</v>
      </c>
      <c r="E19" s="16">
        <f>'ALL VARS'!P19</f>
        <v>-2.1146204477796953E-2</v>
      </c>
      <c r="F19" s="16">
        <f>'ALL VARS'!R19</f>
        <v>0.17349421679223179</v>
      </c>
      <c r="G19" s="25">
        <f>'ALL VARS'!J19</f>
        <v>37.010000400000003</v>
      </c>
      <c r="I19" s="18" t="s">
        <v>36</v>
      </c>
      <c r="J19" s="16">
        <v>1.6269056789862565E-2</v>
      </c>
      <c r="K19" s="16">
        <v>0.11491613106131376</v>
      </c>
      <c r="L19" s="16">
        <v>0.1415733077646181</v>
      </c>
      <c r="M19" s="16">
        <v>0.88809395730980134</v>
      </c>
      <c r="N19" s="16">
        <v>-0.21564108466366125</v>
      </c>
      <c r="O19" s="16">
        <v>0.24817919824338638</v>
      </c>
      <c r="P19" s="18">
        <v>-0.21564108466366125</v>
      </c>
      <c r="Q19" s="18">
        <v>0.24817919824338638</v>
      </c>
    </row>
    <row r="20" spans="1:17" x14ac:dyDescent="0.25">
      <c r="A20" s="24">
        <f>'ALL VARS'!A20</f>
        <v>43955</v>
      </c>
      <c r="B20" s="16">
        <f>'ALL VARS'!F20</f>
        <v>4.5167588335029351E-3</v>
      </c>
      <c r="C20" s="16">
        <f>'ALL VARS'!G20</f>
        <v>8.5292501975474666E-3</v>
      </c>
      <c r="D20" s="16">
        <f>'ALL VARS'!H20</f>
        <v>-1.0852015661224153E-2</v>
      </c>
      <c r="E20" s="16">
        <f>'ALL VARS'!P20</f>
        <v>0.23377028697480759</v>
      </c>
      <c r="F20" s="16">
        <f>'ALL VARS'!R20</f>
        <v>-1.7342268642510297</v>
      </c>
      <c r="G20" s="25">
        <f>'ALL VARS'!J20</f>
        <v>37.796000499999998</v>
      </c>
      <c r="I20" s="18" t="s">
        <v>37</v>
      </c>
      <c r="J20" s="16">
        <v>-8.5848573275424958E-2</v>
      </c>
      <c r="K20" s="16">
        <v>0.11607052059170068</v>
      </c>
      <c r="L20" s="16">
        <v>-0.73962426323056685</v>
      </c>
      <c r="M20" s="16">
        <v>0.46364220702989201</v>
      </c>
      <c r="N20" s="16">
        <v>-0.32008836711814781</v>
      </c>
      <c r="O20" s="16">
        <v>0.14839122056729787</v>
      </c>
      <c r="P20" s="18">
        <v>-0.32008836711814781</v>
      </c>
      <c r="Q20" s="18">
        <v>0.14839122056729787</v>
      </c>
    </row>
    <row r="21" spans="1:17" x14ac:dyDescent="0.25">
      <c r="A21" s="24">
        <f>'ALL VARS'!A21</f>
        <v>43952</v>
      </c>
      <c r="B21" s="16">
        <f>'ALL VARS'!F21</f>
        <v>8.5292501975474666E-3</v>
      </c>
      <c r="C21" s="16">
        <f>'ALL VARS'!G21</f>
        <v>-1.0852015661224153E-2</v>
      </c>
      <c r="D21" s="16">
        <f>'ALL VARS'!H21</f>
        <v>-2.9379858648651246E-2</v>
      </c>
      <c r="E21" s="16">
        <f>'ALL VARS'!P21</f>
        <v>-0.15081174378948553</v>
      </c>
      <c r="F21" s="16">
        <f>'ALL VARS'!R21</f>
        <v>1.1043202326714598</v>
      </c>
      <c r="G21" s="25">
        <f>'ALL VARS'!J21</f>
        <v>37.892000799999991</v>
      </c>
      <c r="I21" s="18" t="s">
        <v>6</v>
      </c>
      <c r="J21" s="16">
        <v>1.8643986020051663E-2</v>
      </c>
      <c r="K21" s="16">
        <v>1.1522498497887036E-2</v>
      </c>
      <c r="L21" s="16">
        <v>1.6180506357601647</v>
      </c>
      <c r="M21" s="16">
        <v>0.11313830884853936</v>
      </c>
      <c r="N21" s="16">
        <v>-4.609357369287196E-3</v>
      </c>
      <c r="O21" s="16">
        <v>4.1897329409390519E-2</v>
      </c>
      <c r="P21" s="18">
        <v>-4.609357369287196E-3</v>
      </c>
      <c r="Q21" s="18">
        <v>4.1897329409390519E-2</v>
      </c>
    </row>
    <row r="22" spans="1:17" x14ac:dyDescent="0.25">
      <c r="A22" s="24">
        <f>'ALL VARS'!A22</f>
        <v>43951</v>
      </c>
      <c r="B22" s="16">
        <f>'ALL VARS'!F22</f>
        <v>-1.0852015661224153E-2</v>
      </c>
      <c r="C22" s="16">
        <f>'ALL VARS'!G22</f>
        <v>-2.9379858648651246E-2</v>
      </c>
      <c r="D22" s="16">
        <f>'ALL VARS'!H22</f>
        <v>2.904386379946032E-2</v>
      </c>
      <c r="E22" s="16">
        <f>'ALL VARS'!P22</f>
        <v>-0.15819044224917889</v>
      </c>
      <c r="F22" s="16">
        <f>'ALL VARS'!R22</f>
        <v>1.0640693249899846</v>
      </c>
      <c r="G22" s="25">
        <f>'ALL VARS'!J22</f>
        <v>38.488000700000001</v>
      </c>
      <c r="I22" s="18" t="s">
        <v>19</v>
      </c>
      <c r="J22" s="16">
        <v>1.250978063873631E-3</v>
      </c>
      <c r="K22" s="16">
        <v>8.5071202977671657E-4</v>
      </c>
      <c r="L22" s="16">
        <v>1.4705070812293213</v>
      </c>
      <c r="M22" s="16">
        <v>0.14887704871144192</v>
      </c>
      <c r="N22" s="16">
        <v>-4.6582831778630178E-4</v>
      </c>
      <c r="O22" s="16">
        <v>2.9677844455335638E-3</v>
      </c>
      <c r="P22" s="18">
        <v>-4.6582831778630178E-4</v>
      </c>
      <c r="Q22" s="18">
        <v>2.9677844455335638E-3</v>
      </c>
    </row>
    <row r="23" spans="1:17" ht="15.75" thickBot="1" x14ac:dyDescent="0.3">
      <c r="A23" s="24">
        <f>'ALL VARS'!A23</f>
        <v>43950</v>
      </c>
      <c r="B23" s="16">
        <f>'ALL VARS'!F23</f>
        <v>-2.9379858648651246E-2</v>
      </c>
      <c r="C23" s="16">
        <f>'ALL VARS'!G23</f>
        <v>2.904386379946032E-2</v>
      </c>
      <c r="D23" s="16">
        <f>'ALL VARS'!H23</f>
        <v>1.0667882350970269E-2</v>
      </c>
      <c r="E23" s="16">
        <f>'ALL VARS'!P23</f>
        <v>-0.11695043928921223</v>
      </c>
      <c r="F23" s="16">
        <f>'ALL VARS'!R23</f>
        <v>0.67427873005200556</v>
      </c>
      <c r="G23" s="25">
        <f>'ALL VARS'!J23</f>
        <v>39.449000699999999</v>
      </c>
      <c r="I23" s="28" t="s">
        <v>4</v>
      </c>
      <c r="J23" s="29">
        <v>1.9072377823516038E-4</v>
      </c>
      <c r="K23" s="29">
        <v>7.4975228493571821E-5</v>
      </c>
      <c r="L23" s="29">
        <v>2.5438239011370607</v>
      </c>
      <c r="M23" s="29">
        <v>1.4733095784773121E-2</v>
      </c>
      <c r="N23" s="29">
        <v>3.9417641447650888E-5</v>
      </c>
      <c r="O23" s="29">
        <v>3.4202991502266987E-4</v>
      </c>
      <c r="P23" s="28">
        <v>3.9417641447650888E-5</v>
      </c>
      <c r="Q23" s="28">
        <v>3.4202991502266987E-4</v>
      </c>
    </row>
    <row r="24" spans="1:17" x14ac:dyDescent="0.25">
      <c r="A24" s="24">
        <f>'ALL VARS'!A24</f>
        <v>43949</v>
      </c>
      <c r="B24" s="16">
        <f>'ALL VARS'!F24</f>
        <v>2.904386379946032E-2</v>
      </c>
      <c r="C24" s="16">
        <f>'ALL VARS'!G24</f>
        <v>1.0667882350970269E-2</v>
      </c>
      <c r="D24" s="16">
        <f>'ALL VARS'!H24</f>
        <v>1.5373998778727917E-2</v>
      </c>
      <c r="E24" s="16">
        <f>'ALL VARS'!P24</f>
        <v>6.6089130705222487E-3</v>
      </c>
      <c r="F24" s="16">
        <f>'ALL VARS'!R24</f>
        <v>-3.5334610000064735E-2</v>
      </c>
      <c r="G24" s="25">
        <f>'ALL VARS'!J24</f>
        <v>39.868000500000008</v>
      </c>
    </row>
    <row r="25" spans="1:17" x14ac:dyDescent="0.25">
      <c r="A25" s="24">
        <f>'ALL VARS'!A25</f>
        <v>43948</v>
      </c>
      <c r="B25" s="16">
        <f>'ALL VARS'!F25</f>
        <v>1.0667882350970269E-2</v>
      </c>
      <c r="C25" s="16">
        <f>'ALL VARS'!G25</f>
        <v>1.5373998778727917E-2</v>
      </c>
      <c r="D25" s="16">
        <f>'ALL VARS'!H25</f>
        <v>1.1879839917270655E-2</v>
      </c>
      <c r="E25" s="16">
        <f>'ALL VARS'!P25</f>
        <v>-0.16266929442062975</v>
      </c>
      <c r="F25" s="16">
        <f>'ALL VARS'!R25</f>
        <v>0.74152941238930459</v>
      </c>
      <c r="G25" s="25">
        <f>'ALL VARS'!J25</f>
        <v>40.656000200000001</v>
      </c>
      <c r="J25" s="18"/>
      <c r="K25" s="18"/>
      <c r="L25" s="18"/>
      <c r="M25" s="18"/>
      <c r="N25" s="18"/>
      <c r="O25" s="18"/>
    </row>
    <row r="26" spans="1:17" x14ac:dyDescent="0.25">
      <c r="A26" s="24">
        <f>'ALL VARS'!A26</f>
        <v>43945</v>
      </c>
      <c r="B26" s="16">
        <f>'ALL VARS'!F26</f>
        <v>1.5373998778727917E-2</v>
      </c>
      <c r="C26" s="16">
        <f>'ALL VARS'!G26</f>
        <v>1.1879839917270655E-2</v>
      </c>
      <c r="D26" s="16">
        <f>'ALL VARS'!H26</f>
        <v>-2.5965891780394849E-3</v>
      </c>
      <c r="E26" s="16">
        <f>'ALL VARS'!P26</f>
        <v>-0.43920171571274597</v>
      </c>
      <c r="F26" s="16">
        <f>'ALL VARS'!R26</f>
        <v>1.750003195237098</v>
      </c>
      <c r="G26" s="25">
        <f>'ALL VARS'!J26</f>
        <v>41.230000000000004</v>
      </c>
      <c r="J26" s="18"/>
      <c r="K26" s="18"/>
      <c r="L26" s="18"/>
      <c r="M26" s="18"/>
      <c r="N26" s="18"/>
      <c r="O26" s="18"/>
    </row>
    <row r="27" spans="1:17" x14ac:dyDescent="0.25">
      <c r="A27" s="24">
        <f>'ALL VARS'!A27</f>
        <v>43944</v>
      </c>
      <c r="B27" s="16">
        <f>'ALL VARS'!F27</f>
        <v>1.1879839917270655E-2</v>
      </c>
      <c r="C27" s="16">
        <f>'ALL VARS'!G27</f>
        <v>-2.5965891780394849E-3</v>
      </c>
      <c r="D27" s="16">
        <f>'ALL VARS'!H27</f>
        <v>2.4971169199914333E-2</v>
      </c>
      <c r="E27" s="16">
        <f>'ALL VARS'!P27</f>
        <v>-2.0552382688038051E-2</v>
      </c>
      <c r="F27" s="16">
        <f>'ALL VARS'!R27</f>
        <v>7.7842340856556808E-2</v>
      </c>
      <c r="G27" s="25">
        <f>'ALL VARS'!J27</f>
        <v>41.42699970000001</v>
      </c>
      <c r="J27" s="18"/>
      <c r="K27" s="18"/>
      <c r="L27" s="18"/>
      <c r="M27" s="18"/>
      <c r="N27" s="18"/>
      <c r="O27" s="18"/>
    </row>
    <row r="28" spans="1:17" x14ac:dyDescent="0.25">
      <c r="A28" s="24">
        <f>'ALL VARS'!A28</f>
        <v>43943</v>
      </c>
      <c r="B28" s="16">
        <f>'ALL VARS'!F28</f>
        <v>-2.5965891780394849E-3</v>
      </c>
      <c r="C28" s="16">
        <f>'ALL VARS'!G28</f>
        <v>2.4971169199914333E-2</v>
      </c>
      <c r="D28" s="16">
        <f>'ALL VARS'!H28</f>
        <v>-3.1150323670921017E-2</v>
      </c>
      <c r="E28" s="16">
        <f>'ALL VARS'!P28</f>
        <v>-0.44359970150981098</v>
      </c>
      <c r="F28" s="16">
        <f>'ALL VARS'!R28</f>
        <v>1.4707588976989807</v>
      </c>
      <c r="G28" s="25">
        <f>'ALL VARS'!J28</f>
        <v>41.898999799999999</v>
      </c>
      <c r="J28" s="18"/>
      <c r="K28" s="18"/>
      <c r="L28" s="18"/>
      <c r="M28" s="18"/>
      <c r="N28" s="18"/>
      <c r="O28" s="18"/>
    </row>
    <row r="29" spans="1:17" x14ac:dyDescent="0.25">
      <c r="A29" s="31">
        <f>'ALL VARS'!A29</f>
        <v>43942</v>
      </c>
      <c r="B29" s="32">
        <f>'ALL VARS'!F29</f>
        <v>2.4971169199914333E-2</v>
      </c>
      <c r="C29" s="32">
        <f>'ALL VARS'!G29</f>
        <v>-3.1150323670921017E-2</v>
      </c>
      <c r="D29" s="32">
        <f>'ALL VARS'!H29</f>
        <v>1.9776887879946956E-3</v>
      </c>
      <c r="E29" s="32">
        <f>'ALL VARS'!P29</f>
        <v>7.0537303773952384E-2</v>
      </c>
      <c r="F29" s="32">
        <f>'ALL VARS'!R29</f>
        <v>-0.23506620065242564</v>
      </c>
      <c r="G29" s="33">
        <f>'ALL VARS'!J29</f>
        <v>41.881999999999998</v>
      </c>
      <c r="H29" s="33"/>
      <c r="J29" s="18"/>
      <c r="K29" s="18"/>
      <c r="L29" s="18"/>
      <c r="M29" s="18"/>
      <c r="N29" s="18"/>
      <c r="O29" s="18"/>
    </row>
    <row r="30" spans="1:17" x14ac:dyDescent="0.25">
      <c r="A30" s="24">
        <f>'ALL VARS'!A30</f>
        <v>43941</v>
      </c>
      <c r="B30" s="16">
        <f>'ALL VARS'!F30</f>
        <v>-3.1150323670921017E-2</v>
      </c>
      <c r="C30" s="16">
        <f>'ALL VARS'!G30</f>
        <v>1.9776887879946956E-3</v>
      </c>
      <c r="D30" s="16">
        <f>'ALL VARS'!H30</f>
        <v>3.3138402111040632E-2</v>
      </c>
      <c r="E30" s="16">
        <f>'ALL VARS'!P30</f>
        <v>6.1557356500998139E-2</v>
      </c>
      <c r="F30" s="16">
        <f>'ALL VARS'!R30</f>
        <v>-0.18685792900615653</v>
      </c>
      <c r="G30" s="25">
        <f>'ALL VARS'!J30</f>
        <v>42.178999699999999</v>
      </c>
      <c r="J30" s="18"/>
      <c r="K30" s="18"/>
      <c r="L30" s="18"/>
      <c r="M30" s="18"/>
      <c r="N30" s="18"/>
      <c r="O30" s="18"/>
    </row>
    <row r="31" spans="1:17" x14ac:dyDescent="0.25">
      <c r="A31" s="24">
        <f>'ALL VARS'!A31</f>
        <v>43938</v>
      </c>
      <c r="B31" s="16">
        <f>'ALL VARS'!F31</f>
        <v>1.9776887879946956E-3</v>
      </c>
      <c r="C31" s="16">
        <f>'ALL VARS'!G31</f>
        <v>3.3138402111040632E-2</v>
      </c>
      <c r="D31" s="16">
        <f>'ALL VARS'!H31</f>
        <v>-4.2482631253185207E-3</v>
      </c>
      <c r="E31" s="16">
        <f>'ALL VARS'!P31</f>
        <v>0.33201583579648286</v>
      </c>
      <c r="F31" s="16">
        <f>'ALL VARS'!R31</f>
        <v>-0.58418502189421362</v>
      </c>
      <c r="G31" s="25">
        <f>'ALL VARS'!J31</f>
        <v>43.4549995</v>
      </c>
      <c r="J31" s="18"/>
      <c r="K31" s="18"/>
      <c r="L31" s="18"/>
      <c r="M31" s="18"/>
      <c r="N31" s="18"/>
      <c r="O31" s="18"/>
    </row>
    <row r="32" spans="1:17" x14ac:dyDescent="0.25">
      <c r="A32" s="24">
        <f>'ALL VARS'!A32</f>
        <v>43937</v>
      </c>
      <c r="B32" s="16">
        <f>'ALL VARS'!F32</f>
        <v>3.3138402111040632E-2</v>
      </c>
      <c r="C32" s="16">
        <f>'ALL VARS'!G32</f>
        <v>-4.2482631253185207E-3</v>
      </c>
      <c r="D32" s="16">
        <f>'ALL VARS'!H32</f>
        <v>-2.1026256366684357E-2</v>
      </c>
      <c r="E32" s="16">
        <f>'ALL VARS'!P32</f>
        <v>-1.0891216807067394E-2</v>
      </c>
      <c r="F32" s="16">
        <f>'ALL VARS'!R32</f>
        <v>7.0258710347446312E-4</v>
      </c>
      <c r="G32" s="25">
        <f>'ALL VARS'!J32</f>
        <v>45.149999499999993</v>
      </c>
      <c r="J32" s="18"/>
      <c r="K32" s="18"/>
      <c r="L32" s="18"/>
      <c r="M32" s="18"/>
      <c r="N32" s="18"/>
      <c r="O32" s="18"/>
    </row>
    <row r="33" spans="1:15" x14ac:dyDescent="0.25">
      <c r="A33" s="24">
        <f>'ALL VARS'!A33</f>
        <v>43936</v>
      </c>
      <c r="B33" s="16">
        <f>'ALL VARS'!F33</f>
        <v>-4.2482631253185207E-3</v>
      </c>
      <c r="C33" s="16">
        <f>'ALL VARS'!G33</f>
        <v>-2.1026256366684357E-2</v>
      </c>
      <c r="D33" s="16">
        <f>'ALL VARS'!H33</f>
        <v>1.2965422809946055E-2</v>
      </c>
      <c r="E33" s="16">
        <f>'ALL VARS'!P33</f>
        <v>-1.8410735170949589E-2</v>
      </c>
      <c r="F33" s="16">
        <f>'ALL VARS'!R33</f>
        <v>-2.2193967929273445E-2</v>
      </c>
      <c r="G33" s="25">
        <f>'ALL VARS'!J33</f>
        <v>46.419999600000004</v>
      </c>
      <c r="J33" s="18"/>
      <c r="K33" s="18"/>
      <c r="L33" s="18"/>
      <c r="M33" s="18"/>
      <c r="N33" s="18"/>
      <c r="O33" s="18"/>
    </row>
    <row r="34" spans="1:15" x14ac:dyDescent="0.25">
      <c r="A34" s="24">
        <f>'ALL VARS'!A34</f>
        <v>43935</v>
      </c>
      <c r="B34" s="16">
        <f>'ALL VARS'!F34</f>
        <v>-2.1026256366684357E-2</v>
      </c>
      <c r="C34" s="16">
        <f>'ALL VARS'!G34</f>
        <v>1.2965422809946055E-2</v>
      </c>
      <c r="D34" s="16">
        <f>'ALL VARS'!H34</f>
        <v>-6.4023280464834062E-3</v>
      </c>
      <c r="E34" s="16">
        <f>'ALL VARS'!P34</f>
        <v>-0.32017184949169558</v>
      </c>
      <c r="F34" s="16">
        <f>'ALL VARS'!R34</f>
        <v>-1.0045362917399199</v>
      </c>
      <c r="G34" s="25">
        <f>'ALL VARS'!J34</f>
        <v>48.352000000000004</v>
      </c>
      <c r="J34" s="18"/>
      <c r="K34" s="18"/>
      <c r="L34" s="18"/>
      <c r="M34" s="18"/>
      <c r="N34" s="18"/>
      <c r="O34" s="18"/>
    </row>
    <row r="35" spans="1:15" x14ac:dyDescent="0.25">
      <c r="A35" s="24">
        <f>'ALL VARS'!A35</f>
        <v>43934</v>
      </c>
      <c r="B35" s="16">
        <f>'ALL VARS'!F35</f>
        <v>1.2965422809946055E-2</v>
      </c>
      <c r="C35" s="16">
        <f>'ALL VARS'!G35</f>
        <v>-6.4023280464834062E-3</v>
      </c>
      <c r="D35" s="16">
        <f>'ALL VARS'!H35</f>
        <v>1.729890853793448E-2</v>
      </c>
      <c r="E35" s="16">
        <f>'ALL VARS'!P35</f>
        <v>0.10925812500395946</v>
      </c>
      <c r="F35" s="16">
        <f>'ALL VARS'!R35</f>
        <v>0.60905846575543998</v>
      </c>
      <c r="G35" s="25">
        <f>'ALL VARS'!J35</f>
        <v>50.789000299999998</v>
      </c>
      <c r="J35" s="18"/>
      <c r="K35" s="18"/>
      <c r="L35" s="18"/>
      <c r="M35" s="18"/>
      <c r="N35" s="18"/>
      <c r="O35" s="18"/>
    </row>
    <row r="36" spans="1:15" x14ac:dyDescent="0.25">
      <c r="A36" s="24">
        <f>'ALL VARS'!A36</f>
        <v>43930</v>
      </c>
      <c r="B36" s="16">
        <f>'ALL VARS'!F36</f>
        <v>-6.4023280464834062E-3</v>
      </c>
      <c r="C36" s="16">
        <f>'ALL VARS'!G36</f>
        <v>1.729890853793448E-2</v>
      </c>
      <c r="D36" s="16">
        <f>'ALL VARS'!H36</f>
        <v>2.2888078899761091E-2</v>
      </c>
      <c r="E36" s="16">
        <f>'ALL VARS'!P36</f>
        <v>-0.32851240194092196</v>
      </c>
      <c r="F36" s="16">
        <f>'ALL VARS'!R36</f>
        <v>-2.4663040606053617</v>
      </c>
      <c r="G36" s="25">
        <f>'ALL VARS'!J36</f>
        <v>52.722000499999993</v>
      </c>
      <c r="J36" s="18"/>
      <c r="K36" s="18"/>
      <c r="L36" s="18"/>
      <c r="M36" s="18"/>
      <c r="N36" s="18"/>
      <c r="O36" s="18"/>
    </row>
    <row r="37" spans="1:15" x14ac:dyDescent="0.25">
      <c r="A37" s="24">
        <f>'ALL VARS'!A37</f>
        <v>43929</v>
      </c>
      <c r="B37" s="16">
        <f>'ALL VARS'!F37</f>
        <v>1.729890853793448E-2</v>
      </c>
      <c r="C37" s="16">
        <f>'ALL VARS'!G37</f>
        <v>2.2888078899761091E-2</v>
      </c>
      <c r="D37" s="16">
        <f>'ALL VARS'!H37</f>
        <v>1.5743313464585205E-3</v>
      </c>
      <c r="E37" s="16">
        <f>'ALL VARS'!P37</f>
        <v>8.9164984819944948E-2</v>
      </c>
      <c r="F37" s="16">
        <f>'ALL VARS'!R37</f>
        <v>0.85308525986051242</v>
      </c>
      <c r="G37" s="25">
        <f>'ALL VARS'!J37</f>
        <v>54.782000800000006</v>
      </c>
      <c r="J37" s="18"/>
      <c r="K37" s="18"/>
      <c r="L37" s="18"/>
      <c r="M37" s="18"/>
      <c r="N37" s="18"/>
      <c r="O37" s="18"/>
    </row>
    <row r="38" spans="1:15" x14ac:dyDescent="0.25">
      <c r="A38" s="24">
        <f>'ALL VARS'!A38</f>
        <v>43928</v>
      </c>
      <c r="B38" s="16">
        <f>'ALL VARS'!F38</f>
        <v>2.2888078899761091E-2</v>
      </c>
      <c r="C38" s="16">
        <f>'ALL VARS'!G38</f>
        <v>1.5743313464585205E-3</v>
      </c>
      <c r="D38" s="16">
        <f>'ALL VARS'!H38</f>
        <v>5.0578545857092143E-2</v>
      </c>
      <c r="E38" s="16">
        <f>'ALL VARS'!P38</f>
        <v>-7.3048542439937594E-2</v>
      </c>
      <c r="F38" s="16">
        <f>'ALL VARS'!R38</f>
        <v>-0.80824497588883781</v>
      </c>
      <c r="G38" s="25">
        <f>'ALL VARS'!J38</f>
        <v>56.279000499999995</v>
      </c>
      <c r="J38" s="18"/>
      <c r="K38" s="18"/>
      <c r="L38" s="18"/>
      <c r="M38" s="18"/>
      <c r="N38" s="18"/>
      <c r="O38" s="18"/>
    </row>
    <row r="39" spans="1:15" x14ac:dyDescent="0.25">
      <c r="A39" s="24">
        <f>'ALL VARS'!A39</f>
        <v>43927</v>
      </c>
      <c r="B39" s="16">
        <f>'ALL VARS'!F39</f>
        <v>1.5743313464585205E-3</v>
      </c>
      <c r="C39" s="16">
        <f>'ALL VARS'!G39</f>
        <v>5.0578545857092143E-2</v>
      </c>
      <c r="D39" s="16">
        <f>'ALL VARS'!H39</f>
        <v>-1.2177617796472343E-2</v>
      </c>
      <c r="E39" s="16">
        <f>'ALL VARS'!P39</f>
        <v>-0.50390593466969824</v>
      </c>
      <c r="F39" s="16">
        <f>'ALL VARS'!R39</f>
        <v>-6.3993490262838506</v>
      </c>
      <c r="G39" s="25">
        <f>'ALL VARS'!J39</f>
        <v>57.914000299999998</v>
      </c>
      <c r="J39" s="18"/>
      <c r="K39" s="18"/>
      <c r="L39" s="18"/>
      <c r="M39" s="18"/>
      <c r="N39" s="18"/>
      <c r="O39" s="18"/>
    </row>
    <row r="40" spans="1:15" x14ac:dyDescent="0.25">
      <c r="A40" s="24">
        <f>'ALL VARS'!A40</f>
        <v>43924</v>
      </c>
      <c r="B40" s="16">
        <f>'ALL VARS'!F40</f>
        <v>5.0578545857092143E-2</v>
      </c>
      <c r="C40" s="16">
        <f>'ALL VARS'!G40</f>
        <v>-1.2177617796472343E-2</v>
      </c>
      <c r="D40" s="16">
        <f>'ALL VARS'!H40</f>
        <v>1.7194200807451526E-2</v>
      </c>
      <c r="E40" s="16">
        <f>'ALL VARS'!P40</f>
        <v>-2.5256967595355076E-2</v>
      </c>
      <c r="F40" s="16">
        <f>'ALL VARS'!R40</f>
        <v>-0.36934505059196737</v>
      </c>
      <c r="G40" s="25">
        <f>'ALL VARS'!J40</f>
        <v>59.8380005</v>
      </c>
      <c r="J40" s="18"/>
      <c r="K40" s="18"/>
      <c r="L40" s="18"/>
      <c r="M40" s="18"/>
      <c r="N40" s="18"/>
      <c r="O40" s="18"/>
    </row>
    <row r="41" spans="1:15" x14ac:dyDescent="0.25">
      <c r="A41" s="24">
        <f>'ALL VARS'!A41</f>
        <v>43923</v>
      </c>
      <c r="B41" s="16">
        <f>'ALL VARS'!F41</f>
        <v>-1.2177617796472343E-2</v>
      </c>
      <c r="C41" s="16">
        <f>'ALL VARS'!G41</f>
        <v>1.7194200807451526E-2</v>
      </c>
      <c r="D41" s="16">
        <f>'ALL VARS'!H41</f>
        <v>-3.7551904604495374E-2</v>
      </c>
      <c r="E41" s="16">
        <f>'ALL VARS'!P41</f>
        <v>-0.62750590592622757</v>
      </c>
      <c r="F41" s="16">
        <f>'ALL VARS'!R41</f>
        <v>-10.499737228303321</v>
      </c>
      <c r="G41" s="25">
        <f>'ALL VARS'!J41</f>
        <v>61.947000500000001</v>
      </c>
      <c r="J41" s="18"/>
      <c r="K41" s="18"/>
      <c r="L41" s="18"/>
      <c r="M41" s="18"/>
      <c r="N41" s="18"/>
      <c r="O41" s="18"/>
    </row>
    <row r="42" spans="1:15" x14ac:dyDescent="0.25">
      <c r="A42" s="24">
        <f>'ALL VARS'!A42</f>
        <v>43922</v>
      </c>
      <c r="B42" s="16">
        <f>'ALL VARS'!F42</f>
        <v>1.7194200807451526E-2</v>
      </c>
      <c r="C42" s="16">
        <f>'ALL VARS'!G42</f>
        <v>-3.7551904604495374E-2</v>
      </c>
      <c r="D42" s="16">
        <f>'ALL VARS'!H42</f>
        <v>2.6099613068988042E-2</v>
      </c>
      <c r="E42" s="16">
        <f>'ALL VARS'!P42</f>
        <v>-0.28957627939858605</v>
      </c>
      <c r="F42" s="16">
        <f>'ALL VARS'!R42</f>
        <v>-5.4068209194975934</v>
      </c>
      <c r="G42" s="25">
        <f>'ALL VARS'!J42</f>
        <v>63.886000100000004</v>
      </c>
      <c r="J42" s="18"/>
      <c r="K42" s="18"/>
      <c r="L42" s="18"/>
      <c r="M42" s="18"/>
      <c r="N42" s="18"/>
      <c r="O42" s="18"/>
    </row>
    <row r="43" spans="1:15" x14ac:dyDescent="0.25">
      <c r="A43" s="24">
        <f>'ALL VARS'!A43</f>
        <v>43921</v>
      </c>
      <c r="B43" s="16">
        <f>'ALL VARS'!F43</f>
        <v>-3.7551904604495374E-2</v>
      </c>
      <c r="C43" s="16">
        <f>'ALL VARS'!G43</f>
        <v>2.6099613068988042E-2</v>
      </c>
      <c r="D43" s="16">
        <f>'ALL VARS'!H43</f>
        <v>2.7648809446036929E-2</v>
      </c>
      <c r="E43" s="16">
        <f>'ALL VARS'!P43</f>
        <v>7.8005850501358512E-2</v>
      </c>
      <c r="F43" s="16">
        <f>'ALL VARS'!R43</f>
        <v>1.630984653262523</v>
      </c>
      <c r="G43" s="25">
        <f>'ALL VARS'!J43</f>
        <v>66.123000399999995</v>
      </c>
      <c r="J43" s="18"/>
      <c r="K43" s="18"/>
      <c r="L43" s="18"/>
      <c r="M43" s="18"/>
      <c r="N43" s="18"/>
      <c r="O43" s="18"/>
    </row>
    <row r="44" spans="1:15" x14ac:dyDescent="0.25">
      <c r="A44" s="24">
        <f>'ALL VARS'!A44</f>
        <v>43920</v>
      </c>
      <c r="B44" s="16">
        <f>'ALL VARS'!F44</f>
        <v>2.6099613068988042E-2</v>
      </c>
      <c r="C44" s="16">
        <f>'ALL VARS'!G44</f>
        <v>2.7648809446036929E-2</v>
      </c>
      <c r="D44" s="16">
        <f>'ALL VARS'!H44</f>
        <v>-5.1117326046437227E-2</v>
      </c>
      <c r="E44" s="16">
        <f>'ALL VARS'!P44</f>
        <v>-5.0065291579812765E-2</v>
      </c>
      <c r="F44" s="16">
        <f>'ALL VARS'!R44</f>
        <v>-1.1750069294682388</v>
      </c>
      <c r="G44" s="25">
        <f>'ALL VARS'!J44</f>
        <v>68.684000400000002</v>
      </c>
      <c r="J44" s="18"/>
      <c r="K44" s="18"/>
      <c r="L44" s="18"/>
      <c r="M44" s="18"/>
      <c r="N44" s="18"/>
      <c r="O44" s="18"/>
    </row>
    <row r="45" spans="1:15" x14ac:dyDescent="0.25">
      <c r="A45" s="24">
        <f>'ALL VARS'!A45</f>
        <v>43917</v>
      </c>
      <c r="B45" s="16">
        <f>'ALL VARS'!F45</f>
        <v>2.7648809446036929E-2</v>
      </c>
      <c r="C45" s="16">
        <f>'ALL VARS'!G45</f>
        <v>-5.1117326046437227E-2</v>
      </c>
      <c r="D45" s="16">
        <f>'ALL VARS'!H45</f>
        <v>1.7657086927428463E-2</v>
      </c>
      <c r="E45" s="16">
        <f>'ALL VARS'!P45</f>
        <v>6.451272894628346E-2</v>
      </c>
      <c r="F45" s="16">
        <f>'ALL VARS'!R45</f>
        <v>1.4643416287235798</v>
      </c>
      <c r="G45" s="25">
        <f>'ALL VARS'!J45</f>
        <v>67.91300050000001</v>
      </c>
      <c r="J45" s="18"/>
      <c r="K45" s="18"/>
      <c r="L45" s="18"/>
      <c r="M45" s="18"/>
      <c r="N45" s="18"/>
      <c r="O45" s="18"/>
    </row>
    <row r="46" spans="1:15" x14ac:dyDescent="0.25">
      <c r="A46" s="24">
        <f>'ALL VARS'!A46</f>
        <v>43916</v>
      </c>
      <c r="B46" s="16">
        <f>'ALL VARS'!F46</f>
        <v>-5.1117326046437227E-2</v>
      </c>
      <c r="C46" s="16">
        <f>'ALL VARS'!G46</f>
        <v>1.7657086927428463E-2</v>
      </c>
      <c r="D46" s="16">
        <f>'ALL VARS'!H46</f>
        <v>4.5191001874909938E-2</v>
      </c>
      <c r="E46" s="16">
        <f>'ALL VARS'!P46</f>
        <v>-0.43549962999531999</v>
      </c>
      <c r="F46" s="16">
        <f>'ALL VARS'!R46</f>
        <v>-10.515352651742846</v>
      </c>
      <c r="G46" s="25">
        <f>'ALL VARS'!J46</f>
        <v>69.360000600000006</v>
      </c>
      <c r="J46" s="18"/>
      <c r="K46" s="18"/>
      <c r="L46" s="18"/>
      <c r="M46" s="18"/>
      <c r="N46" s="18"/>
      <c r="O46" s="18"/>
    </row>
    <row r="47" spans="1:15" x14ac:dyDescent="0.25">
      <c r="A47" s="24">
        <f>'ALL VARS'!A47</f>
        <v>43915</v>
      </c>
      <c r="B47" s="16">
        <f>'ALL VARS'!F47</f>
        <v>1.7657086927428463E-2</v>
      </c>
      <c r="C47" s="16">
        <f>'ALL VARS'!G47</f>
        <v>4.5191001874909938E-2</v>
      </c>
      <c r="D47" s="16">
        <f>'ALL VARS'!H47</f>
        <v>0.11957070036068938</v>
      </c>
      <c r="E47" s="16">
        <f>'ALL VARS'!P47</f>
        <v>-0.35762683051871136</v>
      </c>
      <c r="F47" s="16">
        <f>'ALL VARS'!R47</f>
        <v>-8.2756606982962353</v>
      </c>
      <c r="G47" s="25">
        <f>'ALL VARS'!J47</f>
        <v>68.355000700000005</v>
      </c>
      <c r="J47" s="18"/>
      <c r="K47" s="18"/>
      <c r="L47" s="18"/>
      <c r="M47" s="18"/>
      <c r="N47" s="18"/>
      <c r="O47" s="18"/>
    </row>
    <row r="48" spans="1:15" x14ac:dyDescent="0.25">
      <c r="A48" s="24">
        <f>'ALL VARS'!A48</f>
        <v>43914</v>
      </c>
      <c r="B48" s="16">
        <f>'ALL VARS'!F48</f>
        <v>4.5191001874909938E-2</v>
      </c>
      <c r="C48" s="16">
        <f>'ALL VARS'!G48</f>
        <v>0.11957070036068938</v>
      </c>
      <c r="D48" s="16">
        <f>'ALL VARS'!H48</f>
        <v>-5.2591151998453836E-2</v>
      </c>
      <c r="E48" s="16">
        <f>'ALL VARS'!P48</f>
        <v>6.999037426430732E-2</v>
      </c>
      <c r="F48" s="16">
        <f>'ALL VARS'!R48</f>
        <v>1.519035512942005</v>
      </c>
      <c r="G48" s="25">
        <f>'ALL VARS'!J48</f>
        <v>66.918000799999987</v>
      </c>
      <c r="J48" s="18"/>
      <c r="K48" s="18"/>
      <c r="L48" s="18"/>
      <c r="M48" s="18"/>
      <c r="N48" s="18"/>
      <c r="O48" s="18"/>
    </row>
    <row r="49" spans="10:15" x14ac:dyDescent="0.25">
      <c r="J49" s="18"/>
      <c r="K49" s="18"/>
      <c r="L49" s="18"/>
      <c r="M49" s="18"/>
      <c r="N49" s="18"/>
      <c r="O49" s="18"/>
    </row>
    <row r="50" spans="10:15" x14ac:dyDescent="0.25">
      <c r="J50" s="18"/>
      <c r="K50" s="18"/>
      <c r="L50" s="18"/>
      <c r="M50" s="18"/>
      <c r="N50" s="18"/>
      <c r="O50" s="18"/>
    </row>
    <row r="51" spans="10:15" x14ac:dyDescent="0.25">
      <c r="J51" s="18"/>
      <c r="K51" s="18"/>
      <c r="L51" s="18"/>
      <c r="M51" s="18"/>
      <c r="N51" s="18"/>
      <c r="O51" s="18"/>
    </row>
    <row r="52" spans="10:15" x14ac:dyDescent="0.25">
      <c r="J52" s="18"/>
      <c r="K52" s="18"/>
      <c r="L52" s="18"/>
      <c r="M52" s="18"/>
      <c r="N52" s="18"/>
      <c r="O52" s="18"/>
    </row>
    <row r="53" spans="10:15" x14ac:dyDescent="0.25">
      <c r="J53" s="18"/>
      <c r="K53" s="18"/>
      <c r="L53" s="18"/>
      <c r="M53" s="18"/>
      <c r="N53" s="18"/>
      <c r="O53" s="18"/>
    </row>
    <row r="54" spans="10:15" x14ac:dyDescent="0.25">
      <c r="J54" s="18"/>
      <c r="K54" s="18"/>
      <c r="L54" s="18"/>
      <c r="M54" s="18"/>
      <c r="N54" s="18"/>
      <c r="O54" s="18"/>
    </row>
    <row r="55" spans="10:15" x14ac:dyDescent="0.25">
      <c r="J55" s="18"/>
      <c r="K55" s="18"/>
      <c r="L55" s="18"/>
      <c r="M55" s="18"/>
      <c r="N55" s="18"/>
      <c r="O55" s="18"/>
    </row>
    <row r="56" spans="10:15" x14ac:dyDescent="0.25">
      <c r="J56" s="18"/>
      <c r="K56" s="18"/>
      <c r="L56" s="18"/>
      <c r="M56" s="18"/>
      <c r="N56" s="18"/>
      <c r="O56" s="18"/>
    </row>
    <row r="57" spans="10:15" x14ac:dyDescent="0.25">
      <c r="J57" s="18"/>
      <c r="K57" s="18"/>
      <c r="L57" s="18"/>
      <c r="M57" s="18"/>
      <c r="N57" s="18"/>
      <c r="O57" s="18"/>
    </row>
    <row r="58" spans="10:15" x14ac:dyDescent="0.25">
      <c r="J58" s="18"/>
      <c r="K58" s="18"/>
      <c r="L58" s="18"/>
      <c r="M58" s="18"/>
      <c r="N58" s="18"/>
      <c r="O58" s="18"/>
    </row>
    <row r="59" spans="10:15" x14ac:dyDescent="0.25">
      <c r="J59" s="18"/>
      <c r="K59" s="18"/>
      <c r="L59" s="18"/>
      <c r="M59" s="18"/>
      <c r="N59" s="18"/>
      <c r="O59" s="18"/>
    </row>
    <row r="60" spans="10:15" x14ac:dyDescent="0.25">
      <c r="J60" s="18"/>
      <c r="K60" s="18"/>
      <c r="L60" s="18"/>
      <c r="M60" s="18"/>
      <c r="N60" s="18"/>
      <c r="O60" s="18"/>
    </row>
    <row r="61" spans="10:15" x14ac:dyDescent="0.25">
      <c r="J61" s="18"/>
      <c r="K61" s="18"/>
      <c r="L61" s="18"/>
      <c r="M61" s="18"/>
      <c r="N61" s="18"/>
      <c r="O61" s="18"/>
    </row>
    <row r="62" spans="10:15" x14ac:dyDescent="0.25">
      <c r="J62" s="18"/>
      <c r="K62" s="18"/>
      <c r="L62" s="18"/>
      <c r="M62" s="18"/>
      <c r="N62" s="18"/>
      <c r="O62" s="18"/>
    </row>
    <row r="63" spans="10:15" x14ac:dyDescent="0.25">
      <c r="J63" s="18"/>
      <c r="K63" s="18"/>
      <c r="L63" s="18"/>
      <c r="M63" s="18"/>
      <c r="N63" s="18"/>
      <c r="O63" s="18"/>
    </row>
    <row r="64" spans="10:15" x14ac:dyDescent="0.25">
      <c r="J64" s="18"/>
      <c r="K64" s="18"/>
      <c r="L64" s="18"/>
      <c r="M64" s="18"/>
      <c r="N64" s="18"/>
      <c r="O64" s="18"/>
    </row>
    <row r="65" spans="10:15" x14ac:dyDescent="0.25">
      <c r="J65" s="18"/>
      <c r="K65" s="18"/>
      <c r="L65" s="18"/>
      <c r="M65" s="18"/>
      <c r="N65" s="18"/>
      <c r="O65" s="18"/>
    </row>
    <row r="66" spans="10:15" x14ac:dyDescent="0.25">
      <c r="J66" s="18"/>
      <c r="K66" s="18"/>
      <c r="L66" s="18"/>
      <c r="M66" s="18"/>
      <c r="N66" s="18"/>
      <c r="O66" s="18"/>
    </row>
    <row r="67" spans="10:15" x14ac:dyDescent="0.25">
      <c r="J67" s="18"/>
      <c r="K67" s="18"/>
      <c r="L67" s="18"/>
      <c r="M67" s="18"/>
      <c r="N67" s="18"/>
      <c r="O67" s="18"/>
    </row>
    <row r="68" spans="10:15" x14ac:dyDescent="0.25">
      <c r="J68" s="18"/>
      <c r="K68" s="18"/>
      <c r="L68" s="18"/>
      <c r="M68" s="18"/>
      <c r="N68" s="18"/>
      <c r="O68" s="18"/>
    </row>
    <row r="69" spans="10:15" x14ac:dyDescent="0.25">
      <c r="J69" s="18"/>
      <c r="K69" s="18"/>
      <c r="L69" s="18"/>
      <c r="M69" s="18"/>
      <c r="N69" s="18"/>
      <c r="O69" s="18"/>
    </row>
    <row r="70" spans="10:15" x14ac:dyDescent="0.25">
      <c r="J70" s="18"/>
      <c r="K70" s="18"/>
      <c r="L70" s="18"/>
      <c r="M70" s="18"/>
      <c r="N70" s="18"/>
      <c r="O70" s="18"/>
    </row>
    <row r="71" spans="10:15" x14ac:dyDescent="0.25">
      <c r="J71" s="18"/>
      <c r="K71" s="18"/>
      <c r="L71" s="18"/>
      <c r="M71" s="18"/>
      <c r="N71" s="18"/>
      <c r="O71" s="18"/>
    </row>
    <row r="72" spans="10:15" x14ac:dyDescent="0.25">
      <c r="J72" s="18"/>
      <c r="K72" s="18"/>
      <c r="L72" s="18"/>
      <c r="M72" s="18"/>
      <c r="N72" s="18"/>
      <c r="O72" s="18"/>
    </row>
    <row r="73" spans="10:15" x14ac:dyDescent="0.25">
      <c r="J73" s="18"/>
      <c r="K73" s="18"/>
      <c r="L73" s="18"/>
      <c r="M73" s="18"/>
      <c r="N73" s="18"/>
      <c r="O73" s="18"/>
    </row>
    <row r="74" spans="10:15" x14ac:dyDescent="0.25">
      <c r="J74" s="18"/>
      <c r="K74" s="18"/>
      <c r="L74" s="18"/>
      <c r="M74" s="18"/>
      <c r="N74" s="18"/>
      <c r="O74" s="18"/>
    </row>
    <row r="75" spans="10:15" x14ac:dyDescent="0.25">
      <c r="J75" s="18"/>
      <c r="K75" s="18"/>
      <c r="L75" s="18"/>
      <c r="M75" s="18"/>
      <c r="N75" s="18"/>
      <c r="O75" s="18"/>
    </row>
    <row r="76" spans="10:15" x14ac:dyDescent="0.25">
      <c r="J76" s="18"/>
      <c r="K76" s="18"/>
      <c r="L76" s="18"/>
      <c r="M76" s="18"/>
      <c r="N76" s="18"/>
      <c r="O76" s="18"/>
    </row>
    <row r="77" spans="10:15" x14ac:dyDescent="0.25">
      <c r="J77" s="18"/>
      <c r="K77" s="18"/>
      <c r="L77" s="18"/>
      <c r="M77" s="18"/>
      <c r="N77" s="18"/>
      <c r="O77" s="18"/>
    </row>
    <row r="78" spans="10:15" x14ac:dyDescent="0.25">
      <c r="J78" s="18"/>
      <c r="K78" s="18"/>
      <c r="L78" s="18"/>
      <c r="M78" s="18"/>
      <c r="N78" s="18"/>
      <c r="O78" s="18"/>
    </row>
    <row r="79" spans="10:15" x14ac:dyDescent="0.25">
      <c r="J79" s="18"/>
      <c r="K79" s="18"/>
      <c r="L79" s="18"/>
      <c r="M79" s="18"/>
      <c r="N79" s="18"/>
      <c r="O79" s="18"/>
    </row>
    <row r="80" spans="10:15" x14ac:dyDescent="0.25">
      <c r="J80" s="18"/>
      <c r="K80" s="18"/>
      <c r="L80" s="18"/>
      <c r="M80" s="18"/>
      <c r="N80" s="18"/>
      <c r="O80" s="18"/>
    </row>
    <row r="81" spans="10:15" x14ac:dyDescent="0.25">
      <c r="J81" s="18"/>
      <c r="K81" s="18"/>
      <c r="L81" s="18"/>
      <c r="M81" s="18"/>
      <c r="N81" s="18"/>
      <c r="O81" s="18"/>
    </row>
    <row r="82" spans="10:15" x14ac:dyDescent="0.25">
      <c r="J82" s="18"/>
      <c r="K82" s="18"/>
      <c r="L82" s="18"/>
      <c r="M82" s="18"/>
      <c r="N82" s="18"/>
      <c r="O82" s="18"/>
    </row>
    <row r="83" spans="10:15" x14ac:dyDescent="0.25">
      <c r="J83" s="18"/>
      <c r="K83" s="18"/>
      <c r="L83" s="18"/>
      <c r="M83" s="18"/>
      <c r="N83" s="18"/>
      <c r="O83" s="18"/>
    </row>
    <row r="84" spans="10:15" x14ac:dyDescent="0.25">
      <c r="J84" s="18"/>
      <c r="K84" s="18"/>
      <c r="L84" s="18"/>
      <c r="M84" s="18"/>
      <c r="N84" s="18"/>
      <c r="O84" s="18"/>
    </row>
    <row r="85" spans="10:15" x14ac:dyDescent="0.25">
      <c r="J85" s="18"/>
      <c r="K85" s="18"/>
      <c r="L85" s="18"/>
      <c r="M85" s="18"/>
      <c r="N85" s="18"/>
      <c r="O85" s="18"/>
    </row>
    <row r="86" spans="10:15" x14ac:dyDescent="0.25">
      <c r="J86" s="18"/>
      <c r="K86" s="18"/>
      <c r="L86" s="18"/>
      <c r="M86" s="18"/>
      <c r="N86" s="18"/>
      <c r="O86" s="18"/>
    </row>
    <row r="87" spans="10:15" x14ac:dyDescent="0.25">
      <c r="J87" s="18"/>
      <c r="K87" s="18"/>
      <c r="L87" s="18"/>
      <c r="M87" s="18"/>
      <c r="N87" s="18"/>
      <c r="O87" s="18"/>
    </row>
    <row r="88" spans="10:15" x14ac:dyDescent="0.25">
      <c r="J88" s="18"/>
      <c r="K88" s="18"/>
      <c r="L88" s="18"/>
      <c r="M88" s="18"/>
      <c r="N88" s="18"/>
      <c r="O88" s="18"/>
    </row>
    <row r="89" spans="10:15" x14ac:dyDescent="0.25">
      <c r="J89" s="18"/>
      <c r="K89" s="18"/>
      <c r="L89" s="18"/>
      <c r="M89" s="18"/>
      <c r="N89" s="18"/>
      <c r="O89" s="18"/>
    </row>
    <row r="90" spans="10:15" x14ac:dyDescent="0.25">
      <c r="J90" s="18"/>
      <c r="K90" s="18"/>
      <c r="L90" s="18"/>
      <c r="M90" s="18"/>
      <c r="N90" s="18"/>
      <c r="O90" s="18"/>
    </row>
    <row r="91" spans="10:15" x14ac:dyDescent="0.25">
      <c r="J91" s="18"/>
      <c r="K91" s="18"/>
      <c r="L91" s="18"/>
      <c r="M91" s="18"/>
      <c r="N91" s="18"/>
      <c r="O91" s="18"/>
    </row>
    <row r="92" spans="10:15" x14ac:dyDescent="0.25">
      <c r="J92" s="18"/>
      <c r="K92" s="18"/>
      <c r="L92" s="18"/>
      <c r="M92" s="18"/>
      <c r="N92" s="18"/>
      <c r="O92" s="18"/>
    </row>
    <row r="93" spans="10:15" x14ac:dyDescent="0.25">
      <c r="J93" s="18"/>
      <c r="K93" s="18"/>
      <c r="L93" s="18"/>
      <c r="M93" s="18"/>
      <c r="N93" s="18"/>
      <c r="O93" s="18"/>
    </row>
    <row r="94" spans="10:15" x14ac:dyDescent="0.25">
      <c r="J94" s="18"/>
      <c r="K94" s="18"/>
      <c r="L94" s="18"/>
      <c r="M94" s="18"/>
      <c r="N94" s="18"/>
      <c r="O94" s="18"/>
    </row>
    <row r="95" spans="10:15" x14ac:dyDescent="0.25">
      <c r="J95" s="18"/>
      <c r="K95" s="18"/>
      <c r="L95" s="18"/>
      <c r="M95" s="18"/>
      <c r="N95" s="18"/>
      <c r="O95" s="18"/>
    </row>
    <row r="96" spans="10:15" x14ac:dyDescent="0.25">
      <c r="J96" s="18"/>
      <c r="K96" s="18"/>
      <c r="L96" s="18"/>
      <c r="M96" s="18"/>
      <c r="N96" s="18"/>
      <c r="O96" s="18"/>
    </row>
    <row r="97" spans="10:15" x14ac:dyDescent="0.25">
      <c r="J97" s="18"/>
      <c r="K97" s="18"/>
      <c r="L97" s="18"/>
      <c r="M97" s="18"/>
      <c r="N97" s="18"/>
      <c r="O97" s="18"/>
    </row>
    <row r="98" spans="10:15" x14ac:dyDescent="0.25">
      <c r="J98" s="18"/>
      <c r="K98" s="18"/>
      <c r="L98" s="18"/>
      <c r="M98" s="18"/>
      <c r="N98" s="18"/>
      <c r="O98" s="18"/>
    </row>
    <row r="99" spans="10:15" x14ac:dyDescent="0.25">
      <c r="J99" s="18"/>
      <c r="K99" s="18"/>
      <c r="L99" s="18"/>
      <c r="M99" s="18"/>
      <c r="N99" s="18"/>
      <c r="O99" s="18"/>
    </row>
    <row r="100" spans="10:15" x14ac:dyDescent="0.25">
      <c r="J100" s="18"/>
      <c r="K100" s="18"/>
      <c r="L100" s="18"/>
      <c r="M100" s="18"/>
      <c r="N100" s="18"/>
      <c r="O100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19E-DAFD-481A-9BAA-2F1E4043E0CB}">
  <sheetPr codeName="Feuil5"/>
  <dimension ref="A1:Q100"/>
  <sheetViews>
    <sheetView zoomScaleNormal="100"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6.85546875" style="16" bestFit="1" customWidth="1"/>
    <col min="6" max="6" width="45.140625" style="16" bestFit="1" customWidth="1"/>
    <col min="7" max="7" width="8.7109375" style="25" bestFit="1" customWidth="1"/>
    <col min="8" max="8" width="8.7109375" style="25" customWidth="1"/>
    <col min="9" max="9" width="46" style="18" bestFit="1" customWidth="1"/>
    <col min="10" max="10" width="23.85546875" style="16" customWidth="1"/>
    <col min="11" max="11" width="17.42578125" style="16" bestFit="1" customWidth="1"/>
    <col min="12" max="12" width="19.140625" style="16" bestFit="1" customWidth="1"/>
    <col min="13" max="13" width="12.28515625" style="16" bestFit="1" customWidth="1"/>
    <col min="14" max="15" width="21" style="16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21" t="str">
        <f>'ALL VARS'!F1</f>
        <v>Daily Return-Adj_t_+1</v>
      </c>
      <c r="C1" s="21" t="str">
        <f>'ALL VARS'!G1</f>
        <v>Daily Return-Adj_t</v>
      </c>
      <c r="D1" s="21" t="str">
        <f>'ALL VARS'!H1</f>
        <v>Daily Return-Adj_t_minus_1</v>
      </c>
      <c r="E1" s="21" t="str">
        <f>'ALL VARS'!T1</f>
        <v>Sent_t_+_1_k, k=0</v>
      </c>
      <c r="F1" s="21" t="str">
        <f>'ALL VARS'!V1</f>
        <v>Sent_t_+_1_k, k=0 * (VIX_10_t  minus VIX_bar_10)</v>
      </c>
      <c r="G1" s="22" t="str">
        <f>'ALL VARS'!J1</f>
        <v>VIX_10_t</v>
      </c>
      <c r="H1" s="23"/>
    </row>
    <row r="2" spans="1:14" x14ac:dyDescent="0.25">
      <c r="A2" s="24">
        <f>'ALL VARS'!A2</f>
        <v>43980</v>
      </c>
      <c r="B2" s="16">
        <f>'ALL VARS'!F2</f>
        <v>2.3093919546915233E-2</v>
      </c>
      <c r="C2" s="16">
        <f>'ALL VARS'!G2</f>
        <v>-4.5798180601685388E-3</v>
      </c>
      <c r="D2" s="16">
        <f>'ALL VARS'!H2</f>
        <v>-6.0894480094293875E-4</v>
      </c>
      <c r="E2" s="16">
        <f>'ALL VARS'!T2</f>
        <v>-1.6831778097426366E-3</v>
      </c>
      <c r="F2" s="16">
        <f>'ALL VARS'!V2</f>
        <v>2.6579917218139071E-2</v>
      </c>
      <c r="G2" s="25">
        <f>'ALL VARS'!J2</f>
        <v>29.423000200000001</v>
      </c>
      <c r="I2" s="18" t="s">
        <v>39</v>
      </c>
    </row>
    <row r="3" spans="1:14" ht="15.75" thickBot="1" x14ac:dyDescent="0.3">
      <c r="A3" s="24">
        <f>'ALL VARS'!A3</f>
        <v>43979</v>
      </c>
      <c r="B3" s="16">
        <f>'ALL VARS'!F3</f>
        <v>-4.5798180601685388E-3</v>
      </c>
      <c r="C3" s="16">
        <f>'ALL VARS'!G3</f>
        <v>-6.0894480094293875E-4</v>
      </c>
      <c r="D3" s="16">
        <f>'ALL VARS'!H3</f>
        <v>8.1792696244475296E-3</v>
      </c>
      <c r="E3" s="16">
        <f>'ALL VARS'!T3</f>
        <v>-4.0665114527942831E-2</v>
      </c>
      <c r="F3" s="16">
        <f>'ALL VARS'!V3</f>
        <v>0.6149585569390722</v>
      </c>
      <c r="G3" s="25">
        <f>'ALL VARS'!J3</f>
        <v>30.092000099999996</v>
      </c>
    </row>
    <row r="4" spans="1:14" x14ac:dyDescent="0.25">
      <c r="A4" s="24">
        <f>'ALL VARS'!A4</f>
        <v>43978</v>
      </c>
      <c r="B4" s="16">
        <f>'ALL VARS'!F4</f>
        <v>-6.0894480094293875E-4</v>
      </c>
      <c r="C4" s="16">
        <f>'ALL VARS'!G4</f>
        <v>8.1792696244475296E-3</v>
      </c>
      <c r="D4" s="16">
        <f>'ALL VARS'!H4</f>
        <v>4.8223739412853626E-3</v>
      </c>
      <c r="E4" s="16">
        <f>'ALL VARS'!T4</f>
        <v>1.3925055326792781E-4</v>
      </c>
      <c r="F4" s="16">
        <f>'ALL VARS'!V4</f>
        <v>-2.0303439332073356E-3</v>
      </c>
      <c r="G4" s="25">
        <f>'ALL VARS'!J4</f>
        <v>30.634000099999998</v>
      </c>
      <c r="I4" s="26" t="s">
        <v>40</v>
      </c>
      <c r="J4" s="27"/>
    </row>
    <row r="5" spans="1:14" x14ac:dyDescent="0.25">
      <c r="A5" s="24">
        <f>'ALL VARS'!A5</f>
        <v>43977</v>
      </c>
      <c r="B5" s="16">
        <f>'ALL VARS'!F5</f>
        <v>8.1792696244475296E-3</v>
      </c>
      <c r="C5" s="16">
        <f>'ALL VARS'!G5</f>
        <v>4.8223739412853626E-3</v>
      </c>
      <c r="D5" s="16">
        <f>'ALL VARS'!H5</f>
        <v>1.0849210535487055E-2</v>
      </c>
      <c r="E5" s="16">
        <f>'ALL VARS'!T5</f>
        <v>-3.5602666505929132E-3</v>
      </c>
      <c r="F5" s="16">
        <f>'ALL VARS'!V5</f>
        <v>5.2067151367937811E-2</v>
      </c>
      <c r="G5" s="25">
        <f>'ALL VARS'!J5</f>
        <v>30.590000099999997</v>
      </c>
      <c r="I5" s="18" t="s">
        <v>41</v>
      </c>
      <c r="J5" s="16">
        <v>0.36353548242695521</v>
      </c>
    </row>
    <row r="6" spans="1:14" x14ac:dyDescent="0.25">
      <c r="A6" s="24">
        <f>'ALL VARS'!A6</f>
        <v>43976</v>
      </c>
      <c r="B6" s="16">
        <f>'ALL VARS'!F6</f>
        <v>4.8223739412853626E-3</v>
      </c>
      <c r="C6" s="16">
        <f>'ALL VARS'!G6</f>
        <v>1.0849210535487055E-2</v>
      </c>
      <c r="D6" s="16">
        <f>'ALL VARS'!H6</f>
        <v>1.9280759189597432E-3</v>
      </c>
      <c r="E6" s="16">
        <f>'ALL VARS'!T6</f>
        <v>2.2716123014224466E-3</v>
      </c>
      <c r="F6" s="16">
        <f>'ALL VARS'!V6</f>
        <v>-3.3241658862097075E-2</v>
      </c>
      <c r="G6" s="25">
        <f>'ALL VARS'!J6</f>
        <v>30.581000099999997</v>
      </c>
      <c r="I6" s="18" t="s">
        <v>42</v>
      </c>
      <c r="J6" s="16">
        <v>0.13215804698339906</v>
      </c>
    </row>
    <row r="7" spans="1:14" x14ac:dyDescent="0.25">
      <c r="A7" s="24">
        <f>'ALL VARS'!A7</f>
        <v>43973</v>
      </c>
      <c r="B7" s="16">
        <f>'ALL VARS'!F7</f>
        <v>1.0849210535487055E-2</v>
      </c>
      <c r="C7" s="16">
        <f>'ALL VARS'!G7</f>
        <v>1.9280759189597432E-3</v>
      </c>
      <c r="D7" s="16">
        <f>'ALL VARS'!H7</f>
        <v>-7.5144837132717695E-3</v>
      </c>
      <c r="E7" s="16">
        <f>'ALL VARS'!T7</f>
        <v>-1.1965291788171723E-2</v>
      </c>
      <c r="F7" s="16">
        <f>'ALL VARS'!V7</f>
        <v>0.17520189166733499</v>
      </c>
      <c r="G7" s="25">
        <f>'ALL VARS'!J7</f>
        <v>30.572000099999997</v>
      </c>
      <c r="I7" s="18" t="s">
        <v>42</v>
      </c>
      <c r="J7" s="16">
        <v>2.5696908600865639E-2</v>
      </c>
    </row>
    <row r="8" spans="1:14" x14ac:dyDescent="0.25">
      <c r="A8" s="24">
        <f>'ALL VARS'!A8</f>
        <v>43972</v>
      </c>
      <c r="B8" s="16">
        <f>'ALL VARS'!F8</f>
        <v>1.9280759189597432E-3</v>
      </c>
      <c r="C8" s="16">
        <f>'ALL VARS'!G8</f>
        <v>-7.5144837132717695E-3</v>
      </c>
      <c r="D8" s="16">
        <f>'ALL VARS'!H8</f>
        <v>7.5307923146686901E-3</v>
      </c>
      <c r="E8" s="16">
        <f>'ALL VARS'!T8</f>
        <v>7.422496670563565E-4</v>
      </c>
      <c r="F8" s="16">
        <f>'ALL VARS'!V8</f>
        <v>-1.0726627679904491E-2</v>
      </c>
      <c r="G8" s="25">
        <f>'ALL VARS'!J8</f>
        <v>30.763000099999999</v>
      </c>
      <c r="I8" s="18" t="s">
        <v>43</v>
      </c>
      <c r="J8" s="16">
        <v>2.0176026386869425E-2</v>
      </c>
    </row>
    <row r="9" spans="1:14" ht="15.75" thickBot="1" x14ac:dyDescent="0.3">
      <c r="A9" s="24">
        <f>'ALL VARS'!A9</f>
        <v>43971</v>
      </c>
      <c r="B9" s="16">
        <f>'ALL VARS'!F9</f>
        <v>-7.5144837132717695E-3</v>
      </c>
      <c r="C9" s="16">
        <f>'ALL VARS'!G9</f>
        <v>7.5307923146686901E-3</v>
      </c>
      <c r="D9" s="16">
        <f>'ALL VARS'!H9</f>
        <v>1.6845500851389788E-2</v>
      </c>
      <c r="E9" s="16">
        <f>'ALL VARS'!T9</f>
        <v>1.5144547309495519E-3</v>
      </c>
      <c r="F9" s="16">
        <f>'ALL VARS'!V9</f>
        <v>-2.0957795445593418E-2</v>
      </c>
      <c r="G9" s="25">
        <f>'ALL VARS'!J9</f>
        <v>31.375999999999998</v>
      </c>
      <c r="I9" s="28" t="s">
        <v>44</v>
      </c>
      <c r="J9" s="29">
        <v>47</v>
      </c>
    </row>
    <row r="10" spans="1:14" x14ac:dyDescent="0.25">
      <c r="A10" s="24">
        <f>'ALL VARS'!A10</f>
        <v>43970</v>
      </c>
      <c r="B10" s="16">
        <f>'ALL VARS'!F10</f>
        <v>7.5307923146686901E-3</v>
      </c>
      <c r="C10" s="16">
        <f>'ALL VARS'!G10</f>
        <v>1.6845500851389788E-2</v>
      </c>
      <c r="D10" s="16">
        <f>'ALL VARS'!H10</f>
        <v>8.9044014875318926E-3</v>
      </c>
      <c r="E10" s="16">
        <f>'ALL VARS'!T10</f>
        <v>8.7608269336477695E-3</v>
      </c>
      <c r="F10" s="16">
        <f>'ALL VARS'!V10</f>
        <v>-0.1185384477961223</v>
      </c>
      <c r="G10" s="25">
        <f>'ALL VARS'!J10</f>
        <v>31.683999999999997</v>
      </c>
    </row>
    <row r="11" spans="1:14" ht="15.75" thickBot="1" x14ac:dyDescent="0.3">
      <c r="A11" s="24">
        <f>'ALL VARS'!A11</f>
        <v>43966</v>
      </c>
      <c r="B11" s="16">
        <f>'ALL VARS'!F11</f>
        <v>1.6845500851389788E-2</v>
      </c>
      <c r="C11" s="16">
        <f>'ALL VARS'!G11</f>
        <v>8.9044014875318926E-3</v>
      </c>
      <c r="D11" s="16">
        <f>'ALL VARS'!H11</f>
        <v>4.4817694802564231E-4</v>
      </c>
      <c r="E11" s="16">
        <f>'ALL VARS'!T11</f>
        <v>8.3449585057469022E-3</v>
      </c>
      <c r="F11" s="16">
        <f>'ALL VARS'!V11</f>
        <v>-0.10292261928338624</v>
      </c>
      <c r="G11" s="25">
        <f>'ALL VARS'!J11</f>
        <v>32.881000200000003</v>
      </c>
      <c r="I11" s="18" t="s">
        <v>45</v>
      </c>
    </row>
    <row r="12" spans="1:14" x14ac:dyDescent="0.25">
      <c r="A12" s="24">
        <f>'ALL VARS'!A12</f>
        <v>43965</v>
      </c>
      <c r="B12" s="16">
        <f>'ALL VARS'!F12</f>
        <v>8.9044014875318926E-3</v>
      </c>
      <c r="C12" s="16">
        <f>'ALL VARS'!G12</f>
        <v>4.4817694802564231E-4</v>
      </c>
      <c r="D12" s="16">
        <f>'ALL VARS'!H12</f>
        <v>-2.5401176991557837E-2</v>
      </c>
      <c r="E12" s="16">
        <f>'ALL VARS'!T12</f>
        <v>-1.5775973530628956E-2</v>
      </c>
      <c r="F12" s="16">
        <f>'ALL VARS'!V12</f>
        <v>0.19214360708868181</v>
      </c>
      <c r="G12" s="25">
        <f>'ALL VARS'!J12</f>
        <v>33.0350003</v>
      </c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A13" s="24">
        <f>'ALL VARS'!A13</f>
        <v>43964</v>
      </c>
      <c r="B13" s="16">
        <f>'ALL VARS'!F13</f>
        <v>4.4817694802564231E-4</v>
      </c>
      <c r="C13" s="16">
        <f>'ALL VARS'!G13</f>
        <v>-2.5401176991557837E-2</v>
      </c>
      <c r="D13" s="16">
        <f>'ALL VARS'!H13</f>
        <v>-1.4698871572495898E-2</v>
      </c>
      <c r="E13" s="16">
        <f>'ALL VARS'!T13</f>
        <v>5.2182364343557929E-3</v>
      </c>
      <c r="F13" s="16">
        <f>'ALL VARS'!V13</f>
        <v>-6.5668941358222099E-2</v>
      </c>
      <c r="G13" s="25">
        <f>'ALL VARS'!J13</f>
        <v>32.630000399999993</v>
      </c>
      <c r="I13" s="18" t="s">
        <v>46</v>
      </c>
      <c r="J13" s="16">
        <v>5</v>
      </c>
      <c r="K13" s="16">
        <v>2.6035956425920215E-3</v>
      </c>
      <c r="L13" s="16">
        <v>5.2071912851840425E-4</v>
      </c>
      <c r="M13" s="16">
        <v>1.2791817574637538</v>
      </c>
      <c r="N13" s="16">
        <v>0.29139467286207027</v>
      </c>
    </row>
    <row r="14" spans="1:14" x14ac:dyDescent="0.25">
      <c r="A14" s="24">
        <f>'ALL VARS'!A14</f>
        <v>43963</v>
      </c>
      <c r="B14" s="16">
        <f>'ALL VARS'!F14</f>
        <v>-2.5401176991557837E-2</v>
      </c>
      <c r="C14" s="16">
        <f>'ALL VARS'!G14</f>
        <v>-1.4698871572495898E-2</v>
      </c>
      <c r="D14" s="16">
        <f>'ALL VARS'!H14</f>
        <v>9.1270288220883112E-3</v>
      </c>
      <c r="E14" s="16">
        <f>'ALL VARS'!T14</f>
        <v>2.135158897815472E-3</v>
      </c>
      <c r="F14" s="16">
        <f>'ALL VARS'!V14</f>
        <v>-2.6756762333824086E-2</v>
      </c>
      <c r="G14" s="25">
        <f>'ALL VARS'!J14</f>
        <v>32.683000299999996</v>
      </c>
      <c r="I14" s="18" t="s">
        <v>47</v>
      </c>
      <c r="J14" s="16">
        <v>42</v>
      </c>
      <c r="K14" s="16">
        <v>1.7097025712073353E-2</v>
      </c>
      <c r="L14" s="16">
        <v>4.0707204076365127E-4</v>
      </c>
    </row>
    <row r="15" spans="1:14" ht="15.75" thickBot="1" x14ac:dyDescent="0.3">
      <c r="A15" s="24">
        <f>'ALL VARS'!A15</f>
        <v>43962</v>
      </c>
      <c r="B15" s="16">
        <f>'ALL VARS'!F15</f>
        <v>-1.4698871572495898E-2</v>
      </c>
      <c r="C15" s="16">
        <f>'ALL VARS'!G15</f>
        <v>9.1270288220883112E-3</v>
      </c>
      <c r="D15" s="16">
        <f>'ALL VARS'!H15</f>
        <v>8.9592894728179693E-3</v>
      </c>
      <c r="E15" s="16">
        <f>'ALL VARS'!T15</f>
        <v>-2.6453926531445223E-3</v>
      </c>
      <c r="F15" s="16">
        <f>'ALL VARS'!V15</f>
        <v>3.1637596222786973E-2</v>
      </c>
      <c r="G15" s="25">
        <f>'ALL VARS'!J15</f>
        <v>33.2550004</v>
      </c>
      <c r="I15" s="28" t="s">
        <v>48</v>
      </c>
      <c r="J15" s="29">
        <v>47</v>
      </c>
      <c r="K15" s="29">
        <v>1.9700621354665375E-2</v>
      </c>
      <c r="L15" s="29"/>
      <c r="M15" s="29"/>
      <c r="N15" s="29"/>
    </row>
    <row r="16" spans="1:14" ht="15.75" thickBot="1" x14ac:dyDescent="0.3">
      <c r="A16" s="24">
        <f>'ALL VARS'!A16</f>
        <v>43959</v>
      </c>
      <c r="B16" s="16">
        <f>'ALL VARS'!F16</f>
        <v>9.1270288220883112E-3</v>
      </c>
      <c r="C16" s="16">
        <f>'ALL VARS'!G16</f>
        <v>8.9592894728179693E-3</v>
      </c>
      <c r="D16" s="16">
        <f>'ALL VARS'!H16</f>
        <v>2.0228309928424119E-4</v>
      </c>
      <c r="E16" s="16">
        <f>'ALL VARS'!T16</f>
        <v>1.5914759434505219E-3</v>
      </c>
      <c r="F16" s="16">
        <f>'ALL VARS'!V16</f>
        <v>-1.7768046879682919E-2</v>
      </c>
      <c r="G16" s="25">
        <f>'ALL VARS'!J16</f>
        <v>34.050000400000002</v>
      </c>
    </row>
    <row r="17" spans="1:17" ht="45" x14ac:dyDescent="0.25">
      <c r="A17" s="24">
        <f>'ALL VARS'!A17</f>
        <v>43958</v>
      </c>
      <c r="B17" s="16">
        <f>'ALL VARS'!F17</f>
        <v>8.9592894728179693E-3</v>
      </c>
      <c r="C17" s="16">
        <f>'ALL VARS'!G17</f>
        <v>2.0228309928424119E-4</v>
      </c>
      <c r="D17" s="16">
        <f>'ALL VARS'!H17</f>
        <v>1.2895694256002256E-3</v>
      </c>
      <c r="E17" s="16">
        <f>'ALL VARS'!T17</f>
        <v>4.0751832722028182E-2</v>
      </c>
      <c r="F17" s="16">
        <f>'ALL VARS'!V17</f>
        <v>-0.41446686573710334</v>
      </c>
      <c r="G17" s="25">
        <f>'ALL VARS'!J17</f>
        <v>35.044000400000002</v>
      </c>
      <c r="I17" s="30"/>
      <c r="J17" s="30" t="s">
        <v>55</v>
      </c>
      <c r="K17" s="30" t="s">
        <v>43</v>
      </c>
      <c r="L17" s="30" t="s">
        <v>56</v>
      </c>
      <c r="M17" s="30" t="s">
        <v>57</v>
      </c>
      <c r="N17" s="30" t="s">
        <v>58</v>
      </c>
      <c r="O17" s="30" t="s">
        <v>59</v>
      </c>
      <c r="P17" s="27" t="s">
        <v>60</v>
      </c>
      <c r="Q17" s="27" t="s">
        <v>61</v>
      </c>
    </row>
    <row r="18" spans="1:17" x14ac:dyDescent="0.25">
      <c r="A18" s="24">
        <f>'ALL VARS'!A18</f>
        <v>43957</v>
      </c>
      <c r="B18" s="16">
        <f>'ALL VARS'!F18</f>
        <v>2.0228309928424119E-4</v>
      </c>
      <c r="C18" s="16">
        <f>'ALL VARS'!G18</f>
        <v>1.2895694256002256E-3</v>
      </c>
      <c r="D18" s="16">
        <f>'ALL VARS'!H18</f>
        <v>4.5167588335029351E-3</v>
      </c>
      <c r="E18" s="16">
        <f>'ALL VARS'!T18</f>
        <v>-3.5818737551425602E-3</v>
      </c>
      <c r="F18" s="16">
        <f>'ALL VARS'!V18</f>
        <v>3.3614124751334094E-2</v>
      </c>
      <c r="G18" s="25">
        <f>'ALL VARS'!J18</f>
        <v>35.830000499999997</v>
      </c>
      <c r="I18" s="18" t="s">
        <v>49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8" t="e">
        <v>#N/A</v>
      </c>
      <c r="Q18" s="18" t="e">
        <v>#N/A</v>
      </c>
    </row>
    <row r="19" spans="1:17" x14ac:dyDescent="0.25">
      <c r="A19" s="24">
        <f>'ALL VARS'!A19</f>
        <v>43956</v>
      </c>
      <c r="B19" s="16">
        <f>'ALL VARS'!F19</f>
        <v>1.2895694256002256E-3</v>
      </c>
      <c r="C19" s="16">
        <f>'ALL VARS'!G19</f>
        <v>4.5167588335029351E-3</v>
      </c>
      <c r="D19" s="16">
        <f>'ALL VARS'!H19</f>
        <v>8.5292501975474666E-3</v>
      </c>
      <c r="E19" s="16">
        <f>'ALL VARS'!T19</f>
        <v>-3.8910877398021015E-4</v>
      </c>
      <c r="F19" s="16">
        <f>'ALL VARS'!V19</f>
        <v>3.1924462879172541E-3</v>
      </c>
      <c r="G19" s="25">
        <f>'ALL VARS'!J19</f>
        <v>37.010000400000003</v>
      </c>
      <c r="I19" s="18" t="s">
        <v>36</v>
      </c>
      <c r="J19" s="16">
        <v>-4.2937637621750556E-3</v>
      </c>
      <c r="K19" s="16">
        <v>0.11671359136024595</v>
      </c>
      <c r="L19" s="16">
        <v>-3.6788892468590108E-2</v>
      </c>
      <c r="M19" s="16">
        <v>0.97082763446615661</v>
      </c>
      <c r="N19" s="16">
        <v>-0.23983132695651649</v>
      </c>
      <c r="O19" s="16">
        <v>0.23124379943216639</v>
      </c>
      <c r="P19" s="18">
        <v>-0.23983132695651649</v>
      </c>
      <c r="Q19" s="18">
        <v>0.23124379943216639</v>
      </c>
    </row>
    <row r="20" spans="1:17" x14ac:dyDescent="0.25">
      <c r="A20" s="24">
        <f>'ALL VARS'!A20</f>
        <v>43955</v>
      </c>
      <c r="B20" s="16">
        <f>'ALL VARS'!F20</f>
        <v>4.5167588335029351E-3</v>
      </c>
      <c r="C20" s="16">
        <f>'ALL VARS'!G20</f>
        <v>8.5292501975474666E-3</v>
      </c>
      <c r="D20" s="16">
        <f>'ALL VARS'!H20</f>
        <v>-1.0852015661224153E-2</v>
      </c>
      <c r="E20" s="16">
        <f>'ALL VARS'!T20</f>
        <v>3.6088494894241986E-3</v>
      </c>
      <c r="F20" s="16">
        <f>'ALL VARS'!V20</f>
        <v>-2.6772280663164498E-2</v>
      </c>
      <c r="G20" s="25">
        <f>'ALL VARS'!J20</f>
        <v>37.796000499999998</v>
      </c>
      <c r="I20" s="18" t="s">
        <v>37</v>
      </c>
      <c r="J20" s="16">
        <v>-8.3383264072464339E-2</v>
      </c>
      <c r="K20" s="16">
        <v>0.11824338650870356</v>
      </c>
      <c r="L20" s="16">
        <v>-0.70518332174397536</v>
      </c>
      <c r="M20" s="16">
        <v>0.48458888830933788</v>
      </c>
      <c r="N20" s="16">
        <v>-0.32200807886496852</v>
      </c>
      <c r="O20" s="16">
        <v>0.15524155072003981</v>
      </c>
      <c r="P20" s="18">
        <v>-0.32200807886496852</v>
      </c>
      <c r="Q20" s="18">
        <v>0.15524155072003981</v>
      </c>
    </row>
    <row r="21" spans="1:17" x14ac:dyDescent="0.25">
      <c r="A21" s="24">
        <f>'ALL VARS'!A21</f>
        <v>43952</v>
      </c>
      <c r="B21" s="16">
        <f>'ALL VARS'!F21</f>
        <v>8.5292501975474666E-3</v>
      </c>
      <c r="C21" s="16">
        <f>'ALL VARS'!G21</f>
        <v>-1.0852015661224153E-2</v>
      </c>
      <c r="D21" s="16">
        <f>'ALL VARS'!H21</f>
        <v>-2.9379858648651246E-2</v>
      </c>
      <c r="E21" s="16">
        <f>'ALL VARS'!T21</f>
        <v>-3.4534087849418436E-3</v>
      </c>
      <c r="F21" s="16">
        <f>'ALL VARS'!V21</f>
        <v>2.5287614194157513E-2</v>
      </c>
      <c r="G21" s="25">
        <f>'ALL VARS'!J21</f>
        <v>37.892000799999991</v>
      </c>
      <c r="I21" s="18" t="s">
        <v>9</v>
      </c>
      <c r="J21" s="16">
        <v>0.37749810702004838</v>
      </c>
      <c r="K21" s="16">
        <v>0.26677242431284554</v>
      </c>
      <c r="L21" s="16">
        <v>1.4150567023275022</v>
      </c>
      <c r="M21" s="16">
        <v>0.16442393284427453</v>
      </c>
      <c r="N21" s="16">
        <v>-0.16087044130222394</v>
      </c>
      <c r="O21" s="16">
        <v>0.9158666553423207</v>
      </c>
      <c r="P21" s="18">
        <v>-0.16087044130222394</v>
      </c>
      <c r="Q21" s="18">
        <v>0.9158666553423207</v>
      </c>
    </row>
    <row r="22" spans="1:17" x14ac:dyDescent="0.25">
      <c r="A22" s="24">
        <f>'ALL VARS'!A22</f>
        <v>43951</v>
      </c>
      <c r="B22" s="16">
        <f>'ALL VARS'!F22</f>
        <v>-1.0852015661224153E-2</v>
      </c>
      <c r="C22" s="16">
        <f>'ALL VARS'!G22</f>
        <v>-2.9379858648651246E-2</v>
      </c>
      <c r="D22" s="16">
        <f>'ALL VARS'!H22</f>
        <v>2.904386379946032E-2</v>
      </c>
      <c r="E22" s="16">
        <f>'ALL VARS'!T22</f>
        <v>-2.4350381749567275E-3</v>
      </c>
      <c r="F22" s="16">
        <f>'ALL VARS'!V22</f>
        <v>1.6379304528839182E-2</v>
      </c>
      <c r="G22" s="25">
        <f>'ALL VARS'!J22</f>
        <v>38.488000700000001</v>
      </c>
      <c r="I22" s="18" t="s">
        <v>77</v>
      </c>
      <c r="J22" s="16">
        <v>2.9867521619077003E-2</v>
      </c>
      <c r="K22" s="16">
        <v>2.4474015495221015E-2</v>
      </c>
      <c r="L22" s="16">
        <v>1.2203768370134915</v>
      </c>
      <c r="M22" s="16">
        <v>0.22912987008660429</v>
      </c>
      <c r="N22" s="16">
        <v>-1.9523041246323657E-2</v>
      </c>
      <c r="O22" s="16">
        <v>7.9258084484477659E-2</v>
      </c>
      <c r="P22" s="18">
        <v>-1.9523041246323657E-2</v>
      </c>
      <c r="Q22" s="18">
        <v>7.9258084484477659E-2</v>
      </c>
    </row>
    <row r="23" spans="1:17" ht="15.75" thickBot="1" x14ac:dyDescent="0.3">
      <c r="A23" s="24">
        <f>'ALL VARS'!A23</f>
        <v>43950</v>
      </c>
      <c r="B23" s="16">
        <f>'ALL VARS'!F23</f>
        <v>-2.9379858648651246E-2</v>
      </c>
      <c r="C23" s="16">
        <f>'ALL VARS'!G23</f>
        <v>2.904386379946032E-2</v>
      </c>
      <c r="D23" s="16">
        <f>'ALL VARS'!H23</f>
        <v>1.0667882350970269E-2</v>
      </c>
      <c r="E23" s="16">
        <f>'ALL VARS'!T23</f>
        <v>-2.0812126079932354E-3</v>
      </c>
      <c r="F23" s="16">
        <f>'ALL VARS'!V23</f>
        <v>1.1999248594659589E-2</v>
      </c>
      <c r="G23" s="25">
        <f>'ALL VARS'!J23</f>
        <v>39.449000699999999</v>
      </c>
      <c r="I23" s="28" t="s">
        <v>4</v>
      </c>
      <c r="J23" s="29">
        <v>1.5983346108659898E-4</v>
      </c>
      <c r="K23" s="29">
        <v>7.3087962485992423E-5</v>
      </c>
      <c r="L23" s="29">
        <v>2.1868643706852775</v>
      </c>
      <c r="M23" s="29">
        <v>3.4373246913817802E-2</v>
      </c>
      <c r="N23" s="29">
        <v>1.2335981297336693E-5</v>
      </c>
      <c r="O23" s="29">
        <v>3.0733094087586124E-4</v>
      </c>
      <c r="P23" s="28">
        <v>1.2335981297336693E-5</v>
      </c>
      <c r="Q23" s="28">
        <v>3.0733094087586124E-4</v>
      </c>
    </row>
    <row r="24" spans="1:17" x14ac:dyDescent="0.25">
      <c r="A24" s="24">
        <f>'ALL VARS'!A24</f>
        <v>43949</v>
      </c>
      <c r="B24" s="16">
        <f>'ALL VARS'!F24</f>
        <v>2.904386379946032E-2</v>
      </c>
      <c r="C24" s="16">
        <f>'ALL VARS'!G24</f>
        <v>1.0667882350970269E-2</v>
      </c>
      <c r="D24" s="16">
        <f>'ALL VARS'!H24</f>
        <v>1.5373998778727917E-2</v>
      </c>
      <c r="E24" s="16">
        <f>'ALL VARS'!T24</f>
        <v>8.937230388307014E-5</v>
      </c>
      <c r="F24" s="16">
        <f>'ALL VARS'!V24</f>
        <v>-4.7782978362976235E-4</v>
      </c>
      <c r="G24" s="25">
        <f>'ALL VARS'!J24</f>
        <v>39.868000500000008</v>
      </c>
    </row>
    <row r="25" spans="1:17" x14ac:dyDescent="0.25">
      <c r="A25" s="24">
        <f>'ALL VARS'!A25</f>
        <v>43948</v>
      </c>
      <c r="B25" s="16">
        <f>'ALL VARS'!F25</f>
        <v>1.0667882350970269E-2</v>
      </c>
      <c r="C25" s="16">
        <f>'ALL VARS'!G25</f>
        <v>1.5373998778727917E-2</v>
      </c>
      <c r="D25" s="16">
        <f>'ALL VARS'!H25</f>
        <v>1.1879839917270655E-2</v>
      </c>
      <c r="E25" s="16">
        <f>'ALL VARS'!T25</f>
        <v>-2.3627441199868299E-3</v>
      </c>
      <c r="F25" s="16">
        <f>'ALL VARS'!V25</f>
        <v>1.0770589896269471E-2</v>
      </c>
      <c r="G25" s="25">
        <f>'ALL VARS'!J25</f>
        <v>40.656000200000001</v>
      </c>
      <c r="J25" s="18"/>
      <c r="K25" s="18"/>
      <c r="L25" s="18"/>
      <c r="M25" s="18"/>
      <c r="N25" s="18"/>
      <c r="O25" s="18"/>
    </row>
    <row r="26" spans="1:17" x14ac:dyDescent="0.25">
      <c r="A26" s="24">
        <f>'ALL VARS'!A26</f>
        <v>43945</v>
      </c>
      <c r="B26" s="16">
        <f>'ALL VARS'!F26</f>
        <v>1.5373998778727917E-2</v>
      </c>
      <c r="C26" s="16">
        <f>'ALL VARS'!G26</f>
        <v>1.1879839917270655E-2</v>
      </c>
      <c r="D26" s="16">
        <f>'ALL VARS'!H26</f>
        <v>-2.5965891780394849E-3</v>
      </c>
      <c r="E26" s="16">
        <f>'ALL VARS'!T26</f>
        <v>-6.3264485000512896E-3</v>
      </c>
      <c r="F26" s="16">
        <f>'ALL VARS'!V26</f>
        <v>2.5207791075282916E-2</v>
      </c>
      <c r="G26" s="25">
        <f>'ALL VARS'!J26</f>
        <v>41.230000000000004</v>
      </c>
      <c r="J26" s="18"/>
      <c r="K26" s="18"/>
      <c r="L26" s="18"/>
      <c r="M26" s="18"/>
      <c r="N26" s="18"/>
      <c r="O26" s="18"/>
    </row>
    <row r="27" spans="1:17" x14ac:dyDescent="0.25">
      <c r="A27" s="24">
        <f>'ALL VARS'!A27</f>
        <v>43944</v>
      </c>
      <c r="B27" s="16">
        <f>'ALL VARS'!F27</f>
        <v>1.1879839917270655E-2</v>
      </c>
      <c r="C27" s="16">
        <f>'ALL VARS'!G27</f>
        <v>-2.5965891780394849E-3</v>
      </c>
      <c r="D27" s="16">
        <f>'ALL VARS'!H27</f>
        <v>2.4971169199914333E-2</v>
      </c>
      <c r="E27" s="16">
        <f>'ALL VARS'!T27</f>
        <v>-3.9553487503764956E-4</v>
      </c>
      <c r="F27" s="16">
        <f>'ALL VARS'!V27</f>
        <v>1.4980920232307868E-3</v>
      </c>
      <c r="G27" s="25">
        <f>'ALL VARS'!J27</f>
        <v>41.42699970000001</v>
      </c>
      <c r="J27" s="18"/>
      <c r="K27" s="18"/>
      <c r="L27" s="18"/>
      <c r="M27" s="18"/>
      <c r="N27" s="18"/>
      <c r="O27" s="18"/>
    </row>
    <row r="28" spans="1:17" x14ac:dyDescent="0.25">
      <c r="A28" s="24">
        <f>'ALL VARS'!A28</f>
        <v>43943</v>
      </c>
      <c r="B28" s="16">
        <f>'ALL VARS'!F28</f>
        <v>-2.5965891780394849E-3</v>
      </c>
      <c r="C28" s="16">
        <f>'ALL VARS'!G28</f>
        <v>2.4971169199914333E-2</v>
      </c>
      <c r="D28" s="16">
        <f>'ALL VARS'!H28</f>
        <v>-3.1150323670921017E-2</v>
      </c>
      <c r="E28" s="16">
        <f>'ALL VARS'!T28</f>
        <v>-8.1406529490503053E-3</v>
      </c>
      <c r="F28" s="16">
        <f>'ALL VARS'!V28</f>
        <v>2.6990409860837974E-2</v>
      </c>
      <c r="G28" s="25">
        <f>'ALL VARS'!J28</f>
        <v>41.898999799999999</v>
      </c>
      <c r="J28" s="18"/>
      <c r="K28" s="18"/>
      <c r="L28" s="18"/>
      <c r="M28" s="18"/>
      <c r="N28" s="18"/>
      <c r="O28" s="18"/>
    </row>
    <row r="29" spans="1:17" x14ac:dyDescent="0.25">
      <c r="A29" s="31">
        <f>'ALL VARS'!A29</f>
        <v>43942</v>
      </c>
      <c r="B29" s="32">
        <f>'ALL VARS'!F29</f>
        <v>2.4971169199914333E-2</v>
      </c>
      <c r="C29" s="32">
        <f>'ALL VARS'!G29</f>
        <v>-3.1150323670921017E-2</v>
      </c>
      <c r="D29" s="32">
        <f>'ALL VARS'!H29</f>
        <v>1.9776887879946956E-3</v>
      </c>
      <c r="E29" s="32">
        <f>'ALL VARS'!T29</f>
        <v>9.3619015445122074E-4</v>
      </c>
      <c r="F29" s="32">
        <f>'ALL VARS'!V29</f>
        <v>-3.119862128559569E-3</v>
      </c>
      <c r="G29" s="33">
        <f>'ALL VARS'!J29</f>
        <v>41.881999999999998</v>
      </c>
      <c r="H29" s="33"/>
      <c r="J29" s="18"/>
      <c r="K29" s="18"/>
      <c r="L29" s="18"/>
      <c r="M29" s="18"/>
      <c r="N29" s="18"/>
      <c r="O29" s="18"/>
    </row>
    <row r="30" spans="1:17" x14ac:dyDescent="0.25">
      <c r="A30" s="24">
        <f>'ALL VARS'!A30</f>
        <v>43941</v>
      </c>
      <c r="B30" s="16">
        <f>'ALL VARS'!F30</f>
        <v>-3.1150323670921017E-2</v>
      </c>
      <c r="C30" s="16">
        <f>'ALL VARS'!G30</f>
        <v>1.9776887879946956E-3</v>
      </c>
      <c r="D30" s="16">
        <f>'ALL VARS'!H30</f>
        <v>3.3138402111040632E-2</v>
      </c>
      <c r="E30" s="16">
        <f>'ALL VARS'!T30</f>
        <v>9.3990532947466456E-4</v>
      </c>
      <c r="F30" s="16">
        <f>'ALL VARS'!V30</f>
        <v>-2.8530913819315366E-3</v>
      </c>
      <c r="G30" s="25">
        <f>'ALL VARS'!J30</f>
        <v>42.178999699999999</v>
      </c>
      <c r="J30" s="18"/>
      <c r="K30" s="18"/>
      <c r="L30" s="18"/>
      <c r="M30" s="18"/>
      <c r="N30" s="18"/>
      <c r="O30" s="18"/>
    </row>
    <row r="31" spans="1:17" x14ac:dyDescent="0.25">
      <c r="A31" s="24">
        <f>'ALL VARS'!A31</f>
        <v>43938</v>
      </c>
      <c r="B31" s="16">
        <f>'ALL VARS'!F31</f>
        <v>1.9776887879946956E-3</v>
      </c>
      <c r="C31" s="16">
        <f>'ALL VARS'!G31</f>
        <v>3.3138402111040632E-2</v>
      </c>
      <c r="D31" s="16">
        <f>'ALL VARS'!H31</f>
        <v>-4.2482631253185207E-3</v>
      </c>
      <c r="E31" s="16">
        <f>'ALL VARS'!T31</f>
        <v>3.3249417438323624E-2</v>
      </c>
      <c r="F31" s="16">
        <f>'ALL VARS'!V31</f>
        <v>-5.8502666318853626E-2</v>
      </c>
      <c r="G31" s="25">
        <f>'ALL VARS'!J31</f>
        <v>43.4549995</v>
      </c>
      <c r="J31" s="18"/>
      <c r="K31" s="18"/>
      <c r="L31" s="18"/>
      <c r="M31" s="18"/>
      <c r="N31" s="18"/>
      <c r="O31" s="18"/>
    </row>
    <row r="32" spans="1:17" x14ac:dyDescent="0.25">
      <c r="A32" s="24">
        <f>'ALL VARS'!A32</f>
        <v>43937</v>
      </c>
      <c r="B32" s="16">
        <f>'ALL VARS'!F32</f>
        <v>3.3138402111040632E-2</v>
      </c>
      <c r="C32" s="16">
        <f>'ALL VARS'!G32</f>
        <v>-4.2482631253185207E-3</v>
      </c>
      <c r="D32" s="16">
        <f>'ALL VARS'!H32</f>
        <v>-2.1026256366684357E-2</v>
      </c>
      <c r="E32" s="16">
        <f>'ALL VARS'!T32</f>
        <v>-2.0033672346562136E-4</v>
      </c>
      <c r="F32" s="16">
        <f>'ALL VARS'!V32</f>
        <v>1.292362467414468E-5</v>
      </c>
      <c r="G32" s="25">
        <f>'ALL VARS'!J32</f>
        <v>45.149999499999993</v>
      </c>
      <c r="J32" s="18"/>
      <c r="K32" s="18"/>
      <c r="L32" s="18"/>
      <c r="M32" s="18"/>
      <c r="N32" s="18"/>
      <c r="O32" s="18"/>
    </row>
    <row r="33" spans="1:15" x14ac:dyDescent="0.25">
      <c r="A33" s="24">
        <f>'ALL VARS'!A33</f>
        <v>43936</v>
      </c>
      <c r="B33" s="16">
        <f>'ALL VARS'!F33</f>
        <v>-4.2482631253185207E-3</v>
      </c>
      <c r="C33" s="16">
        <f>'ALL VARS'!G33</f>
        <v>-2.1026256366684357E-2</v>
      </c>
      <c r="D33" s="16">
        <f>'ALL VARS'!H33</f>
        <v>1.2965422809946055E-2</v>
      </c>
      <c r="E33" s="16">
        <f>'ALL VARS'!T33</f>
        <v>-1.7813606538020022E-3</v>
      </c>
      <c r="F33" s="16">
        <f>'ALL VARS'!V33</f>
        <v>-2.1474134983666734E-3</v>
      </c>
      <c r="G33" s="25">
        <f>'ALL VARS'!J33</f>
        <v>46.419999600000004</v>
      </c>
      <c r="J33" s="18"/>
      <c r="K33" s="18"/>
      <c r="L33" s="18"/>
      <c r="M33" s="18"/>
      <c r="N33" s="18"/>
      <c r="O33" s="18"/>
    </row>
    <row r="34" spans="1:15" x14ac:dyDescent="0.25">
      <c r="A34" s="24">
        <f>'ALL VARS'!A34</f>
        <v>43935</v>
      </c>
      <c r="B34" s="16">
        <f>'ALL VARS'!F34</f>
        <v>-2.1026256366684357E-2</v>
      </c>
      <c r="C34" s="16">
        <f>'ALL VARS'!G34</f>
        <v>1.2965422809946055E-2</v>
      </c>
      <c r="D34" s="16">
        <f>'ALL VARS'!H34</f>
        <v>-6.4023280464834062E-3</v>
      </c>
      <c r="E34" s="16">
        <f>'ALL VARS'!T34</f>
        <v>-4.8918311083505656E-3</v>
      </c>
      <c r="F34" s="16">
        <f>'ALL VARS'!V34</f>
        <v>-1.5348076007312805E-2</v>
      </c>
      <c r="G34" s="25">
        <f>'ALL VARS'!J34</f>
        <v>48.352000000000004</v>
      </c>
      <c r="J34" s="18"/>
      <c r="K34" s="18"/>
      <c r="L34" s="18"/>
      <c r="M34" s="18"/>
      <c r="N34" s="18"/>
      <c r="O34" s="18"/>
    </row>
    <row r="35" spans="1:15" x14ac:dyDescent="0.25">
      <c r="A35" s="24">
        <f>'ALL VARS'!A35</f>
        <v>43934</v>
      </c>
      <c r="B35" s="16">
        <f>'ALL VARS'!F35</f>
        <v>1.2965422809946055E-2</v>
      </c>
      <c r="C35" s="16">
        <f>'ALL VARS'!G35</f>
        <v>-6.4023280464834062E-3</v>
      </c>
      <c r="D35" s="16">
        <f>'ALL VARS'!H35</f>
        <v>1.729890853793448E-2</v>
      </c>
      <c r="E35" s="16">
        <f>'ALL VARS'!T35</f>
        <v>1.6972291644065604E-3</v>
      </c>
      <c r="F35" s="16">
        <f>'ALL VARS'!V35</f>
        <v>9.4611891872699253E-3</v>
      </c>
      <c r="G35" s="25">
        <f>'ALL VARS'!J35</f>
        <v>50.789000299999998</v>
      </c>
      <c r="J35" s="18"/>
      <c r="K35" s="18"/>
      <c r="L35" s="18"/>
      <c r="M35" s="18"/>
      <c r="N35" s="18"/>
      <c r="O35" s="18"/>
    </row>
    <row r="36" spans="1:15" x14ac:dyDescent="0.25">
      <c r="A36" s="24">
        <f>'ALL VARS'!A36</f>
        <v>43930</v>
      </c>
      <c r="B36" s="16">
        <f>'ALL VARS'!F36</f>
        <v>-6.4023280464834062E-3</v>
      </c>
      <c r="C36" s="16">
        <f>'ALL VARS'!G36</f>
        <v>1.729890853793448E-2</v>
      </c>
      <c r="D36" s="16">
        <f>'ALL VARS'!H36</f>
        <v>2.2888078899761091E-2</v>
      </c>
      <c r="E36" s="16">
        <f>'ALL VARS'!T36</f>
        <v>-4.2681083364169078E-2</v>
      </c>
      <c r="F36" s="16">
        <f>'ALL VARS'!V36</f>
        <v>-0.32042786996825895</v>
      </c>
      <c r="G36" s="25">
        <f>'ALL VARS'!J36</f>
        <v>52.722000499999993</v>
      </c>
      <c r="J36" s="18"/>
      <c r="K36" s="18"/>
      <c r="L36" s="18"/>
      <c r="M36" s="18"/>
      <c r="N36" s="18"/>
      <c r="O36" s="18"/>
    </row>
    <row r="37" spans="1:15" x14ac:dyDescent="0.25">
      <c r="A37" s="24">
        <f>'ALL VARS'!A37</f>
        <v>43929</v>
      </c>
      <c r="B37" s="16">
        <f>'ALL VARS'!F37</f>
        <v>1.729890853793448E-2</v>
      </c>
      <c r="C37" s="16">
        <f>'ALL VARS'!G37</f>
        <v>2.2888078899761091E-2</v>
      </c>
      <c r="D37" s="16">
        <f>'ALL VARS'!H37</f>
        <v>1.5743313464585205E-3</v>
      </c>
      <c r="E37" s="16">
        <f>'ALL VARS'!T37</f>
        <v>1.3995175667343648E-3</v>
      </c>
      <c r="F37" s="16">
        <f>'ALL VARS'!V37</f>
        <v>1.3389872824044685E-2</v>
      </c>
      <c r="G37" s="25">
        <f>'ALL VARS'!J37</f>
        <v>54.782000800000006</v>
      </c>
      <c r="J37" s="18"/>
      <c r="K37" s="18"/>
      <c r="L37" s="18"/>
      <c r="M37" s="18"/>
      <c r="N37" s="18"/>
      <c r="O37" s="18"/>
    </row>
    <row r="38" spans="1:15" x14ac:dyDescent="0.25">
      <c r="A38" s="24">
        <f>'ALL VARS'!A38</f>
        <v>43928</v>
      </c>
      <c r="B38" s="16">
        <f>'ALL VARS'!F38</f>
        <v>2.2888078899761091E-2</v>
      </c>
      <c r="C38" s="16">
        <f>'ALL VARS'!G38</f>
        <v>1.5743313464585205E-3</v>
      </c>
      <c r="D38" s="16">
        <f>'ALL VARS'!H38</f>
        <v>5.0578545857092143E-2</v>
      </c>
      <c r="E38" s="16">
        <f>'ALL VARS'!T38</f>
        <v>-1.2297182185778876E-3</v>
      </c>
      <c r="F38" s="16">
        <f>'ALL VARS'!V38</f>
        <v>-1.3606206759591006E-2</v>
      </c>
      <c r="G38" s="25">
        <f>'ALL VARS'!J38</f>
        <v>56.279000499999995</v>
      </c>
      <c r="J38" s="18"/>
      <c r="K38" s="18"/>
      <c r="L38" s="18"/>
      <c r="M38" s="18"/>
      <c r="N38" s="18"/>
      <c r="O38" s="18"/>
    </row>
    <row r="39" spans="1:15" x14ac:dyDescent="0.25">
      <c r="A39" s="24">
        <f>'ALL VARS'!A39</f>
        <v>43927</v>
      </c>
      <c r="B39" s="16">
        <f>'ALL VARS'!F39</f>
        <v>1.5743313464585205E-3</v>
      </c>
      <c r="C39" s="16">
        <f>'ALL VARS'!G39</f>
        <v>5.0578545857092143E-2</v>
      </c>
      <c r="D39" s="16">
        <f>'ALL VARS'!H39</f>
        <v>-1.2177617796472343E-2</v>
      </c>
      <c r="E39" s="16">
        <f>'ALL VARS'!T39</f>
        <v>-7.172374970462434E-3</v>
      </c>
      <c r="F39" s="16">
        <f>'ALL VARS'!V39</f>
        <v>-9.1085513437060714E-2</v>
      </c>
      <c r="G39" s="25">
        <f>'ALL VARS'!J39</f>
        <v>57.914000299999998</v>
      </c>
      <c r="J39" s="18"/>
      <c r="K39" s="18"/>
      <c r="L39" s="18"/>
      <c r="M39" s="18"/>
      <c r="N39" s="18"/>
      <c r="O39" s="18"/>
    </row>
    <row r="40" spans="1:15" x14ac:dyDescent="0.25">
      <c r="A40" s="24">
        <f>'ALL VARS'!A40</f>
        <v>43924</v>
      </c>
      <c r="B40" s="16">
        <f>'ALL VARS'!F40</f>
        <v>5.0578545857092143E-2</v>
      </c>
      <c r="C40" s="16">
        <f>'ALL VARS'!G40</f>
        <v>-1.2177617796472343E-2</v>
      </c>
      <c r="D40" s="16">
        <f>'ALL VARS'!H40</f>
        <v>1.7194200807451526E-2</v>
      </c>
      <c r="E40" s="16">
        <f>'ALL VARS'!T40</f>
        <v>-1.9875074046811075E-3</v>
      </c>
      <c r="F40" s="16">
        <f>'ALL VARS'!V40</f>
        <v>-2.9064297610646453E-2</v>
      </c>
      <c r="G40" s="25">
        <f>'ALL VARS'!J40</f>
        <v>59.8380005</v>
      </c>
      <c r="J40" s="18"/>
      <c r="K40" s="18"/>
      <c r="L40" s="18"/>
      <c r="M40" s="18"/>
      <c r="N40" s="18"/>
      <c r="O40" s="18"/>
    </row>
    <row r="41" spans="1:15" x14ac:dyDescent="0.25">
      <c r="A41" s="24">
        <f>'ALL VARS'!A41</f>
        <v>43923</v>
      </c>
      <c r="B41" s="16">
        <f>'ALL VARS'!F41</f>
        <v>-1.2177617796472343E-2</v>
      </c>
      <c r="C41" s="16">
        <f>'ALL VARS'!G41</f>
        <v>1.7194200807451526E-2</v>
      </c>
      <c r="D41" s="16">
        <f>'ALL VARS'!H41</f>
        <v>-3.7551904604495374E-2</v>
      </c>
      <c r="E41" s="16">
        <f>'ALL VARS'!T41</f>
        <v>-8.8852928190003358E-3</v>
      </c>
      <c r="F41" s="16">
        <f>'ALL VARS'!V41</f>
        <v>-0.14867308644422855</v>
      </c>
      <c r="G41" s="25">
        <f>'ALL VARS'!J41</f>
        <v>61.947000500000001</v>
      </c>
      <c r="J41" s="18"/>
      <c r="K41" s="18"/>
      <c r="L41" s="18"/>
      <c r="M41" s="18"/>
      <c r="N41" s="18"/>
      <c r="O41" s="18"/>
    </row>
    <row r="42" spans="1:15" x14ac:dyDescent="0.25">
      <c r="A42" s="24">
        <f>'ALL VARS'!A42</f>
        <v>43922</v>
      </c>
      <c r="B42" s="16">
        <f>'ALL VARS'!F42</f>
        <v>1.7194200807451526E-2</v>
      </c>
      <c r="C42" s="16">
        <f>'ALL VARS'!G42</f>
        <v>-3.7551904604495374E-2</v>
      </c>
      <c r="D42" s="16">
        <f>'ALL VARS'!H42</f>
        <v>2.6099613068988042E-2</v>
      </c>
      <c r="E42" s="16">
        <f>'ALL VARS'!T42</f>
        <v>-5.0728967861617107E-3</v>
      </c>
      <c r="F42" s="16">
        <f>'ALL VARS'!V42</f>
        <v>-9.4718547122838601E-2</v>
      </c>
      <c r="G42" s="25">
        <f>'ALL VARS'!J42</f>
        <v>63.886000100000004</v>
      </c>
      <c r="J42" s="18"/>
      <c r="K42" s="18"/>
      <c r="L42" s="18"/>
      <c r="M42" s="18"/>
      <c r="N42" s="18"/>
      <c r="O42" s="18"/>
    </row>
    <row r="43" spans="1:15" x14ac:dyDescent="0.25">
      <c r="A43" s="24">
        <f>'ALL VARS'!A43</f>
        <v>43921</v>
      </c>
      <c r="B43" s="16">
        <f>'ALL VARS'!F43</f>
        <v>-3.7551904604495374E-2</v>
      </c>
      <c r="C43" s="16">
        <f>'ALL VARS'!G43</f>
        <v>2.6099613068988042E-2</v>
      </c>
      <c r="D43" s="16">
        <f>'ALL VARS'!H43</f>
        <v>2.7648809446036929E-2</v>
      </c>
      <c r="E43" s="16">
        <f>'ALL VARS'!T43</f>
        <v>1.5602424550421763E-3</v>
      </c>
      <c r="F43" s="16">
        <f>'ALL VARS'!V43</f>
        <v>3.2622315931266126E-2</v>
      </c>
      <c r="G43" s="25">
        <f>'ALL VARS'!J43</f>
        <v>66.123000399999995</v>
      </c>
      <c r="J43" s="18"/>
      <c r="K43" s="18"/>
      <c r="L43" s="18"/>
      <c r="M43" s="18"/>
      <c r="N43" s="18"/>
      <c r="O43" s="18"/>
    </row>
    <row r="44" spans="1:15" x14ac:dyDescent="0.25">
      <c r="A44" s="24">
        <f>'ALL VARS'!A44</f>
        <v>43920</v>
      </c>
      <c r="B44" s="16">
        <f>'ALL VARS'!F44</f>
        <v>2.6099613068988042E-2</v>
      </c>
      <c r="C44" s="16">
        <f>'ALL VARS'!G44</f>
        <v>2.7648809446036929E-2</v>
      </c>
      <c r="D44" s="16">
        <f>'ALL VARS'!H44</f>
        <v>-5.1117326046437227E-2</v>
      </c>
      <c r="E44" s="16">
        <f>'ALL VARS'!T44</f>
        <v>-7.2399917498845148E-4</v>
      </c>
      <c r="F44" s="16">
        <f>'ALL VARS'!V44</f>
        <v>-1.6991892400837188E-2</v>
      </c>
      <c r="G44" s="25">
        <f>'ALL VARS'!J44</f>
        <v>68.684000400000002</v>
      </c>
      <c r="J44" s="18"/>
      <c r="K44" s="18"/>
      <c r="L44" s="18"/>
      <c r="M44" s="18"/>
      <c r="N44" s="18"/>
      <c r="O44" s="18"/>
    </row>
    <row r="45" spans="1:15" x14ac:dyDescent="0.25">
      <c r="A45" s="24">
        <f>'ALL VARS'!A45</f>
        <v>43917</v>
      </c>
      <c r="B45" s="16">
        <f>'ALL VARS'!F45</f>
        <v>2.7648809446036929E-2</v>
      </c>
      <c r="C45" s="16">
        <f>'ALL VARS'!G45</f>
        <v>-5.1117326046437227E-2</v>
      </c>
      <c r="D45" s="16">
        <f>'ALL VARS'!H45</f>
        <v>1.7657086927428463E-2</v>
      </c>
      <c r="E45" s="16">
        <f>'ALL VARS'!T45</f>
        <v>1.2186557736812251E-3</v>
      </c>
      <c r="F45" s="16">
        <f>'ALL VARS'!V45</f>
        <v>2.7661647703225319E-2</v>
      </c>
      <c r="G45" s="25">
        <f>'ALL VARS'!J45</f>
        <v>67.91300050000001</v>
      </c>
      <c r="J45" s="18"/>
      <c r="K45" s="18"/>
      <c r="L45" s="18"/>
      <c r="M45" s="18"/>
      <c r="N45" s="18"/>
      <c r="O45" s="18"/>
    </row>
    <row r="46" spans="1:15" x14ac:dyDescent="0.25">
      <c r="A46" s="24">
        <f>'ALL VARS'!A46</f>
        <v>43916</v>
      </c>
      <c r="B46" s="16">
        <f>'ALL VARS'!F46</f>
        <v>-5.1117326046437227E-2</v>
      </c>
      <c r="C46" s="16">
        <f>'ALL VARS'!G46</f>
        <v>1.7657086927428463E-2</v>
      </c>
      <c r="D46" s="16">
        <f>'ALL VARS'!H46</f>
        <v>4.5191001874909938E-2</v>
      </c>
      <c r="E46" s="16">
        <f>'ALL VARS'!T46</f>
        <v>-1.1348225235603708E-2</v>
      </c>
      <c r="F46" s="16">
        <f>'ALL VARS'!V46</f>
        <v>-0.27400847694190444</v>
      </c>
      <c r="G46" s="25">
        <f>'ALL VARS'!J46</f>
        <v>69.360000600000006</v>
      </c>
      <c r="J46" s="18"/>
      <c r="K46" s="18"/>
      <c r="L46" s="18"/>
      <c r="M46" s="18"/>
      <c r="N46" s="18"/>
      <c r="O46" s="18"/>
    </row>
    <row r="47" spans="1:15" x14ac:dyDescent="0.25">
      <c r="A47" s="24">
        <f>'ALL VARS'!A47</f>
        <v>43915</v>
      </c>
      <c r="B47" s="16">
        <f>'ALL VARS'!F47</f>
        <v>1.7657086927428463E-2</v>
      </c>
      <c r="C47" s="16">
        <f>'ALL VARS'!G47</f>
        <v>4.5191001874909938E-2</v>
      </c>
      <c r="D47" s="16">
        <f>'ALL VARS'!H47</f>
        <v>0.11957070036068938</v>
      </c>
      <c r="E47" s="16">
        <f>'ALL VARS'!T47</f>
        <v>-5.0848837216479351E-3</v>
      </c>
      <c r="F47" s="16">
        <f>'ALL VARS'!V47</f>
        <v>-0.11766670948489254</v>
      </c>
      <c r="G47" s="25">
        <f>'ALL VARS'!J47</f>
        <v>68.355000700000005</v>
      </c>
      <c r="J47" s="18"/>
      <c r="K47" s="18"/>
      <c r="L47" s="18"/>
      <c r="M47" s="18"/>
      <c r="N47" s="18"/>
      <c r="O47" s="18"/>
    </row>
    <row r="48" spans="1:15" x14ac:dyDescent="0.25">
      <c r="A48" s="24">
        <f>'ALL VARS'!A48</f>
        <v>43914</v>
      </c>
      <c r="B48" s="16">
        <f>'ALL VARS'!F48</f>
        <v>4.5191001874909938E-2</v>
      </c>
      <c r="C48" s="16">
        <f>'ALL VARS'!G48</f>
        <v>0.11957070036068938</v>
      </c>
      <c r="D48" s="16">
        <f>'ALL VARS'!H48</f>
        <v>-5.2591151998453836E-2</v>
      </c>
      <c r="E48" s="16">
        <f>'ALL VARS'!T48</f>
        <v>1.2419562592091457E-3</v>
      </c>
      <c r="F48" s="16">
        <f>'ALL VARS'!V48</f>
        <v>2.6954787470273422E-2</v>
      </c>
      <c r="G48" s="25">
        <f>'ALL VARS'!J48</f>
        <v>66.918000799999987</v>
      </c>
      <c r="J48" s="18"/>
      <c r="K48" s="18"/>
      <c r="L48" s="18"/>
      <c r="M48" s="18"/>
      <c r="N48" s="18"/>
      <c r="O48" s="18"/>
    </row>
    <row r="49" spans="10:15" x14ac:dyDescent="0.25">
      <c r="J49" s="18"/>
      <c r="K49" s="18"/>
      <c r="L49" s="18"/>
      <c r="M49" s="18"/>
      <c r="N49" s="18"/>
      <c r="O49" s="18"/>
    </row>
    <row r="50" spans="10:15" x14ac:dyDescent="0.25">
      <c r="J50" s="18"/>
      <c r="K50" s="18"/>
      <c r="L50" s="18"/>
      <c r="M50" s="18"/>
      <c r="N50" s="18"/>
      <c r="O50" s="18"/>
    </row>
    <row r="51" spans="10:15" x14ac:dyDescent="0.25">
      <c r="J51" s="18"/>
      <c r="K51" s="18"/>
      <c r="L51" s="18"/>
      <c r="M51" s="18"/>
      <c r="N51" s="18"/>
      <c r="O51" s="18"/>
    </row>
    <row r="52" spans="10:15" x14ac:dyDescent="0.25">
      <c r="J52" s="18"/>
      <c r="K52" s="18"/>
      <c r="L52" s="18"/>
      <c r="M52" s="18"/>
      <c r="N52" s="18"/>
      <c r="O52" s="18"/>
    </row>
    <row r="53" spans="10:15" x14ac:dyDescent="0.25">
      <c r="J53" s="18"/>
      <c r="K53" s="18"/>
      <c r="L53" s="18"/>
      <c r="M53" s="18"/>
      <c r="N53" s="18"/>
      <c r="O53" s="18"/>
    </row>
    <row r="54" spans="10:15" x14ac:dyDescent="0.25">
      <c r="J54" s="18"/>
      <c r="K54" s="18"/>
      <c r="L54" s="18"/>
      <c r="M54" s="18"/>
      <c r="N54" s="18"/>
      <c r="O54" s="18"/>
    </row>
    <row r="55" spans="10:15" x14ac:dyDescent="0.25">
      <c r="J55" s="18"/>
      <c r="K55" s="18"/>
      <c r="L55" s="18"/>
      <c r="M55" s="18"/>
      <c r="N55" s="18"/>
      <c r="O55" s="18"/>
    </row>
    <row r="56" spans="10:15" x14ac:dyDescent="0.25">
      <c r="J56" s="18"/>
      <c r="K56" s="18"/>
      <c r="L56" s="18"/>
      <c r="M56" s="18"/>
      <c r="N56" s="18"/>
      <c r="O56" s="18"/>
    </row>
    <row r="57" spans="10:15" x14ac:dyDescent="0.25">
      <c r="J57" s="18"/>
      <c r="K57" s="18"/>
      <c r="L57" s="18"/>
      <c r="M57" s="18"/>
      <c r="N57" s="18"/>
      <c r="O57" s="18"/>
    </row>
    <row r="58" spans="10:15" x14ac:dyDescent="0.25">
      <c r="J58" s="18"/>
      <c r="K58" s="18"/>
      <c r="L58" s="18"/>
      <c r="M58" s="18"/>
      <c r="N58" s="18"/>
      <c r="O58" s="18"/>
    </row>
    <row r="59" spans="10:15" x14ac:dyDescent="0.25">
      <c r="J59" s="18"/>
      <c r="K59" s="18"/>
      <c r="L59" s="18"/>
      <c r="M59" s="18"/>
      <c r="N59" s="18"/>
      <c r="O59" s="18"/>
    </row>
    <row r="60" spans="10:15" x14ac:dyDescent="0.25">
      <c r="J60" s="18"/>
      <c r="K60" s="18"/>
      <c r="L60" s="18"/>
      <c r="M60" s="18"/>
      <c r="N60" s="18"/>
      <c r="O60" s="18"/>
    </row>
    <row r="61" spans="10:15" x14ac:dyDescent="0.25">
      <c r="J61" s="18"/>
      <c r="K61" s="18"/>
      <c r="L61" s="18"/>
      <c r="M61" s="18"/>
      <c r="N61" s="18"/>
      <c r="O61" s="18"/>
    </row>
    <row r="62" spans="10:15" x14ac:dyDescent="0.25">
      <c r="J62" s="18"/>
      <c r="K62" s="18"/>
      <c r="L62" s="18"/>
      <c r="M62" s="18"/>
      <c r="N62" s="18"/>
      <c r="O62" s="18"/>
    </row>
    <row r="63" spans="10:15" x14ac:dyDescent="0.25">
      <c r="J63" s="18"/>
      <c r="K63" s="18"/>
      <c r="L63" s="18"/>
      <c r="M63" s="18"/>
      <c r="N63" s="18"/>
      <c r="O63" s="18"/>
    </row>
    <row r="64" spans="10:15" x14ac:dyDescent="0.25">
      <c r="J64" s="18"/>
      <c r="K64" s="18"/>
      <c r="L64" s="18"/>
      <c r="M64" s="18"/>
      <c r="N64" s="18"/>
      <c r="O64" s="18"/>
    </row>
    <row r="65" spans="10:15" x14ac:dyDescent="0.25">
      <c r="J65" s="18"/>
      <c r="K65" s="18"/>
      <c r="L65" s="18"/>
      <c r="M65" s="18"/>
      <c r="N65" s="18"/>
      <c r="O65" s="18"/>
    </row>
    <row r="66" spans="10:15" x14ac:dyDescent="0.25">
      <c r="J66" s="18"/>
      <c r="K66" s="18"/>
      <c r="L66" s="18"/>
      <c r="M66" s="18"/>
      <c r="N66" s="18"/>
      <c r="O66" s="18"/>
    </row>
    <row r="67" spans="10:15" x14ac:dyDescent="0.25">
      <c r="J67" s="18"/>
      <c r="K67" s="18"/>
      <c r="L67" s="18"/>
      <c r="M67" s="18"/>
      <c r="N67" s="18"/>
      <c r="O67" s="18"/>
    </row>
    <row r="68" spans="10:15" x14ac:dyDescent="0.25">
      <c r="J68" s="18"/>
      <c r="K68" s="18"/>
      <c r="L68" s="18"/>
      <c r="M68" s="18"/>
      <c r="N68" s="18"/>
      <c r="O68" s="18"/>
    </row>
    <row r="69" spans="10:15" x14ac:dyDescent="0.25">
      <c r="J69" s="18"/>
      <c r="K69" s="18"/>
      <c r="L69" s="18"/>
      <c r="M69" s="18"/>
      <c r="N69" s="18"/>
      <c r="O69" s="18"/>
    </row>
    <row r="70" spans="10:15" x14ac:dyDescent="0.25">
      <c r="J70" s="18"/>
      <c r="K70" s="18"/>
      <c r="L70" s="18"/>
      <c r="M70" s="18"/>
      <c r="N70" s="18"/>
      <c r="O70" s="18"/>
    </row>
    <row r="71" spans="10:15" x14ac:dyDescent="0.25">
      <c r="J71" s="18"/>
      <c r="K71" s="18"/>
      <c r="L71" s="18"/>
      <c r="M71" s="18"/>
      <c r="N71" s="18"/>
      <c r="O71" s="18"/>
    </row>
    <row r="72" spans="10:15" x14ac:dyDescent="0.25">
      <c r="J72" s="18"/>
      <c r="K72" s="18"/>
      <c r="L72" s="18"/>
      <c r="M72" s="18"/>
      <c r="N72" s="18"/>
      <c r="O72" s="18"/>
    </row>
    <row r="73" spans="10:15" x14ac:dyDescent="0.25">
      <c r="J73" s="18"/>
      <c r="K73" s="18"/>
      <c r="L73" s="18"/>
      <c r="M73" s="18"/>
      <c r="N73" s="18"/>
      <c r="O73" s="18"/>
    </row>
    <row r="74" spans="10:15" x14ac:dyDescent="0.25">
      <c r="J74" s="18"/>
      <c r="K74" s="18"/>
      <c r="L74" s="18"/>
      <c r="M74" s="18"/>
      <c r="N74" s="18"/>
      <c r="O74" s="18"/>
    </row>
    <row r="75" spans="10:15" x14ac:dyDescent="0.25">
      <c r="J75" s="18"/>
      <c r="K75" s="18"/>
      <c r="L75" s="18"/>
      <c r="M75" s="18"/>
      <c r="N75" s="18"/>
      <c r="O75" s="18"/>
    </row>
    <row r="76" spans="10:15" x14ac:dyDescent="0.25">
      <c r="J76" s="18"/>
      <c r="K76" s="18"/>
      <c r="L76" s="18"/>
      <c r="M76" s="18"/>
      <c r="N76" s="18"/>
      <c r="O76" s="18"/>
    </row>
    <row r="77" spans="10:15" x14ac:dyDescent="0.25">
      <c r="J77" s="18"/>
      <c r="K77" s="18"/>
      <c r="L77" s="18"/>
      <c r="M77" s="18"/>
      <c r="N77" s="18"/>
      <c r="O77" s="18"/>
    </row>
    <row r="78" spans="10:15" x14ac:dyDescent="0.25">
      <c r="J78" s="18"/>
      <c r="K78" s="18"/>
      <c r="L78" s="18"/>
      <c r="M78" s="18"/>
      <c r="N78" s="18"/>
      <c r="O78" s="18"/>
    </row>
    <row r="79" spans="10:15" x14ac:dyDescent="0.25">
      <c r="J79" s="18"/>
      <c r="K79" s="18"/>
      <c r="L79" s="18"/>
      <c r="M79" s="18"/>
      <c r="N79" s="18"/>
      <c r="O79" s="18"/>
    </row>
    <row r="80" spans="10:15" x14ac:dyDescent="0.25">
      <c r="J80" s="18"/>
      <c r="K80" s="18"/>
      <c r="L80" s="18"/>
      <c r="M80" s="18"/>
      <c r="N80" s="18"/>
      <c r="O80" s="18"/>
    </row>
    <row r="81" spans="10:15" x14ac:dyDescent="0.25">
      <c r="J81" s="18"/>
      <c r="K81" s="18"/>
      <c r="L81" s="18"/>
      <c r="M81" s="18"/>
      <c r="N81" s="18"/>
      <c r="O81" s="18"/>
    </row>
    <row r="82" spans="10:15" x14ac:dyDescent="0.25">
      <c r="J82" s="18"/>
      <c r="K82" s="18"/>
      <c r="L82" s="18"/>
      <c r="M82" s="18"/>
      <c r="N82" s="18"/>
      <c r="O82" s="18"/>
    </row>
    <row r="83" spans="10:15" x14ac:dyDescent="0.25">
      <c r="J83" s="18"/>
      <c r="K83" s="18"/>
      <c r="L83" s="18"/>
      <c r="M83" s="18"/>
      <c r="N83" s="18"/>
      <c r="O83" s="18"/>
    </row>
    <row r="84" spans="10:15" x14ac:dyDescent="0.25">
      <c r="J84" s="18"/>
      <c r="K84" s="18"/>
      <c r="L84" s="18"/>
      <c r="M84" s="18"/>
      <c r="N84" s="18"/>
      <c r="O84" s="18"/>
    </row>
    <row r="85" spans="10:15" x14ac:dyDescent="0.25">
      <c r="J85" s="18"/>
      <c r="K85" s="18"/>
      <c r="L85" s="18"/>
      <c r="M85" s="18"/>
      <c r="N85" s="18"/>
      <c r="O85" s="18"/>
    </row>
    <row r="86" spans="10:15" x14ac:dyDescent="0.25">
      <c r="J86" s="18"/>
      <c r="K86" s="18"/>
      <c r="L86" s="18"/>
      <c r="M86" s="18"/>
      <c r="N86" s="18"/>
      <c r="O86" s="18"/>
    </row>
    <row r="87" spans="10:15" x14ac:dyDescent="0.25">
      <c r="J87" s="18"/>
      <c r="K87" s="18"/>
      <c r="L87" s="18"/>
      <c r="M87" s="18"/>
      <c r="N87" s="18"/>
      <c r="O87" s="18"/>
    </row>
    <row r="88" spans="10:15" x14ac:dyDescent="0.25">
      <c r="J88" s="18"/>
      <c r="K88" s="18"/>
      <c r="L88" s="18"/>
      <c r="M88" s="18"/>
      <c r="N88" s="18"/>
      <c r="O88" s="18"/>
    </row>
    <row r="89" spans="10:15" x14ac:dyDescent="0.25">
      <c r="J89" s="18"/>
      <c r="K89" s="18"/>
      <c r="L89" s="18"/>
      <c r="M89" s="18"/>
      <c r="N89" s="18"/>
      <c r="O89" s="18"/>
    </row>
    <row r="90" spans="10:15" x14ac:dyDescent="0.25">
      <c r="J90" s="18"/>
      <c r="K90" s="18"/>
      <c r="L90" s="18"/>
      <c r="M90" s="18"/>
      <c r="N90" s="18"/>
      <c r="O90" s="18"/>
    </row>
    <row r="91" spans="10:15" x14ac:dyDescent="0.25">
      <c r="J91" s="18"/>
      <c r="K91" s="18"/>
      <c r="L91" s="18"/>
      <c r="M91" s="18"/>
      <c r="N91" s="18"/>
      <c r="O91" s="18"/>
    </row>
    <row r="92" spans="10:15" x14ac:dyDescent="0.25">
      <c r="J92" s="18"/>
      <c r="K92" s="18"/>
      <c r="L92" s="18"/>
      <c r="M92" s="18"/>
      <c r="N92" s="18"/>
      <c r="O92" s="18"/>
    </row>
    <row r="93" spans="10:15" x14ac:dyDescent="0.25">
      <c r="J93" s="18"/>
      <c r="K93" s="18"/>
      <c r="L93" s="18"/>
      <c r="M93" s="18"/>
      <c r="N93" s="18"/>
      <c r="O93" s="18"/>
    </row>
    <row r="94" spans="10:15" x14ac:dyDescent="0.25">
      <c r="J94" s="18"/>
      <c r="K94" s="18"/>
      <c r="L94" s="18"/>
      <c r="M94" s="18"/>
      <c r="N94" s="18"/>
      <c r="O94" s="18"/>
    </row>
    <row r="95" spans="10:15" x14ac:dyDescent="0.25">
      <c r="J95" s="18"/>
      <c r="K95" s="18"/>
      <c r="L95" s="18"/>
      <c r="M95" s="18"/>
      <c r="N95" s="18"/>
      <c r="O95" s="18"/>
    </row>
    <row r="96" spans="10:15" x14ac:dyDescent="0.25">
      <c r="J96" s="18"/>
      <c r="K96" s="18"/>
      <c r="L96" s="18"/>
      <c r="M96" s="18"/>
      <c r="N96" s="18"/>
      <c r="O96" s="18"/>
    </row>
    <row r="97" spans="10:15" x14ac:dyDescent="0.25">
      <c r="J97" s="18"/>
      <c r="K97" s="18"/>
      <c r="L97" s="18"/>
      <c r="M97" s="18"/>
      <c r="N97" s="18"/>
      <c r="O97" s="18"/>
    </row>
    <row r="98" spans="10:15" x14ac:dyDescent="0.25">
      <c r="J98" s="18"/>
      <c r="K98" s="18"/>
      <c r="L98" s="18"/>
      <c r="M98" s="18"/>
      <c r="N98" s="18"/>
      <c r="O98" s="18"/>
    </row>
    <row r="99" spans="10:15" x14ac:dyDescent="0.25">
      <c r="J99" s="18"/>
      <c r="K99" s="18"/>
      <c r="L99" s="18"/>
      <c r="M99" s="18"/>
      <c r="N99" s="18"/>
      <c r="O99" s="18"/>
    </row>
    <row r="100" spans="10:15" x14ac:dyDescent="0.25">
      <c r="J100" s="18"/>
      <c r="K100" s="18"/>
      <c r="L100" s="18"/>
      <c r="M100" s="18"/>
      <c r="N100" s="18"/>
      <c r="O100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BA84-3A65-41B1-9592-16FC63737C71}">
  <sheetPr codeName="Feuil6"/>
  <dimension ref="A1:Q48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VARS'!X1</f>
        <v>Sent_t_+_1_k, k=1</v>
      </c>
      <c r="F1" s="16" t="str">
        <f>'ALL VARS'!Z1</f>
        <v>Sent_t_+_1_k, k=1 * (VIX_10_t  minus VIX_bar_10)</v>
      </c>
      <c r="G1" s="16" t="str">
        <f>'ALL VARS'!J1</f>
        <v>VIX_10_t</v>
      </c>
    </row>
    <row r="2" spans="1:14" x14ac:dyDescent="0.25">
      <c r="A2" s="24">
        <f>'ALL VARS'!A2</f>
        <v>43980</v>
      </c>
      <c r="B2" s="16">
        <f>'ALL VARS'!F2</f>
        <v>2.3093919546915233E-2</v>
      </c>
      <c r="C2" s="16">
        <f>'ALL VARS'!G2</f>
        <v>-4.5798180601685388E-3</v>
      </c>
      <c r="D2" s="16">
        <f>'ALL VARS'!H2</f>
        <v>-6.0894480094293875E-4</v>
      </c>
      <c r="E2" s="16">
        <f>'ALL VARS'!X2</f>
        <v>-4.8347977428148174E-4</v>
      </c>
      <c r="F2" s="16">
        <f>'ALL VARS'!Z2</f>
        <v>7.6348751169736991E-3</v>
      </c>
      <c r="G2" s="16">
        <f>'ALL VARS'!J2</f>
        <v>29.423000200000001</v>
      </c>
      <c r="I2" s="18" t="s">
        <v>39</v>
      </c>
    </row>
    <row r="3" spans="1:14" ht="15.75" thickBot="1" x14ac:dyDescent="0.3">
      <c r="A3" s="24">
        <f>'ALL VARS'!A3</f>
        <v>43979</v>
      </c>
      <c r="B3" s="16">
        <f>'ALL VARS'!F3</f>
        <v>-4.5798180601685388E-3</v>
      </c>
      <c r="C3" s="16">
        <f>'ALL VARS'!G3</f>
        <v>-6.0894480094293875E-4</v>
      </c>
      <c r="D3" s="16">
        <f>'ALL VARS'!H3</f>
        <v>8.1792696244475296E-3</v>
      </c>
      <c r="E3" s="16">
        <f>'ALL VARS'!X3</f>
        <v>-3.9796701988386524E-3</v>
      </c>
      <c r="F3" s="16">
        <f>'ALL VARS'!Z3</f>
        <v>6.018259805685721E-2</v>
      </c>
      <c r="G3" s="16">
        <f>'ALL VARS'!J3</f>
        <v>30.092000099999996</v>
      </c>
    </row>
    <row r="4" spans="1:14" x14ac:dyDescent="0.25">
      <c r="A4" s="24">
        <f>'ALL VARS'!A4</f>
        <v>43978</v>
      </c>
      <c r="B4" s="16">
        <f>'ALL VARS'!F4</f>
        <v>-6.0894480094293875E-4</v>
      </c>
      <c r="C4" s="16">
        <f>'ALL VARS'!G4</f>
        <v>8.1792696244475296E-3</v>
      </c>
      <c r="D4" s="16">
        <f>'ALL VARS'!H4</f>
        <v>4.8223739412853626E-3</v>
      </c>
      <c r="E4" s="16">
        <f>'ALL VARS'!X4</f>
        <v>1.3920669668449529E-4</v>
      </c>
      <c r="F4" s="16">
        <f>'ALL VARS'!Z4</f>
        <v>-2.0297044819016586E-3</v>
      </c>
      <c r="G4" s="16">
        <f>'ALL VARS'!J4</f>
        <v>30.634000099999998</v>
      </c>
      <c r="I4" s="26" t="s">
        <v>40</v>
      </c>
      <c r="J4" s="26"/>
    </row>
    <row r="5" spans="1:14" x14ac:dyDescent="0.25">
      <c r="A5" s="24">
        <f>'ALL VARS'!A5</f>
        <v>43977</v>
      </c>
      <c r="B5" s="16">
        <f>'ALL VARS'!F5</f>
        <v>8.1792696244475296E-3</v>
      </c>
      <c r="C5" s="16">
        <f>'ALL VARS'!G5</f>
        <v>4.8223739412853626E-3</v>
      </c>
      <c r="D5" s="16">
        <f>'ALL VARS'!H5</f>
        <v>1.0849210535487055E-2</v>
      </c>
      <c r="E5" s="16">
        <f>'ALL VARS'!X5</f>
        <v>-3.5609529572036467E-3</v>
      </c>
      <c r="F5" s="16">
        <f>'ALL VARS'!Z5</f>
        <v>5.2077188265084243E-2</v>
      </c>
      <c r="G5" s="16">
        <f>'ALL VARS'!J5</f>
        <v>30.590000099999997</v>
      </c>
      <c r="I5" s="18" t="s">
        <v>41</v>
      </c>
      <c r="J5" s="18">
        <v>0.35975002361379521</v>
      </c>
    </row>
    <row r="6" spans="1:14" x14ac:dyDescent="0.25">
      <c r="A6" s="24">
        <f>'ALL VARS'!A6</f>
        <v>43976</v>
      </c>
      <c r="B6" s="16">
        <f>'ALL VARS'!F6</f>
        <v>4.8223739412853626E-3</v>
      </c>
      <c r="C6" s="16">
        <f>'ALL VARS'!G6</f>
        <v>1.0849210535487055E-2</v>
      </c>
      <c r="D6" s="16">
        <f>'ALL VARS'!H6</f>
        <v>1.9280759189597432E-3</v>
      </c>
      <c r="E6" s="16">
        <f>'ALL VARS'!X6</f>
        <v>2.2717113236016386E-3</v>
      </c>
      <c r="F6" s="16">
        <f>'ALL VARS'!Z6</f>
        <v>-3.324310790403897E-2</v>
      </c>
      <c r="G6" s="16">
        <f>'ALL VARS'!J6</f>
        <v>30.581000099999997</v>
      </c>
      <c r="I6" s="18" t="s">
        <v>42</v>
      </c>
      <c r="J6" s="18">
        <v>0.12942007949012621</v>
      </c>
    </row>
    <row r="7" spans="1:14" x14ac:dyDescent="0.25">
      <c r="A7" s="24">
        <f>'ALL VARS'!A7</f>
        <v>43973</v>
      </c>
      <c r="B7" s="16">
        <f>'ALL VARS'!F7</f>
        <v>1.0849210535487055E-2</v>
      </c>
      <c r="C7" s="16">
        <f>'ALL VARS'!G7</f>
        <v>1.9280759189597432E-3</v>
      </c>
      <c r="D7" s="16">
        <f>'ALL VARS'!H7</f>
        <v>-7.5144837132717695E-3</v>
      </c>
      <c r="E7" s="16">
        <f>'ALL VARS'!X7</f>
        <v>-1.1963390519316018E-2</v>
      </c>
      <c r="F7" s="16">
        <f>'ALL VARS'!Z7</f>
        <v>0.17517405232116734</v>
      </c>
      <c r="G7" s="16">
        <f>'ALL VARS'!J7</f>
        <v>30.572000099999997</v>
      </c>
      <c r="I7" s="18" t="s">
        <v>42</v>
      </c>
      <c r="J7" s="18">
        <v>2.2698182298709652E-2</v>
      </c>
    </row>
    <row r="8" spans="1:14" x14ac:dyDescent="0.25">
      <c r="A8" s="24">
        <f>'ALL VARS'!A8</f>
        <v>43972</v>
      </c>
      <c r="B8" s="16">
        <f>'ALL VARS'!F8</f>
        <v>1.9280759189597432E-3</v>
      </c>
      <c r="C8" s="16">
        <f>'ALL VARS'!G8</f>
        <v>-7.5144837132717695E-3</v>
      </c>
      <c r="D8" s="16">
        <f>'ALL VARS'!H8</f>
        <v>7.5307923146686901E-3</v>
      </c>
      <c r="E8" s="16">
        <f>'ALL VARS'!X8</f>
        <v>7.4224151691076282E-4</v>
      </c>
      <c r="F8" s="16">
        <f>'ALL VARS'!Z8</f>
        <v>-1.0726509898002794E-2</v>
      </c>
      <c r="G8" s="16">
        <f>'ALL VARS'!J8</f>
        <v>30.763000099999999</v>
      </c>
      <c r="I8" s="18" t="s">
        <v>43</v>
      </c>
      <c r="J8" s="18">
        <v>2.020782814661997E-2</v>
      </c>
    </row>
    <row r="9" spans="1:14" ht="15.75" thickBot="1" x14ac:dyDescent="0.3">
      <c r="A9" s="24">
        <f>'ALL VARS'!A9</f>
        <v>43971</v>
      </c>
      <c r="B9" s="16">
        <f>'ALL VARS'!F9</f>
        <v>-7.5144837132717695E-3</v>
      </c>
      <c r="C9" s="16">
        <f>'ALL VARS'!G9</f>
        <v>7.5307923146686901E-3</v>
      </c>
      <c r="D9" s="16">
        <f>'ALL VARS'!H9</f>
        <v>1.6845500851389788E-2</v>
      </c>
      <c r="E9" s="16">
        <f>'ALL VARS'!X9</f>
        <v>1.5145366119592391E-3</v>
      </c>
      <c r="F9" s="16">
        <f>'ALL VARS'!Z9</f>
        <v>-2.0958928556684051E-2</v>
      </c>
      <c r="G9" s="16">
        <f>'ALL VARS'!J9</f>
        <v>31.375999999999998</v>
      </c>
      <c r="I9" s="28" t="s">
        <v>44</v>
      </c>
      <c r="J9" s="28">
        <v>47</v>
      </c>
    </row>
    <row r="10" spans="1:14" x14ac:dyDescent="0.25">
      <c r="A10" s="24">
        <f>'ALL VARS'!A10</f>
        <v>43970</v>
      </c>
      <c r="B10" s="16">
        <f>'ALL VARS'!F10</f>
        <v>7.5307923146686901E-3</v>
      </c>
      <c r="C10" s="16">
        <f>'ALL VARS'!G10</f>
        <v>1.6845500851389788E-2</v>
      </c>
      <c r="D10" s="16">
        <f>'ALL VARS'!H10</f>
        <v>8.9044014875318926E-3</v>
      </c>
      <c r="E10" s="16">
        <f>'ALL VARS'!X10</f>
        <v>8.7604672078830364E-3</v>
      </c>
      <c r="F10" s="16">
        <f>'ALL VARS'!Z10</f>
        <v>-0.11853358052341999</v>
      </c>
      <c r="G10" s="16">
        <f>'ALL VARS'!J10</f>
        <v>31.683999999999997</v>
      </c>
    </row>
    <row r="11" spans="1:14" ht="15.75" thickBot="1" x14ac:dyDescent="0.3">
      <c r="A11" s="24">
        <f>'ALL VARS'!A11</f>
        <v>43966</v>
      </c>
      <c r="B11" s="16">
        <f>'ALL VARS'!F11</f>
        <v>1.6845500851389788E-2</v>
      </c>
      <c r="C11" s="16">
        <f>'ALL VARS'!G11</f>
        <v>8.9044014875318926E-3</v>
      </c>
      <c r="D11" s="16">
        <f>'ALL VARS'!H11</f>
        <v>4.4817694802564231E-4</v>
      </c>
      <c r="E11" s="16">
        <f>'ALL VARS'!X11</f>
        <v>8.3455874052259706E-3</v>
      </c>
      <c r="F11" s="16">
        <f>'ALL VARS'!Z11</f>
        <v>-0.10293037582065447</v>
      </c>
      <c r="G11" s="16">
        <f>'ALL VARS'!J11</f>
        <v>32.881000200000003</v>
      </c>
      <c r="I11" s="18" t="s">
        <v>45</v>
      </c>
    </row>
    <row r="12" spans="1:14" x14ac:dyDescent="0.25">
      <c r="A12" s="24">
        <f>'ALL VARS'!A12</f>
        <v>43965</v>
      </c>
      <c r="B12" s="16">
        <f>'ALL VARS'!F12</f>
        <v>8.9044014875318926E-3</v>
      </c>
      <c r="C12" s="16">
        <f>'ALL VARS'!G12</f>
        <v>4.4817694802564231E-4</v>
      </c>
      <c r="D12" s="16">
        <f>'ALL VARS'!H12</f>
        <v>-2.5401176991557837E-2</v>
      </c>
      <c r="E12" s="16">
        <f>'ALL VARS'!X12</f>
        <v>-7.4675970629340827E-3</v>
      </c>
      <c r="F12" s="16">
        <f>'ALL VARS'!Z12</f>
        <v>9.0951663500908275E-2</v>
      </c>
      <c r="G12" s="16">
        <f>'ALL VARS'!J12</f>
        <v>33.0350003</v>
      </c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A13" s="24">
        <f>'ALL VARS'!A13</f>
        <v>43964</v>
      </c>
      <c r="B13" s="16">
        <f>'ALL VARS'!F13</f>
        <v>4.4817694802564231E-4</v>
      </c>
      <c r="C13" s="16">
        <f>'ALL VARS'!G13</f>
        <v>-2.5401176991557837E-2</v>
      </c>
      <c r="D13" s="16">
        <f>'ALL VARS'!H13</f>
        <v>-1.4698871572495898E-2</v>
      </c>
      <c r="E13" s="16">
        <f>'ALL VARS'!X13</f>
        <v>5.2177766315999914E-3</v>
      </c>
      <c r="F13" s="16">
        <f>'ALL VARS'!Z13</f>
        <v>-6.5663154966480966E-2</v>
      </c>
      <c r="G13" s="16">
        <f>'ALL VARS'!J13</f>
        <v>32.630000399999993</v>
      </c>
      <c r="I13" s="18" t="s">
        <v>46</v>
      </c>
      <c r="J13" s="18">
        <v>5</v>
      </c>
      <c r="K13" s="18">
        <v>2.5496559817256709E-3</v>
      </c>
      <c r="L13" s="18">
        <v>5.099311963451342E-4</v>
      </c>
      <c r="M13" s="18">
        <v>1.2487408015112043</v>
      </c>
      <c r="N13" s="18">
        <v>0.30439080972937821</v>
      </c>
    </row>
    <row r="14" spans="1:14" x14ac:dyDescent="0.25">
      <c r="A14" s="24">
        <f>'ALL VARS'!A14</f>
        <v>43963</v>
      </c>
      <c r="B14" s="16">
        <f>'ALL VARS'!F14</f>
        <v>-2.5401176991557837E-2</v>
      </c>
      <c r="C14" s="16">
        <f>'ALL VARS'!G14</f>
        <v>-1.4698871572495898E-2</v>
      </c>
      <c r="D14" s="16">
        <f>'ALL VARS'!H14</f>
        <v>9.1270288220883112E-3</v>
      </c>
      <c r="E14" s="16">
        <f>'ALL VARS'!X14</f>
        <v>2.1353922332834766E-3</v>
      </c>
      <c r="F14" s="16">
        <f>'ALL VARS'!Z14</f>
        <v>-2.6759686379274679E-2</v>
      </c>
      <c r="G14" s="16">
        <f>'ALL VARS'!J14</f>
        <v>32.683000299999996</v>
      </c>
      <c r="I14" s="18" t="s">
        <v>47</v>
      </c>
      <c r="J14" s="18">
        <v>42</v>
      </c>
      <c r="K14" s="18">
        <v>1.7150965372939704E-2</v>
      </c>
      <c r="L14" s="18">
        <v>4.0835631840332629E-4</v>
      </c>
    </row>
    <row r="15" spans="1:14" ht="15.75" thickBot="1" x14ac:dyDescent="0.3">
      <c r="A15" s="24">
        <f>'ALL VARS'!A15</f>
        <v>43962</v>
      </c>
      <c r="B15" s="16">
        <f>'ALL VARS'!F15</f>
        <v>-1.4698871572495898E-2</v>
      </c>
      <c r="C15" s="16">
        <f>'ALL VARS'!G15</f>
        <v>9.1270288220883112E-3</v>
      </c>
      <c r="D15" s="16">
        <f>'ALL VARS'!H15</f>
        <v>8.9592894728179693E-3</v>
      </c>
      <c r="E15" s="16">
        <f>'ALL VARS'!X15</f>
        <v>-1.1690442426449081E-2</v>
      </c>
      <c r="F15" s="16">
        <f>'ALL VARS'!Z15</f>
        <v>0.13981194690099871</v>
      </c>
      <c r="G15" s="16">
        <f>'ALL VARS'!J15</f>
        <v>33.2550004</v>
      </c>
      <c r="I15" s="28" t="s">
        <v>48</v>
      </c>
      <c r="J15" s="28">
        <v>47</v>
      </c>
      <c r="K15" s="28">
        <v>1.9700621354665375E-2</v>
      </c>
      <c r="L15" s="28"/>
      <c r="M15" s="28"/>
      <c r="N15" s="28"/>
    </row>
    <row r="16" spans="1:14" ht="15.75" thickBot="1" x14ac:dyDescent="0.3">
      <c r="A16" s="24">
        <f>'ALL VARS'!A16</f>
        <v>43959</v>
      </c>
      <c r="B16" s="16">
        <f>'ALL VARS'!F16</f>
        <v>9.1270288220883112E-3</v>
      </c>
      <c r="C16" s="16">
        <f>'ALL VARS'!G16</f>
        <v>8.9592894728179693E-3</v>
      </c>
      <c r="D16" s="16">
        <f>'ALL VARS'!H16</f>
        <v>2.0228309928424119E-4</v>
      </c>
      <c r="E16" s="16">
        <f>'ALL VARS'!X16</f>
        <v>1.5915756643559884E-3</v>
      </c>
      <c r="F16" s="16">
        <f>'ALL VARS'!Z16</f>
        <v>-1.7769160214591E-2</v>
      </c>
      <c r="G16" s="16">
        <f>'ALL VARS'!J16</f>
        <v>34.050000400000002</v>
      </c>
    </row>
    <row r="17" spans="1:17" x14ac:dyDescent="0.25">
      <c r="A17" s="24">
        <f>'ALL VARS'!A17</f>
        <v>43958</v>
      </c>
      <c r="B17" s="16">
        <f>'ALL VARS'!F17</f>
        <v>8.9592894728179693E-3</v>
      </c>
      <c r="C17" s="16">
        <f>'ALL VARS'!G17</f>
        <v>2.0228309928424119E-4</v>
      </c>
      <c r="D17" s="16">
        <f>'ALL VARS'!H17</f>
        <v>1.2895694256002256E-3</v>
      </c>
      <c r="E17" s="16">
        <f>'ALL VARS'!X17</f>
        <v>4.2867611724490213E-3</v>
      </c>
      <c r="F17" s="16">
        <f>'ALL VARS'!Z17</f>
        <v>-4.359854143070379E-2</v>
      </c>
      <c r="G17" s="16">
        <f>'ALL VARS'!J17</f>
        <v>35.044000400000002</v>
      </c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1:17" x14ac:dyDescent="0.25">
      <c r="A18" s="24">
        <f>'ALL VARS'!A18</f>
        <v>43957</v>
      </c>
      <c r="B18" s="16">
        <f>'ALL VARS'!F18</f>
        <v>2.0228309928424119E-4</v>
      </c>
      <c r="C18" s="16">
        <f>'ALL VARS'!G18</f>
        <v>1.2895694256002256E-3</v>
      </c>
      <c r="D18" s="16">
        <f>'ALL VARS'!H18</f>
        <v>4.5167588335029351E-3</v>
      </c>
      <c r="E18" s="16">
        <f>'ALL VARS'!X18</f>
        <v>-3.5819131495890924E-3</v>
      </c>
      <c r="F18" s="16">
        <f>'ALL VARS'!Z18</f>
        <v>3.3614494448852984E-2</v>
      </c>
      <c r="G18" s="16">
        <f>'ALL VARS'!J18</f>
        <v>35.830000499999997</v>
      </c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4">
        <f>'ALL VARS'!A19</f>
        <v>43956</v>
      </c>
      <c r="B19" s="16">
        <f>'ALL VARS'!F19</f>
        <v>1.2895694256002256E-3</v>
      </c>
      <c r="C19" s="16">
        <f>'ALL VARS'!G19</f>
        <v>4.5167588335029351E-3</v>
      </c>
      <c r="D19" s="16">
        <f>'ALL VARS'!H19</f>
        <v>8.5292501975474666E-3</v>
      </c>
      <c r="E19" s="16">
        <f>'ALL VARS'!X19</f>
        <v>-3.8911296934307027E-4</v>
      </c>
      <c r="F19" s="16">
        <f>'ALL VARS'!Z19</f>
        <v>3.192480708807979E-3</v>
      </c>
      <c r="G19" s="16">
        <f>'ALL VARS'!J19</f>
        <v>37.010000400000003</v>
      </c>
      <c r="I19" s="18" t="s">
        <v>36</v>
      </c>
      <c r="J19" s="18">
        <v>2.3691012603896708E-2</v>
      </c>
      <c r="K19" s="18">
        <v>0.12010718306531455</v>
      </c>
      <c r="L19" s="18">
        <v>0.19724892383008835</v>
      </c>
      <c r="M19" s="18">
        <v>0.84458423916707737</v>
      </c>
      <c r="N19" s="18">
        <v>-0.21869509591728009</v>
      </c>
      <c r="O19" s="18">
        <v>0.26607712112507353</v>
      </c>
      <c r="P19" s="18">
        <v>-0.21869509591728009</v>
      </c>
      <c r="Q19" s="18">
        <v>0.26607712112507353</v>
      </c>
    </row>
    <row r="20" spans="1:17" x14ac:dyDescent="0.25">
      <c r="A20" s="24">
        <f>'ALL VARS'!A20</f>
        <v>43955</v>
      </c>
      <c r="B20" s="16">
        <f>'ALL VARS'!F20</f>
        <v>4.5167588335029351E-3</v>
      </c>
      <c r="C20" s="16">
        <f>'ALL VARS'!G20</f>
        <v>8.5292501975474666E-3</v>
      </c>
      <c r="D20" s="16">
        <f>'ALL VARS'!H20</f>
        <v>-1.0852015661224153E-2</v>
      </c>
      <c r="E20" s="16">
        <f>'ALL VARS'!X20</f>
        <v>3.6088050963376506E-3</v>
      </c>
      <c r="F20" s="16">
        <f>'ALL VARS'!Z20</f>
        <v>-2.6771951332673977E-2</v>
      </c>
      <c r="G20" s="16">
        <f>'ALL VARS'!J20</f>
        <v>37.796000499999998</v>
      </c>
      <c r="I20" s="18" t="s">
        <v>37</v>
      </c>
      <c r="J20" s="18">
        <v>-0.11099171781486911</v>
      </c>
      <c r="K20" s="18">
        <v>0.11737104118505869</v>
      </c>
      <c r="L20" s="18">
        <v>-0.94564823396146491</v>
      </c>
      <c r="M20" s="18">
        <v>0.34973693995808097</v>
      </c>
      <c r="N20" s="18">
        <v>-0.34785606847118633</v>
      </c>
      <c r="O20" s="18">
        <v>0.12587263284144809</v>
      </c>
      <c r="P20" s="18">
        <v>-0.34785606847118633</v>
      </c>
      <c r="Q20" s="18">
        <v>0.12587263284144809</v>
      </c>
    </row>
    <row r="21" spans="1:17" x14ac:dyDescent="0.25">
      <c r="A21" s="24">
        <f>'ALL VARS'!A21</f>
        <v>43952</v>
      </c>
      <c r="B21" s="16">
        <f>'ALL VARS'!F21</f>
        <v>8.5292501975474666E-3</v>
      </c>
      <c r="C21" s="16">
        <f>'ALL VARS'!G21</f>
        <v>-1.0852015661224153E-2</v>
      </c>
      <c r="D21" s="16">
        <f>'ALL VARS'!H21</f>
        <v>-2.9379858648651246E-2</v>
      </c>
      <c r="E21" s="16">
        <f>'ALL VARS'!X21</f>
        <v>-3.4532711014385658E-3</v>
      </c>
      <c r="F21" s="16">
        <f>'ALL VARS'!Z21</f>
        <v>2.5286606005573826E-2</v>
      </c>
      <c r="G21" s="16">
        <f>'ALL VARS'!J21</f>
        <v>37.892000799999991</v>
      </c>
      <c r="I21" s="18" t="s">
        <v>10</v>
      </c>
      <c r="J21" s="18">
        <v>0.6856844868236075</v>
      </c>
      <c r="K21" s="18">
        <v>0.49589816099057893</v>
      </c>
      <c r="L21" s="18">
        <v>1.382712300150341</v>
      </c>
      <c r="M21" s="18">
        <v>0.17406123896352704</v>
      </c>
      <c r="N21" s="18">
        <v>-0.31507851833279588</v>
      </c>
      <c r="O21" s="18">
        <v>1.6864474919800108</v>
      </c>
      <c r="P21" s="18">
        <v>-0.31507851833279588</v>
      </c>
      <c r="Q21" s="18">
        <v>1.6864474919800108</v>
      </c>
    </row>
    <row r="22" spans="1:17" x14ac:dyDescent="0.25">
      <c r="A22" s="24">
        <f>'ALL VARS'!A22</f>
        <v>43951</v>
      </c>
      <c r="B22" s="16">
        <f>'ALL VARS'!F22</f>
        <v>-1.0852015661224153E-2</v>
      </c>
      <c r="C22" s="16">
        <f>'ALL VARS'!G22</f>
        <v>-2.9379858648651246E-2</v>
      </c>
      <c r="D22" s="16">
        <f>'ALL VARS'!H22</f>
        <v>2.904386379946032E-2</v>
      </c>
      <c r="E22" s="16">
        <f>'ALL VARS'!X22</f>
        <v>-2.434916385736674E-3</v>
      </c>
      <c r="F22" s="16">
        <f>'ALL VARS'!Z22</f>
        <v>1.6378485312637935E-2</v>
      </c>
      <c r="G22" s="16">
        <f>'ALL VARS'!J22</f>
        <v>38.488000700000001</v>
      </c>
      <c r="I22" s="18" t="s">
        <v>78</v>
      </c>
      <c r="J22" s="18">
        <v>1.6615184624098785E-2</v>
      </c>
      <c r="K22" s="18">
        <v>3.5631895162009937E-2</v>
      </c>
      <c r="L22" s="18">
        <v>0.46630089554746967</v>
      </c>
      <c r="M22" s="18">
        <v>0.64340971145391457</v>
      </c>
      <c r="N22" s="18">
        <v>-5.5292891039098575E-2</v>
      </c>
      <c r="O22" s="18">
        <v>8.8523260287296152E-2</v>
      </c>
      <c r="P22" s="18">
        <v>-5.5292891039098575E-2</v>
      </c>
      <c r="Q22" s="18">
        <v>8.8523260287296152E-2</v>
      </c>
    </row>
    <row r="23" spans="1:17" ht="15.75" thickBot="1" x14ac:dyDescent="0.3">
      <c r="A23" s="24">
        <f>'ALL VARS'!A23</f>
        <v>43950</v>
      </c>
      <c r="B23" s="16">
        <f>'ALL VARS'!F23</f>
        <v>-2.9379858648651246E-2</v>
      </c>
      <c r="C23" s="16">
        <f>'ALL VARS'!G23</f>
        <v>2.904386379946032E-2</v>
      </c>
      <c r="D23" s="16">
        <f>'ALL VARS'!H23</f>
        <v>1.0667882350970269E-2</v>
      </c>
      <c r="E23" s="16">
        <f>'ALL VARS'!X23</f>
        <v>-6.257889059890118E-3</v>
      </c>
      <c r="F23" s="16">
        <f>'ALL VARS'!Z23</f>
        <v>3.607991140310552E-2</v>
      </c>
      <c r="G23" s="16">
        <f>'ALL VARS'!J23</f>
        <v>39.449000699999999</v>
      </c>
      <c r="I23" s="28" t="s">
        <v>4</v>
      </c>
      <c r="J23" s="28">
        <v>1.3295147585632564E-4</v>
      </c>
      <c r="K23" s="28">
        <v>7.1867748238778223E-5</v>
      </c>
      <c r="L23" s="28">
        <v>1.8499463126992479</v>
      </c>
      <c r="M23" s="28">
        <v>7.1365299959263967E-2</v>
      </c>
      <c r="N23" s="28">
        <v>-1.2083511887115296E-5</v>
      </c>
      <c r="O23" s="28">
        <v>2.7798646359976657E-4</v>
      </c>
      <c r="P23" s="28">
        <v>-1.2083511887115296E-5</v>
      </c>
      <c r="Q23" s="28">
        <v>2.7798646359976657E-4</v>
      </c>
    </row>
    <row r="24" spans="1:17" x14ac:dyDescent="0.25">
      <c r="A24" s="24">
        <f>'ALL VARS'!A24</f>
        <v>43949</v>
      </c>
      <c r="B24" s="16">
        <f>'ALL VARS'!F24</f>
        <v>2.904386379946032E-2</v>
      </c>
      <c r="C24" s="16">
        <f>'ALL VARS'!G24</f>
        <v>1.0667882350970269E-2</v>
      </c>
      <c r="D24" s="16">
        <f>'ALL VARS'!H24</f>
        <v>1.5373998778727917E-2</v>
      </c>
      <c r="E24" s="16">
        <f>'ALL VARS'!X24</f>
        <v>8.9372641890552197E-5</v>
      </c>
      <c r="F24" s="16">
        <f>'ALL VARS'!Z24</f>
        <v>-4.7783159078964297E-4</v>
      </c>
      <c r="G24" s="16">
        <f>'ALL VARS'!J24</f>
        <v>39.868000500000008</v>
      </c>
    </row>
    <row r="25" spans="1:17" x14ac:dyDescent="0.25">
      <c r="A25" s="24">
        <f>'ALL VARS'!A25</f>
        <v>43948</v>
      </c>
      <c r="B25" s="16">
        <f>'ALL VARS'!F25</f>
        <v>1.0667882350970269E-2</v>
      </c>
      <c r="C25" s="16">
        <f>'ALL VARS'!G25</f>
        <v>1.5373998778727917E-2</v>
      </c>
      <c r="D25" s="16">
        <f>'ALL VARS'!H25</f>
        <v>1.1879839917270655E-2</v>
      </c>
      <c r="E25" s="16">
        <f>'ALL VARS'!X25</f>
        <v>-2.3627544575136358E-3</v>
      </c>
      <c r="F25" s="16">
        <f>'ALL VARS'!Z25</f>
        <v>1.077063701997653E-2</v>
      </c>
      <c r="G25" s="16">
        <f>'ALL VARS'!J25</f>
        <v>40.656000200000001</v>
      </c>
    </row>
    <row r="26" spans="1:17" x14ac:dyDescent="0.25">
      <c r="A26" s="24">
        <f>'ALL VARS'!A26</f>
        <v>43945</v>
      </c>
      <c r="B26" s="16">
        <f>'ALL VARS'!F26</f>
        <v>1.5373998778727917E-2</v>
      </c>
      <c r="C26" s="16">
        <f>'ALL VARS'!G26</f>
        <v>1.1879839917270655E-2</v>
      </c>
      <c r="D26" s="16">
        <f>'ALL VARS'!H26</f>
        <v>-2.5965891780394849E-3</v>
      </c>
      <c r="E26" s="16">
        <f>'ALL VARS'!X26</f>
        <v>-6.3268426066481207E-3</v>
      </c>
      <c r="F26" s="16">
        <f>'ALL VARS'!Z26</f>
        <v>2.5209361396570481E-2</v>
      </c>
      <c r="G26" s="16">
        <f>'ALL VARS'!J26</f>
        <v>41.230000000000004</v>
      </c>
    </row>
    <row r="27" spans="1:17" x14ac:dyDescent="0.25">
      <c r="A27" s="24">
        <f>'ALL VARS'!A27</f>
        <v>43944</v>
      </c>
      <c r="B27" s="16">
        <f>'ALL VARS'!F27</f>
        <v>1.1879839917270655E-2</v>
      </c>
      <c r="C27" s="16">
        <f>'ALL VARS'!G27</f>
        <v>-2.5965891780394849E-3</v>
      </c>
      <c r="D27" s="16">
        <f>'ALL VARS'!H27</f>
        <v>2.4971169199914333E-2</v>
      </c>
      <c r="E27" s="16">
        <f>'ALL VARS'!X27</f>
        <v>-1.4570747688227757E-3</v>
      </c>
      <c r="F27" s="16">
        <f>'ALL VARS'!Z27</f>
        <v>5.5186842581617284E-3</v>
      </c>
      <c r="G27" s="16">
        <f>'ALL VARS'!J27</f>
        <v>41.42699970000001</v>
      </c>
    </row>
    <row r="28" spans="1:17" x14ac:dyDescent="0.25">
      <c r="A28" s="24">
        <f>'ALL VARS'!A28</f>
        <v>43943</v>
      </c>
      <c r="B28" s="16">
        <f>'ALL VARS'!F28</f>
        <v>-2.5965891780394849E-3</v>
      </c>
      <c r="C28" s="16">
        <f>'ALL VARS'!G28</f>
        <v>2.4971169199914333E-2</v>
      </c>
      <c r="D28" s="16">
        <f>'ALL VARS'!H28</f>
        <v>-3.1150323670921017E-2</v>
      </c>
      <c r="E28" s="16">
        <f>'ALL VARS'!X28</f>
        <v>-8.1397416950628222E-3</v>
      </c>
      <c r="F28" s="16">
        <f>'ALL VARS'!Z28</f>
        <v>2.6987388589846149E-2</v>
      </c>
      <c r="G28" s="16">
        <f>'ALL VARS'!J28</f>
        <v>41.898999799999999</v>
      </c>
    </row>
    <row r="29" spans="1:17" x14ac:dyDescent="0.25">
      <c r="A29" s="24">
        <f>'ALL VARS'!A29</f>
        <v>43942</v>
      </c>
      <c r="B29" s="16">
        <f>'ALL VARS'!F29</f>
        <v>2.4971169199914333E-2</v>
      </c>
      <c r="C29" s="16">
        <f>'ALL VARS'!G29</f>
        <v>-3.1150323670921017E-2</v>
      </c>
      <c r="D29" s="16">
        <f>'ALL VARS'!H29</f>
        <v>1.9776887879946956E-3</v>
      </c>
      <c r="E29" s="16">
        <f>'ALL VARS'!X29</f>
        <v>6.2544682571715783E-3</v>
      </c>
      <c r="F29" s="16">
        <f>'ALL VARS'!Z29</f>
        <v>-2.0843071845020444E-2</v>
      </c>
      <c r="G29" s="16">
        <f>'ALL VARS'!J29</f>
        <v>41.881999999999998</v>
      </c>
    </row>
    <row r="30" spans="1:17" x14ac:dyDescent="0.25">
      <c r="A30" s="24">
        <f>'ALL VARS'!A30</f>
        <v>43941</v>
      </c>
      <c r="B30" s="16">
        <f>'ALL VARS'!F30</f>
        <v>-3.1150323670921017E-2</v>
      </c>
      <c r="C30" s="16">
        <f>'ALL VARS'!G30</f>
        <v>1.9776887879946956E-3</v>
      </c>
      <c r="D30" s="16">
        <f>'ALL VARS'!H30</f>
        <v>3.3138402111040632E-2</v>
      </c>
      <c r="E30" s="16">
        <f>'ALL VARS'!X30</f>
        <v>9.399022068945043E-4</v>
      </c>
      <c r="F30" s="16">
        <f>'ALL VARS'!Z30</f>
        <v>-2.8530819033103761E-3</v>
      </c>
      <c r="G30" s="16">
        <f>'ALL VARS'!J30</f>
        <v>42.178999699999999</v>
      </c>
    </row>
    <row r="31" spans="1:17" x14ac:dyDescent="0.25">
      <c r="A31" s="24">
        <f>'ALL VARS'!A31</f>
        <v>43938</v>
      </c>
      <c r="B31" s="16">
        <f>'ALL VARS'!F31</f>
        <v>1.9776887879946956E-3</v>
      </c>
      <c r="C31" s="16">
        <f>'ALL VARS'!G31</f>
        <v>3.3138402111040632E-2</v>
      </c>
      <c r="D31" s="16">
        <f>'ALL VARS'!H31</f>
        <v>-4.2482631253185207E-3</v>
      </c>
      <c r="E31" s="16">
        <f>'ALL VARS'!X31</f>
        <v>1.5092006869835773E-2</v>
      </c>
      <c r="F31" s="16">
        <f>'ALL VARS'!Z31</f>
        <v>-2.6554529673358519E-2</v>
      </c>
      <c r="G31" s="16">
        <f>'ALL VARS'!J31</f>
        <v>43.4549995</v>
      </c>
    </row>
    <row r="32" spans="1:17" x14ac:dyDescent="0.25">
      <c r="A32" s="24">
        <f>'ALL VARS'!A32</f>
        <v>43937</v>
      </c>
      <c r="B32" s="16">
        <f>'ALL VARS'!F32</f>
        <v>3.3138402111040632E-2</v>
      </c>
      <c r="C32" s="16">
        <f>'ALL VARS'!G32</f>
        <v>-4.2482631253185207E-3</v>
      </c>
      <c r="D32" s="16">
        <f>'ALL VARS'!H32</f>
        <v>-2.1026256366684357E-2</v>
      </c>
      <c r="E32" s="16">
        <f>'ALL VARS'!X32</f>
        <v>-2.0035314346432759E-4</v>
      </c>
      <c r="F32" s="16">
        <f>'ALL VARS'!Z32</f>
        <v>1.2924683920281675E-5</v>
      </c>
      <c r="G32" s="16">
        <f>'ALL VARS'!J32</f>
        <v>45.149999499999993</v>
      </c>
    </row>
    <row r="33" spans="1:7" x14ac:dyDescent="0.25">
      <c r="A33" s="24">
        <f>'ALL VARS'!A33</f>
        <v>43936</v>
      </c>
      <c r="B33" s="16">
        <f>'ALL VARS'!F33</f>
        <v>-4.2482631253185207E-3</v>
      </c>
      <c r="C33" s="16">
        <f>'ALL VARS'!G33</f>
        <v>-2.1026256366684357E-2</v>
      </c>
      <c r="D33" s="16">
        <f>'ALL VARS'!H33</f>
        <v>1.2965422809946055E-2</v>
      </c>
      <c r="E33" s="16">
        <f>'ALL VARS'!X33</f>
        <v>-2.5983841384834668E-4</v>
      </c>
      <c r="F33" s="16">
        <f>'ALL VARS'!Z33</f>
        <v>-3.1323276176624539E-4</v>
      </c>
      <c r="G33" s="16">
        <f>'ALL VARS'!J33</f>
        <v>46.419999600000004</v>
      </c>
    </row>
    <row r="34" spans="1:7" x14ac:dyDescent="0.25">
      <c r="A34" s="24">
        <f>'ALL VARS'!A34</f>
        <v>43935</v>
      </c>
      <c r="B34" s="16">
        <f>'ALL VARS'!F34</f>
        <v>-2.1026256366684357E-2</v>
      </c>
      <c r="C34" s="16">
        <f>'ALL VARS'!G34</f>
        <v>1.2965422809946055E-2</v>
      </c>
      <c r="D34" s="16">
        <f>'ALL VARS'!H34</f>
        <v>-6.4023280464834062E-3</v>
      </c>
      <c r="E34" s="16">
        <f>'ALL VARS'!X34</f>
        <v>-4.8918098363505596E-3</v>
      </c>
      <c r="F34" s="16">
        <f>'ALL VARS'!Z34</f>
        <v>-1.5348009266604533E-2</v>
      </c>
      <c r="G34" s="16">
        <f>'ALL VARS'!J34</f>
        <v>48.352000000000004</v>
      </c>
    </row>
    <row r="35" spans="1:7" x14ac:dyDescent="0.25">
      <c r="A35" s="24">
        <f>'ALL VARS'!A35</f>
        <v>43934</v>
      </c>
      <c r="B35" s="16">
        <f>'ALL VARS'!F35</f>
        <v>1.2965422809946055E-2</v>
      </c>
      <c r="C35" s="16">
        <f>'ALL VARS'!G35</f>
        <v>-6.4023280464834062E-3</v>
      </c>
      <c r="D35" s="16">
        <f>'ALL VARS'!H35</f>
        <v>1.729890853793448E-2</v>
      </c>
      <c r="E35" s="16">
        <f>'ALL VARS'!X35</f>
        <v>1.6972061336973533E-3</v>
      </c>
      <c r="F35" s="16">
        <f>'ALL VARS'!Z35</f>
        <v>9.4610608027821414E-3</v>
      </c>
      <c r="G35" s="16">
        <f>'ALL VARS'!J35</f>
        <v>50.789000299999998</v>
      </c>
    </row>
    <row r="36" spans="1:7" x14ac:dyDescent="0.25">
      <c r="A36" s="24">
        <f>'ALL VARS'!A36</f>
        <v>43930</v>
      </c>
      <c r="B36" s="16">
        <f>'ALL VARS'!F36</f>
        <v>-6.4023280464834062E-3</v>
      </c>
      <c r="C36" s="16">
        <f>'ALL VARS'!G36</f>
        <v>1.729890853793448E-2</v>
      </c>
      <c r="D36" s="16">
        <f>'ALL VARS'!H36</f>
        <v>2.2888078899761091E-2</v>
      </c>
      <c r="E36" s="16">
        <f>'ALL VARS'!X36</f>
        <v>-6.1817702594409536E-3</v>
      </c>
      <c r="F36" s="16">
        <f>'ALL VARS'!Z36</f>
        <v>-4.6409587590944198E-2</v>
      </c>
      <c r="G36" s="16">
        <f>'ALL VARS'!J36</f>
        <v>52.722000499999993</v>
      </c>
    </row>
    <row r="37" spans="1:7" x14ac:dyDescent="0.25">
      <c r="A37" s="24">
        <f>'ALL VARS'!A37</f>
        <v>43929</v>
      </c>
      <c r="B37" s="16">
        <f>'ALL VARS'!F37</f>
        <v>1.729890853793448E-2</v>
      </c>
      <c r="C37" s="16">
        <f>'ALL VARS'!G37</f>
        <v>2.2888078899761091E-2</v>
      </c>
      <c r="D37" s="16">
        <f>'ALL VARS'!H37</f>
        <v>1.5743313464585205E-3</v>
      </c>
      <c r="E37" s="16">
        <f>'ALL VARS'!X37</f>
        <v>9.7581869367338089E-3</v>
      </c>
      <c r="F37" s="16">
        <f>'ALL VARS'!Z37</f>
        <v>9.3361373363111164E-2</v>
      </c>
      <c r="G37" s="16">
        <f>'ALL VARS'!J37</f>
        <v>54.782000800000006</v>
      </c>
    </row>
    <row r="38" spans="1:7" x14ac:dyDescent="0.25">
      <c r="A38" s="24">
        <f>'ALL VARS'!A38</f>
        <v>43928</v>
      </c>
      <c r="B38" s="16">
        <f>'ALL VARS'!F38</f>
        <v>2.2888078899761091E-2</v>
      </c>
      <c r="C38" s="16">
        <f>'ALL VARS'!G38</f>
        <v>1.5743313464585205E-3</v>
      </c>
      <c r="D38" s="16">
        <f>'ALL VARS'!H38</f>
        <v>5.0578545857092143E-2</v>
      </c>
      <c r="E38" s="16">
        <f>'ALL VARS'!X38</f>
        <v>-1.2297746236059619E-3</v>
      </c>
      <c r="F38" s="16">
        <f>'ALL VARS'!Z38</f>
        <v>-1.3606830852543899E-2</v>
      </c>
      <c r="G38" s="16">
        <f>'ALL VARS'!J38</f>
        <v>56.279000499999995</v>
      </c>
    </row>
    <row r="39" spans="1:7" x14ac:dyDescent="0.25">
      <c r="A39" s="24">
        <f>'ALL VARS'!A39</f>
        <v>43927</v>
      </c>
      <c r="B39" s="16">
        <f>'ALL VARS'!F39</f>
        <v>1.5743313464585205E-3</v>
      </c>
      <c r="C39" s="16">
        <f>'ALL VARS'!G39</f>
        <v>5.0578545857092143E-2</v>
      </c>
      <c r="D39" s="16">
        <f>'ALL VARS'!H39</f>
        <v>-1.2177617796472343E-2</v>
      </c>
      <c r="E39" s="16">
        <f>'ALL VARS'!X39</f>
        <v>-7.1723386329397574E-3</v>
      </c>
      <c r="F39" s="16">
        <f>'ALL VARS'!Z39</f>
        <v>-9.1085051969008138E-2</v>
      </c>
      <c r="G39" s="16">
        <f>'ALL VARS'!J39</f>
        <v>57.914000299999998</v>
      </c>
    </row>
    <row r="40" spans="1:7" x14ac:dyDescent="0.25">
      <c r="A40" s="24">
        <f>'ALL VARS'!A40</f>
        <v>43924</v>
      </c>
      <c r="B40" s="16">
        <f>'ALL VARS'!F40</f>
        <v>5.0578545857092143E-2</v>
      </c>
      <c r="C40" s="16">
        <f>'ALL VARS'!G40</f>
        <v>-1.2177617796472343E-2</v>
      </c>
      <c r="D40" s="16">
        <f>'ALL VARS'!H40</f>
        <v>1.7194200807451526E-2</v>
      </c>
      <c r="E40" s="16">
        <f>'ALL VARS'!X40</f>
        <v>-4.5687447281879439E-4</v>
      </c>
      <c r="F40" s="16">
        <f>'ALL VARS'!Z40</f>
        <v>-6.6810999634203602E-3</v>
      </c>
      <c r="G40" s="16">
        <f>'ALL VARS'!J40</f>
        <v>59.8380005</v>
      </c>
    </row>
    <row r="41" spans="1:7" x14ac:dyDescent="0.25">
      <c r="A41" s="24">
        <f>'ALL VARS'!A41</f>
        <v>43923</v>
      </c>
      <c r="B41" s="16">
        <f>'ALL VARS'!F41</f>
        <v>-1.2177617796472343E-2</v>
      </c>
      <c r="C41" s="16">
        <f>'ALL VARS'!G41</f>
        <v>1.7194200807451526E-2</v>
      </c>
      <c r="D41" s="16">
        <f>'ALL VARS'!H41</f>
        <v>-3.7551904604495374E-2</v>
      </c>
      <c r="E41" s="16">
        <f>'ALL VARS'!X41</f>
        <v>-8.8855990083988642E-3</v>
      </c>
      <c r="F41" s="16">
        <f>'ALL VARS'!Z41</f>
        <v>-0.14867820975573254</v>
      </c>
      <c r="G41" s="16">
        <f>'ALL VARS'!J41</f>
        <v>61.947000500000001</v>
      </c>
    </row>
    <row r="42" spans="1:7" x14ac:dyDescent="0.25">
      <c r="A42" s="24">
        <f>'ALL VARS'!A42</f>
        <v>43922</v>
      </c>
      <c r="B42" s="16">
        <f>'ALL VARS'!F42</f>
        <v>1.7194200807451526E-2</v>
      </c>
      <c r="C42" s="16">
        <f>'ALL VARS'!G42</f>
        <v>-3.7551904604495374E-2</v>
      </c>
      <c r="D42" s="16">
        <f>'ALL VARS'!H42</f>
        <v>2.6099613068988042E-2</v>
      </c>
      <c r="E42" s="16">
        <f>'ALL VARS'!X42</f>
        <v>-5.0727590262987015E-3</v>
      </c>
      <c r="F42" s="16">
        <f>'ALL VARS'!Z42</f>
        <v>-9.4715974940784417E-2</v>
      </c>
      <c r="G42" s="16">
        <f>'ALL VARS'!J42</f>
        <v>63.886000100000004</v>
      </c>
    </row>
    <row r="43" spans="1:7" x14ac:dyDescent="0.25">
      <c r="A43" s="24">
        <f>'ALL VARS'!A43</f>
        <v>43921</v>
      </c>
      <c r="B43" s="16">
        <f>'ALL VARS'!F43</f>
        <v>-3.7551904604495374E-2</v>
      </c>
      <c r="C43" s="16">
        <f>'ALL VARS'!G43</f>
        <v>2.6099613068988042E-2</v>
      </c>
      <c r="D43" s="16">
        <f>'ALL VARS'!H43</f>
        <v>2.7648809446036929E-2</v>
      </c>
      <c r="E43" s="16">
        <f>'ALL VARS'!X43</f>
        <v>7.8005471767174112E-3</v>
      </c>
      <c r="F43" s="16">
        <f>'ALL VARS'!Z43</f>
        <v>0.16309767345020909</v>
      </c>
      <c r="G43" s="16">
        <f>'ALL VARS'!J43</f>
        <v>66.123000399999995</v>
      </c>
    </row>
    <row r="44" spans="1:7" x14ac:dyDescent="0.25">
      <c r="A44" s="24">
        <f>'ALL VARS'!A44</f>
        <v>43920</v>
      </c>
      <c r="B44" s="16">
        <f>'ALL VARS'!F44</f>
        <v>2.6099613068988042E-2</v>
      </c>
      <c r="C44" s="16">
        <f>'ALL VARS'!G44</f>
        <v>2.7648809446036929E-2</v>
      </c>
      <c r="D44" s="16">
        <f>'ALL VARS'!H44</f>
        <v>-5.1117326046437227E-2</v>
      </c>
      <c r="E44" s="16">
        <f>'ALL VARS'!X44</f>
        <v>-7.2398129983529131E-4</v>
      </c>
      <c r="F44" s="16">
        <f>'ALL VARS'!Z44</f>
        <v>-1.6991472880084072E-2</v>
      </c>
      <c r="G44" s="16">
        <f>'ALL VARS'!J44</f>
        <v>68.684000400000002</v>
      </c>
    </row>
    <row r="45" spans="1:7" x14ac:dyDescent="0.25">
      <c r="A45" s="24">
        <f>'ALL VARS'!A45</f>
        <v>43917</v>
      </c>
      <c r="B45" s="16">
        <f>'ALL VARS'!F45</f>
        <v>2.7648809446036929E-2</v>
      </c>
      <c r="C45" s="16">
        <f>'ALL VARS'!G45</f>
        <v>-5.1117326046437227E-2</v>
      </c>
      <c r="D45" s="16">
        <f>'ALL VARS'!H45</f>
        <v>1.7657086927428463E-2</v>
      </c>
      <c r="E45" s="16">
        <f>'ALL VARS'!X45</f>
        <v>1.5554733397967077E-2</v>
      </c>
      <c r="F45" s="16">
        <f>'ALL VARS'!Z45</f>
        <v>0.35306898360021038</v>
      </c>
      <c r="G45" s="16">
        <f>'ALL VARS'!J45</f>
        <v>67.91300050000001</v>
      </c>
    </row>
    <row r="46" spans="1:7" x14ac:dyDescent="0.25">
      <c r="A46" s="24">
        <f>'ALL VARS'!A46</f>
        <v>43916</v>
      </c>
      <c r="B46" s="16">
        <f>'ALL VARS'!F46</f>
        <v>-5.1117326046437227E-2</v>
      </c>
      <c r="C46" s="16">
        <f>'ALL VARS'!G46</f>
        <v>1.7657086927428463E-2</v>
      </c>
      <c r="D46" s="16">
        <f>'ALL VARS'!H46</f>
        <v>4.5191001874909938E-2</v>
      </c>
      <c r="E46" s="16">
        <f>'ALL VARS'!X46</f>
        <v>-6.056739979982898E-3</v>
      </c>
      <c r="F46" s="16">
        <f>'ALL VARS'!Z46</f>
        <v>-0.14624296422505456</v>
      </c>
      <c r="G46" s="16">
        <f>'ALL VARS'!J46</f>
        <v>69.360000600000006</v>
      </c>
    </row>
    <row r="47" spans="1:7" x14ac:dyDescent="0.25">
      <c r="A47" s="24">
        <f>'ALL VARS'!A47</f>
        <v>43915</v>
      </c>
      <c r="B47" s="16">
        <f>'ALL VARS'!F47</f>
        <v>1.7657086927428463E-2</v>
      </c>
      <c r="C47" s="16">
        <f>'ALL VARS'!G47</f>
        <v>4.5191001874909938E-2</v>
      </c>
      <c r="D47" s="16">
        <f>'ALL VARS'!H47</f>
        <v>0.11957070036068938</v>
      </c>
      <c r="E47" s="16">
        <f>'ALL VARS'!X47</f>
        <v>-5.085061833605015E-3</v>
      </c>
      <c r="F47" s="16">
        <f>'ALL VARS'!Z47</f>
        <v>-0.11767083108315451</v>
      </c>
      <c r="G47" s="16">
        <f>'ALL VARS'!J47</f>
        <v>68.355000700000005</v>
      </c>
    </row>
    <row r="48" spans="1:7" x14ac:dyDescent="0.25">
      <c r="A48" s="24">
        <f>'ALL VARS'!A48</f>
        <v>43914</v>
      </c>
      <c r="B48" s="16">
        <f>'ALL VARS'!F48</f>
        <v>4.5191001874909938E-2</v>
      </c>
      <c r="C48" s="16">
        <f>'ALL VARS'!G48</f>
        <v>0.11957070036068938</v>
      </c>
      <c r="D48" s="16">
        <f>'ALL VARS'!H48</f>
        <v>-5.2591151998453836E-2</v>
      </c>
      <c r="E48" s="16">
        <f>'ALL VARS'!X48</f>
        <v>1.2419150912283468E-3</v>
      </c>
      <c r="F48" s="16">
        <f>'ALL VARS'!Z48</f>
        <v>2.6953893981340311E-2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D2-B21A-4B28-85BF-E8A7D32A238C}">
  <sheetPr codeName="Feuil7"/>
  <dimension ref="A1:Q48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VARS'!AB1</f>
        <v>Sent_t_+_1_k, k=2</v>
      </c>
      <c r="F1" s="16" t="str">
        <f>'ALL VARS'!AD1</f>
        <v>Sent_t_+_1_k, k=2 * (VIX_10_t  minus VIX_bar_10)</v>
      </c>
      <c r="G1" s="16" t="str">
        <f>'ALL VARS'!J1</f>
        <v>VIX_10_t</v>
      </c>
    </row>
    <row r="2" spans="1:14" x14ac:dyDescent="0.25">
      <c r="A2" s="24">
        <f>'ALL VARS'!A2</f>
        <v>43980</v>
      </c>
      <c r="B2" s="16">
        <f>'ALL VARS'!F2</f>
        <v>2.3093919546915233E-2</v>
      </c>
      <c r="C2" s="16">
        <f>'ALL VARS'!G2</f>
        <v>-4.5798180601685388E-3</v>
      </c>
      <c r="D2" s="16">
        <f>'ALL VARS'!H2</f>
        <v>-6.0894480094293875E-4</v>
      </c>
      <c r="E2" s="16">
        <f>'ALL VARS'!AB2</f>
        <v>-2.675892021827254E-3</v>
      </c>
      <c r="F2" s="16">
        <f>'ALL VARS'!AD2</f>
        <v>4.2256372448091176E-2</v>
      </c>
      <c r="G2" s="16">
        <f>'ALL VARS'!J2</f>
        <v>29.423000200000001</v>
      </c>
      <c r="I2" s="18" t="s">
        <v>39</v>
      </c>
    </row>
    <row r="3" spans="1:14" ht="15.75" thickBot="1" x14ac:dyDescent="0.3">
      <c r="A3" s="24">
        <f>'ALL VARS'!A3</f>
        <v>43979</v>
      </c>
      <c r="B3" s="16">
        <f>'ALL VARS'!F3</f>
        <v>-4.5798180601685388E-3</v>
      </c>
      <c r="C3" s="16">
        <f>'ALL VARS'!G3</f>
        <v>-6.0894480094293875E-4</v>
      </c>
      <c r="D3" s="16">
        <f>'ALL VARS'!H3</f>
        <v>8.1792696244475296E-3</v>
      </c>
      <c r="E3" s="16">
        <f>'ALL VARS'!AB3</f>
        <v>-3.9797236618121191E-3</v>
      </c>
      <c r="F3" s="16">
        <f>'ALL VARS'!AD3</f>
        <v>6.018340655115003E-2</v>
      </c>
      <c r="G3" s="16">
        <f>'ALL VARS'!J3</f>
        <v>30.092000099999996</v>
      </c>
    </row>
    <row r="4" spans="1:14" x14ac:dyDescent="0.25">
      <c r="A4" s="24">
        <f>'ALL VARS'!A4</f>
        <v>43978</v>
      </c>
      <c r="B4" s="16">
        <f>'ALL VARS'!F4</f>
        <v>-6.0894480094293875E-4</v>
      </c>
      <c r="C4" s="16">
        <f>'ALL VARS'!G4</f>
        <v>8.1792696244475296E-3</v>
      </c>
      <c r="D4" s="16">
        <f>'ALL VARS'!H4</f>
        <v>4.8223739412853626E-3</v>
      </c>
      <c r="E4" s="16">
        <f>'ALL VARS'!AB4</f>
        <v>1.3922479831146258E-4</v>
      </c>
      <c r="F4" s="16">
        <f>'ALL VARS'!AD4</f>
        <v>-2.0299684128350136E-3</v>
      </c>
      <c r="G4" s="16">
        <f>'ALL VARS'!J4</f>
        <v>30.634000099999998</v>
      </c>
      <c r="I4" s="26" t="s">
        <v>40</v>
      </c>
      <c r="J4" s="26"/>
    </row>
    <row r="5" spans="1:14" x14ac:dyDescent="0.25">
      <c r="A5" s="24">
        <f>'ALL VARS'!A5</f>
        <v>43977</v>
      </c>
      <c r="B5" s="16">
        <f>'ALL VARS'!F5</f>
        <v>8.1792696244475296E-3</v>
      </c>
      <c r="C5" s="16">
        <f>'ALL VARS'!G5</f>
        <v>4.8223739412853626E-3</v>
      </c>
      <c r="D5" s="16">
        <f>'ALL VARS'!H5</f>
        <v>1.0849210535487055E-2</v>
      </c>
      <c r="E5" s="16">
        <f>'ALL VARS'!AB5</f>
        <v>-3.5611298229558694E-3</v>
      </c>
      <c r="F5" s="16">
        <f>'ALL VARS'!AD5</f>
        <v>5.2079774839854209E-2</v>
      </c>
      <c r="G5" s="16">
        <f>'ALL VARS'!J5</f>
        <v>30.590000099999997</v>
      </c>
      <c r="I5" s="18" t="s">
        <v>41</v>
      </c>
      <c r="J5" s="18">
        <v>0.33078077709581444</v>
      </c>
    </row>
    <row r="6" spans="1:14" x14ac:dyDescent="0.25">
      <c r="A6" s="24">
        <f>'ALL VARS'!A6</f>
        <v>43976</v>
      </c>
      <c r="B6" s="16">
        <f>'ALL VARS'!F6</f>
        <v>4.8223739412853626E-3</v>
      </c>
      <c r="C6" s="16">
        <f>'ALL VARS'!G6</f>
        <v>1.0849210535487055E-2</v>
      </c>
      <c r="D6" s="16">
        <f>'ALL VARS'!H6</f>
        <v>1.9280759189597432E-3</v>
      </c>
      <c r="E6" s="16">
        <f>'ALL VARS'!AB6</f>
        <v>2.2715899837558381E-3</v>
      </c>
      <c r="F6" s="16">
        <f>'ALL VARS'!AD6</f>
        <v>-3.3241332276323816E-2</v>
      </c>
      <c r="G6" s="16">
        <f>'ALL VARS'!J6</f>
        <v>30.581000099999997</v>
      </c>
      <c r="I6" s="18" t="s">
        <v>42</v>
      </c>
      <c r="J6" s="18">
        <v>0.10941592249611089</v>
      </c>
    </row>
    <row r="7" spans="1:14" x14ac:dyDescent="0.25">
      <c r="A7" s="24">
        <f>'ALL VARS'!A7</f>
        <v>43973</v>
      </c>
      <c r="B7" s="16">
        <f>'ALL VARS'!F7</f>
        <v>1.0849210535487055E-2</v>
      </c>
      <c r="C7" s="16">
        <f>'ALL VARS'!G7</f>
        <v>1.9280759189597432E-3</v>
      </c>
      <c r="D7" s="16">
        <f>'ALL VARS'!H7</f>
        <v>-7.5144837132717695E-3</v>
      </c>
      <c r="E7" s="16">
        <f>'ALL VARS'!AB7</f>
        <v>-1.1966886213536851E-2</v>
      </c>
      <c r="F7" s="16">
        <f>'ALL VARS'!AD7</f>
        <v>0.17522523805495663</v>
      </c>
      <c r="G7" s="16">
        <f>'ALL VARS'!J7</f>
        <v>30.572000099999997</v>
      </c>
      <c r="I7" s="18" t="s">
        <v>42</v>
      </c>
      <c r="J7" s="18">
        <v>7.8886749574050155E-4</v>
      </c>
    </row>
    <row r="8" spans="1:14" x14ac:dyDescent="0.25">
      <c r="A8" s="24">
        <f>'ALL VARS'!A8</f>
        <v>43972</v>
      </c>
      <c r="B8" s="16">
        <f>'ALL VARS'!F8</f>
        <v>1.9280759189597432E-3</v>
      </c>
      <c r="C8" s="16">
        <f>'ALL VARS'!G8</f>
        <v>-7.5144837132717695E-3</v>
      </c>
      <c r="D8" s="16">
        <f>'ALL VARS'!H8</f>
        <v>7.5307923146686901E-3</v>
      </c>
      <c r="E8" s="16">
        <f>'ALL VARS'!AB8</f>
        <v>6.829273949933305E-3</v>
      </c>
      <c r="F8" s="16">
        <f>'ALL VARS'!AD8</f>
        <v>-9.8693313363848581E-2</v>
      </c>
      <c r="G8" s="16">
        <f>'ALL VARS'!J8</f>
        <v>30.763000099999999</v>
      </c>
      <c r="I8" s="18" t="s">
        <v>43</v>
      </c>
      <c r="J8" s="18">
        <v>2.0438676976680687E-2</v>
      </c>
    </row>
    <row r="9" spans="1:14" ht="15.75" thickBot="1" x14ac:dyDescent="0.3">
      <c r="A9" s="24">
        <f>'ALL VARS'!A9</f>
        <v>43971</v>
      </c>
      <c r="B9" s="16">
        <f>'ALL VARS'!F9</f>
        <v>-7.5144837132717695E-3</v>
      </c>
      <c r="C9" s="16">
        <f>'ALL VARS'!G9</f>
        <v>7.5307923146686901E-3</v>
      </c>
      <c r="D9" s="16">
        <f>'ALL VARS'!H9</f>
        <v>1.6845500851389788E-2</v>
      </c>
      <c r="E9" s="16">
        <f>'ALL VARS'!AB9</f>
        <v>1.5145415361475247E-3</v>
      </c>
      <c r="F9" s="16">
        <f>'ALL VARS'!AD9</f>
        <v>-2.0958996700108028E-2</v>
      </c>
      <c r="G9" s="16">
        <f>'ALL VARS'!J9</f>
        <v>31.375999999999998</v>
      </c>
      <c r="I9" s="28" t="s">
        <v>44</v>
      </c>
      <c r="J9" s="28">
        <v>47</v>
      </c>
    </row>
    <row r="10" spans="1:14" x14ac:dyDescent="0.25">
      <c r="A10" s="24">
        <f>'ALL VARS'!A10</f>
        <v>43970</v>
      </c>
      <c r="B10" s="16">
        <f>'ALL VARS'!F10</f>
        <v>7.5307923146686901E-3</v>
      </c>
      <c r="C10" s="16">
        <f>'ALL VARS'!G10</f>
        <v>1.6845500851389788E-2</v>
      </c>
      <c r="D10" s="16">
        <f>'ALL VARS'!H10</f>
        <v>8.9044014875318926E-3</v>
      </c>
      <c r="E10" s="16">
        <f>'ALL VARS'!AB10</f>
        <v>8.7602504281608495E-3</v>
      </c>
      <c r="F10" s="16">
        <f>'ALL VARS'!AD10</f>
        <v>-0.11853064738343488</v>
      </c>
      <c r="G10" s="16">
        <f>'ALL VARS'!J10</f>
        <v>31.683999999999997</v>
      </c>
    </row>
    <row r="11" spans="1:14" ht="15.75" thickBot="1" x14ac:dyDescent="0.3">
      <c r="A11" s="24">
        <f>'ALL VARS'!A11</f>
        <v>43966</v>
      </c>
      <c r="B11" s="16">
        <f>'ALL VARS'!F11</f>
        <v>1.6845500851389788E-2</v>
      </c>
      <c r="C11" s="16">
        <f>'ALL VARS'!G11</f>
        <v>8.9044014875318926E-3</v>
      </c>
      <c r="D11" s="16">
        <f>'ALL VARS'!H11</f>
        <v>4.4817694802564231E-4</v>
      </c>
      <c r="E11" s="16">
        <f>'ALL VARS'!AB11</f>
        <v>0.10563345255546264</v>
      </c>
      <c r="F11" s="16">
        <f>'ALL VARS'!AD11</f>
        <v>-1.3028311181497523</v>
      </c>
      <c r="G11" s="16">
        <f>'ALL VARS'!J11</f>
        <v>32.881000200000003</v>
      </c>
      <c r="I11" s="18" t="s">
        <v>45</v>
      </c>
    </row>
    <row r="12" spans="1:14" x14ac:dyDescent="0.25">
      <c r="A12" s="24">
        <f>'ALL VARS'!A12</f>
        <v>43965</v>
      </c>
      <c r="B12" s="16">
        <f>'ALL VARS'!F12</f>
        <v>8.9044014875318926E-3</v>
      </c>
      <c r="C12" s="16">
        <f>'ALL VARS'!G12</f>
        <v>4.4817694802564231E-4</v>
      </c>
      <c r="D12" s="16">
        <f>'ALL VARS'!H12</f>
        <v>-2.5401176991557837E-2</v>
      </c>
      <c r="E12" s="16">
        <f>'ALL VARS'!AB12</f>
        <v>-2.8211767729283792E-3</v>
      </c>
      <c r="F12" s="16">
        <f>'ALL VARS'!AD12</f>
        <v>3.4360547089714498E-2</v>
      </c>
      <c r="G12" s="16">
        <f>'ALL VARS'!J12</f>
        <v>33.0350003</v>
      </c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A13" s="24">
        <f>'ALL VARS'!A13</f>
        <v>43964</v>
      </c>
      <c r="B13" s="16">
        <f>'ALL VARS'!F13</f>
        <v>4.4817694802564231E-4</v>
      </c>
      <c r="C13" s="16">
        <f>'ALL VARS'!G13</f>
        <v>-2.5401176991557837E-2</v>
      </c>
      <c r="D13" s="16">
        <f>'ALL VARS'!H13</f>
        <v>-1.4698871572495898E-2</v>
      </c>
      <c r="E13" s="16">
        <f>'ALL VARS'!AB13</f>
        <v>8.1938723304662245E-2</v>
      </c>
      <c r="F13" s="16">
        <f>'ALL VARS'!AD13</f>
        <v>-1.0311585692505578</v>
      </c>
      <c r="G13" s="16">
        <f>'ALL VARS'!J13</f>
        <v>32.630000399999993</v>
      </c>
      <c r="I13" s="18" t="s">
        <v>46</v>
      </c>
      <c r="J13" s="18">
        <v>5</v>
      </c>
      <c r="K13" s="18">
        <v>2.1555616592672938E-3</v>
      </c>
      <c r="L13" s="18">
        <v>4.3111233185345876E-4</v>
      </c>
      <c r="M13" s="18">
        <v>1.0320123300916728</v>
      </c>
      <c r="N13" s="18">
        <v>0.41175998718659423</v>
      </c>
    </row>
    <row r="14" spans="1:14" x14ac:dyDescent="0.25">
      <c r="A14" s="24">
        <f>'ALL VARS'!A14</f>
        <v>43963</v>
      </c>
      <c r="B14" s="16">
        <f>'ALL VARS'!F14</f>
        <v>-2.5401176991557837E-2</v>
      </c>
      <c r="C14" s="16">
        <f>'ALL VARS'!G14</f>
        <v>-1.4698871572495898E-2</v>
      </c>
      <c r="D14" s="16">
        <f>'ALL VARS'!H14</f>
        <v>9.1270288220883112E-3</v>
      </c>
      <c r="E14" s="16">
        <f>'ALL VARS'!AB14</f>
        <v>2.1362410423807297E-3</v>
      </c>
      <c r="F14" s="16">
        <f>'ALL VARS'!AD14</f>
        <v>-2.6770323237873459E-2</v>
      </c>
      <c r="G14" s="16">
        <f>'ALL VARS'!J14</f>
        <v>32.683000299999996</v>
      </c>
      <c r="I14" s="18" t="s">
        <v>47</v>
      </c>
      <c r="J14" s="18">
        <v>42</v>
      </c>
      <c r="K14" s="18">
        <v>1.7545059695398081E-2</v>
      </c>
      <c r="L14" s="18">
        <v>4.1773951655709715E-4</v>
      </c>
    </row>
    <row r="15" spans="1:14" ht="15.75" thickBot="1" x14ac:dyDescent="0.3">
      <c r="A15" s="24">
        <f>'ALL VARS'!A15</f>
        <v>43962</v>
      </c>
      <c r="B15" s="16">
        <f>'ALL VARS'!F15</f>
        <v>-1.4698871572495898E-2</v>
      </c>
      <c r="C15" s="16">
        <f>'ALL VARS'!G15</f>
        <v>9.1270288220883112E-3</v>
      </c>
      <c r="D15" s="16">
        <f>'ALL VARS'!H15</f>
        <v>8.9592894728179693E-3</v>
      </c>
      <c r="E15" s="16">
        <f>'ALL VARS'!AB15</f>
        <v>-2.6453647036272405E-3</v>
      </c>
      <c r="F15" s="16">
        <f>'ALL VARS'!AD15</f>
        <v>3.1637261960294281E-2</v>
      </c>
      <c r="G15" s="16">
        <f>'ALL VARS'!J15</f>
        <v>33.2550004</v>
      </c>
      <c r="I15" s="28" t="s">
        <v>48</v>
      </c>
      <c r="J15" s="28">
        <v>47</v>
      </c>
      <c r="K15" s="28">
        <v>1.9700621354665375E-2</v>
      </c>
      <c r="L15" s="28"/>
      <c r="M15" s="28"/>
      <c r="N15" s="28"/>
    </row>
    <row r="16" spans="1:14" ht="15.75" thickBot="1" x14ac:dyDescent="0.3">
      <c r="A16" s="24">
        <f>'ALL VARS'!A16</f>
        <v>43959</v>
      </c>
      <c r="B16" s="16">
        <f>'ALL VARS'!F16</f>
        <v>9.1270288220883112E-3</v>
      </c>
      <c r="C16" s="16">
        <f>'ALL VARS'!G16</f>
        <v>8.9592894728179693E-3</v>
      </c>
      <c r="D16" s="16">
        <f>'ALL VARS'!H16</f>
        <v>2.0228309928424119E-4</v>
      </c>
      <c r="E16" s="16">
        <f>'ALL VARS'!AB16</f>
        <v>4.2863747882977331E-2</v>
      </c>
      <c r="F16" s="16">
        <f>'ALL VARS'!AD16</f>
        <v>-0.47855268246932736</v>
      </c>
      <c r="G16" s="16">
        <f>'ALL VARS'!J16</f>
        <v>34.050000400000002</v>
      </c>
    </row>
    <row r="17" spans="1:17" x14ac:dyDescent="0.25">
      <c r="A17" s="24">
        <f>'ALL VARS'!A17</f>
        <v>43958</v>
      </c>
      <c r="B17" s="16">
        <f>'ALL VARS'!F17</f>
        <v>8.9592894728179693E-3</v>
      </c>
      <c r="C17" s="16">
        <f>'ALL VARS'!G17</f>
        <v>2.0228309928424119E-4</v>
      </c>
      <c r="D17" s="16">
        <f>'ALL VARS'!H17</f>
        <v>1.2895694256002256E-3</v>
      </c>
      <c r="E17" s="16">
        <f>'ALL VARS'!AB17</f>
        <v>2.8136761843105738E-2</v>
      </c>
      <c r="F17" s="16">
        <f>'ALL VARS'!AD17</f>
        <v>-0.28616517869635982</v>
      </c>
      <c r="G17" s="16">
        <f>'ALL VARS'!J17</f>
        <v>35.044000400000002</v>
      </c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1:17" x14ac:dyDescent="0.25">
      <c r="A18" s="24">
        <f>'ALL VARS'!A18</f>
        <v>43957</v>
      </c>
      <c r="B18" s="16">
        <f>'ALL VARS'!F18</f>
        <v>2.0228309928424119E-4</v>
      </c>
      <c r="C18" s="16">
        <f>'ALL VARS'!G18</f>
        <v>1.2895694256002256E-3</v>
      </c>
      <c r="D18" s="16">
        <f>'ALL VARS'!H18</f>
        <v>4.5167588335029351E-3</v>
      </c>
      <c r="E18" s="16">
        <f>'ALL VARS'!AB18</f>
        <v>-3.582024853674988E-3</v>
      </c>
      <c r="F18" s="16">
        <f>'ALL VARS'!AD18</f>
        <v>3.3615542736798121E-2</v>
      </c>
      <c r="G18" s="16">
        <f>'ALL VARS'!J18</f>
        <v>35.830000499999997</v>
      </c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4">
        <f>'ALL VARS'!A19</f>
        <v>43956</v>
      </c>
      <c r="B19" s="16">
        <f>'ALL VARS'!F19</f>
        <v>1.2895694256002256E-3</v>
      </c>
      <c r="C19" s="16">
        <f>'ALL VARS'!G19</f>
        <v>4.5167588335029351E-3</v>
      </c>
      <c r="D19" s="16">
        <f>'ALL VARS'!H19</f>
        <v>8.5292501975474666E-3</v>
      </c>
      <c r="E19" s="16">
        <f>'ALL VARS'!AB19</f>
        <v>-3.8913929979446024E-4</v>
      </c>
      <c r="F19" s="16">
        <f>'ALL VARS'!AD19</f>
        <v>3.1926967372232192E-3</v>
      </c>
      <c r="G19" s="16">
        <f>'ALL VARS'!J19</f>
        <v>37.010000400000003</v>
      </c>
      <c r="I19" s="18" t="s">
        <v>36</v>
      </c>
      <c r="J19" s="18">
        <v>-1.6592000724494317E-3</v>
      </c>
      <c r="K19" s="18">
        <v>0.12164335070072643</v>
      </c>
      <c r="L19" s="18">
        <v>-1.3639874788811807E-2</v>
      </c>
      <c r="M19" s="18">
        <v>0.98918187946406122</v>
      </c>
      <c r="N19" s="18">
        <v>-0.24714542039111287</v>
      </c>
      <c r="O19" s="18">
        <v>0.243827020246214</v>
      </c>
      <c r="P19" s="18">
        <v>-0.24714542039111287</v>
      </c>
      <c r="Q19" s="18">
        <v>0.243827020246214</v>
      </c>
    </row>
    <row r="20" spans="1:17" x14ac:dyDescent="0.25">
      <c r="A20" s="24">
        <f>'ALL VARS'!A20</f>
        <v>43955</v>
      </c>
      <c r="B20" s="16">
        <f>'ALL VARS'!F20</f>
        <v>4.5167588335029351E-3</v>
      </c>
      <c r="C20" s="16">
        <f>'ALL VARS'!G20</f>
        <v>8.5292501975474666E-3</v>
      </c>
      <c r="D20" s="16">
        <f>'ALL VARS'!H20</f>
        <v>-1.0852015661224153E-2</v>
      </c>
      <c r="E20" s="16">
        <f>'ALL VARS'!AB20</f>
        <v>3.6089485401624034E-3</v>
      </c>
      <c r="F20" s="16">
        <f>'ALL VARS'!AD20</f>
        <v>-2.6773015471909193E-2</v>
      </c>
      <c r="G20" s="16">
        <f>'ALL VARS'!J20</f>
        <v>37.796000499999998</v>
      </c>
      <c r="I20" s="18" t="s">
        <v>37</v>
      </c>
      <c r="J20" s="18">
        <v>-0.14402267175129646</v>
      </c>
      <c r="K20" s="18">
        <v>0.13430482897094442</v>
      </c>
      <c r="L20" s="18">
        <v>-1.0723566148351553</v>
      </c>
      <c r="M20" s="18">
        <v>0.28968310290246041</v>
      </c>
      <c r="N20" s="18">
        <v>-0.41506078969772014</v>
      </c>
      <c r="O20" s="18">
        <v>0.12701544619512722</v>
      </c>
      <c r="P20" s="18">
        <v>-0.41506078969772014</v>
      </c>
      <c r="Q20" s="18">
        <v>0.12701544619512722</v>
      </c>
    </row>
    <row r="21" spans="1:17" x14ac:dyDescent="0.25">
      <c r="A21" s="24">
        <f>'ALL VARS'!A21</f>
        <v>43952</v>
      </c>
      <c r="B21" s="16">
        <f>'ALL VARS'!F21</f>
        <v>8.5292501975474666E-3</v>
      </c>
      <c r="C21" s="16">
        <f>'ALL VARS'!G21</f>
        <v>-1.0852015661224153E-2</v>
      </c>
      <c r="D21" s="16">
        <f>'ALL VARS'!H21</f>
        <v>-2.9379858648651246E-2</v>
      </c>
      <c r="E21" s="16">
        <f>'ALL VARS'!AB21</f>
        <v>-1.9611588317032309E-2</v>
      </c>
      <c r="F21" s="16">
        <f>'ALL VARS'!AD21</f>
        <v>0.14360601654174326</v>
      </c>
      <c r="G21" s="16">
        <f>'ALL VARS'!J21</f>
        <v>37.892000799999991</v>
      </c>
      <c r="I21" s="18" t="s">
        <v>11</v>
      </c>
      <c r="J21" s="18">
        <v>5.9422802593502147E-2</v>
      </c>
      <c r="K21" s="18">
        <v>9.1526514112849872E-2</v>
      </c>
      <c r="L21" s="18">
        <v>0.64924140473912662</v>
      </c>
      <c r="M21" s="18">
        <v>0.51971720025558032</v>
      </c>
      <c r="N21" s="18">
        <v>-0.12528518086039447</v>
      </c>
      <c r="O21" s="18">
        <v>0.24413078604739874</v>
      </c>
      <c r="P21" s="18">
        <v>-0.12528518086039447</v>
      </c>
      <c r="Q21" s="18">
        <v>0.24413078604739874</v>
      </c>
    </row>
    <row r="22" spans="1:17" x14ac:dyDescent="0.25">
      <c r="A22" s="24">
        <f>'ALL VARS'!A22</f>
        <v>43951</v>
      </c>
      <c r="B22" s="16">
        <f>'ALL VARS'!F22</f>
        <v>-1.0852015661224153E-2</v>
      </c>
      <c r="C22" s="16">
        <f>'ALL VARS'!G22</f>
        <v>-2.9379858648651246E-2</v>
      </c>
      <c r="D22" s="16">
        <f>'ALL VARS'!H22</f>
        <v>2.904386379946032E-2</v>
      </c>
      <c r="E22" s="16">
        <f>'ALL VARS'!AB22</f>
        <v>-2.4349354257541199E-3</v>
      </c>
      <c r="F22" s="16">
        <f>'ALL VARS'!AD22</f>
        <v>1.6378613385473584E-2</v>
      </c>
      <c r="G22" s="16">
        <f>'ALL VARS'!J22</f>
        <v>38.488000700000001</v>
      </c>
      <c r="I22" s="18" t="s">
        <v>79</v>
      </c>
      <c r="J22" s="18">
        <v>-5.9973506886308254E-3</v>
      </c>
      <c r="K22" s="18">
        <v>9.5302367128573123E-3</v>
      </c>
      <c r="L22" s="18">
        <v>-0.6292971380805007</v>
      </c>
      <c r="M22" s="18">
        <v>0.53256281605239719</v>
      </c>
      <c r="N22" s="18">
        <v>-2.5230147022376779E-2</v>
      </c>
      <c r="O22" s="18">
        <v>1.323544564511513E-2</v>
      </c>
      <c r="P22" s="18">
        <v>-2.5230147022376779E-2</v>
      </c>
      <c r="Q22" s="18">
        <v>1.323544564511513E-2</v>
      </c>
    </row>
    <row r="23" spans="1:17" ht="15.75" thickBot="1" x14ac:dyDescent="0.3">
      <c r="A23" s="24">
        <f>'ALL VARS'!A23</f>
        <v>43950</v>
      </c>
      <c r="B23" s="16">
        <f>'ALL VARS'!F23</f>
        <v>-2.9379858648651246E-2</v>
      </c>
      <c r="C23" s="16">
        <f>'ALL VARS'!G23</f>
        <v>2.904386379946032E-2</v>
      </c>
      <c r="D23" s="16">
        <f>'ALL VARS'!H23</f>
        <v>1.0667882350970269E-2</v>
      </c>
      <c r="E23" s="16">
        <f>'ALL VARS'!AB23</f>
        <v>-1.461115374105099E-2</v>
      </c>
      <c r="F23" s="16">
        <f>'ALL VARS'!AD23</f>
        <v>8.4240728371673942E-2</v>
      </c>
      <c r="G23" s="16">
        <f>'ALL VARS'!J23</f>
        <v>39.449000699999999</v>
      </c>
      <c r="I23" s="28" t="s">
        <v>4</v>
      </c>
      <c r="J23" s="28">
        <v>1.3040457948698407E-4</v>
      </c>
      <c r="K23" s="28">
        <v>7.2987603664038988E-5</v>
      </c>
      <c r="L23" s="28">
        <v>1.7866675016107487</v>
      </c>
      <c r="M23" s="28">
        <v>8.1210687877328741E-2</v>
      </c>
      <c r="N23" s="28">
        <v>-1.6890367999977587E-5</v>
      </c>
      <c r="O23" s="28">
        <v>2.7769952697394572E-4</v>
      </c>
      <c r="P23" s="28">
        <v>-1.6890367999977587E-5</v>
      </c>
      <c r="Q23" s="28">
        <v>2.7769952697394572E-4</v>
      </c>
    </row>
    <row r="24" spans="1:17" x14ac:dyDescent="0.25">
      <c r="A24" s="24">
        <f>'ALL VARS'!A24</f>
        <v>43949</v>
      </c>
      <c r="B24" s="16">
        <f>'ALL VARS'!F24</f>
        <v>2.904386379946032E-2</v>
      </c>
      <c r="C24" s="16">
        <f>'ALL VARS'!G24</f>
        <v>1.0667882350970269E-2</v>
      </c>
      <c r="D24" s="16">
        <f>'ALL VARS'!H24</f>
        <v>1.5373998778727917E-2</v>
      </c>
      <c r="E24" s="16">
        <f>'ALL VARS'!AB24</f>
        <v>8.9373622720029892E-5</v>
      </c>
      <c r="F24" s="16">
        <f>'ALL VARS'!AD24</f>
        <v>-4.7783683480279632E-4</v>
      </c>
      <c r="G24" s="16">
        <f>'ALL VARS'!J24</f>
        <v>39.868000500000008</v>
      </c>
    </row>
    <row r="25" spans="1:17" x14ac:dyDescent="0.25">
      <c r="A25" s="24">
        <f>'ALL VARS'!A25</f>
        <v>43948</v>
      </c>
      <c r="B25" s="16">
        <f>'ALL VARS'!F25</f>
        <v>1.0667882350970269E-2</v>
      </c>
      <c r="C25" s="16">
        <f>'ALL VARS'!G25</f>
        <v>1.5373998778727917E-2</v>
      </c>
      <c r="D25" s="16">
        <f>'ALL VARS'!H25</f>
        <v>1.1879839917270655E-2</v>
      </c>
      <c r="E25" s="16">
        <f>'ALL VARS'!AB25</f>
        <v>-2.3628370573706733E-3</v>
      </c>
      <c r="F25" s="16">
        <f>'ALL VARS'!AD25</f>
        <v>1.0771013552152873E-2</v>
      </c>
      <c r="G25" s="16">
        <f>'ALL VARS'!J25</f>
        <v>40.656000200000001</v>
      </c>
    </row>
    <row r="26" spans="1:17" x14ac:dyDescent="0.25">
      <c r="A26" s="24">
        <f>'ALL VARS'!A26</f>
        <v>43945</v>
      </c>
      <c r="B26" s="16">
        <f>'ALL VARS'!F26</f>
        <v>1.5373998778727917E-2</v>
      </c>
      <c r="C26" s="16">
        <f>'ALL VARS'!G26</f>
        <v>1.1879839917270655E-2</v>
      </c>
      <c r="D26" s="16">
        <f>'ALL VARS'!H26</f>
        <v>-2.5965891780394849E-3</v>
      </c>
      <c r="E26" s="16">
        <f>'ALL VARS'!AB26</f>
        <v>-6.3268942419939245E-3</v>
      </c>
      <c r="F26" s="16">
        <f>'ALL VARS'!AD26</f>
        <v>2.5209567138071279E-2</v>
      </c>
      <c r="G26" s="16">
        <f>'ALL VARS'!J26</f>
        <v>41.230000000000004</v>
      </c>
    </row>
    <row r="27" spans="1:17" x14ac:dyDescent="0.25">
      <c r="A27" s="24">
        <f>'ALL VARS'!A27</f>
        <v>43944</v>
      </c>
      <c r="B27" s="16">
        <f>'ALL VARS'!F27</f>
        <v>1.1879839917270655E-2</v>
      </c>
      <c r="C27" s="16">
        <f>'ALL VARS'!G27</f>
        <v>-2.5965891780394849E-3</v>
      </c>
      <c r="D27" s="16">
        <f>'ALL VARS'!H27</f>
        <v>2.4971169199914333E-2</v>
      </c>
      <c r="E27" s="16">
        <f>'ALL VARS'!AB27</f>
        <v>-3.9555882986564843E-4</v>
      </c>
      <c r="F27" s="16">
        <f>'ALL VARS'!AD27</f>
        <v>1.4981827523649486E-3</v>
      </c>
      <c r="G27" s="16">
        <f>'ALL VARS'!J27</f>
        <v>41.42699970000001</v>
      </c>
    </row>
    <row r="28" spans="1:17" x14ac:dyDescent="0.25">
      <c r="A28" s="24">
        <f>'ALL VARS'!A28</f>
        <v>43943</v>
      </c>
      <c r="B28" s="16">
        <f>'ALL VARS'!F28</f>
        <v>-2.5965891780394849E-3</v>
      </c>
      <c r="C28" s="16">
        <f>'ALL VARS'!G28</f>
        <v>2.4971169199914333E-2</v>
      </c>
      <c r="D28" s="16">
        <f>'ALL VARS'!H28</f>
        <v>-3.1150323670921017E-2</v>
      </c>
      <c r="E28" s="16">
        <f>'ALL VARS'!AB28</f>
        <v>-0.15415521598755705</v>
      </c>
      <c r="F28" s="16">
        <f>'ALL VARS'!AD28</f>
        <v>0.51110303899831022</v>
      </c>
      <c r="G28" s="16">
        <f>'ALL VARS'!J28</f>
        <v>41.898999799999999</v>
      </c>
    </row>
    <row r="29" spans="1:17" x14ac:dyDescent="0.25">
      <c r="A29" s="24">
        <f>'ALL VARS'!A29</f>
        <v>43942</v>
      </c>
      <c r="B29" s="16">
        <f>'ALL VARS'!F29</f>
        <v>2.4971169199914333E-2</v>
      </c>
      <c r="C29" s="16">
        <f>'ALL VARS'!G29</f>
        <v>-3.1150323670921017E-2</v>
      </c>
      <c r="D29" s="16">
        <f>'ALL VARS'!H29</f>
        <v>1.9776887879946956E-3</v>
      </c>
      <c r="E29" s="16">
        <f>'ALL VARS'!AB29</f>
        <v>9.3617849514414364E-4</v>
      </c>
      <c r="F29" s="16">
        <f>'ALL VARS'!AD29</f>
        <v>-3.1198232738136374E-3</v>
      </c>
      <c r="G29" s="16">
        <f>'ALL VARS'!J29</f>
        <v>41.881999999999998</v>
      </c>
    </row>
    <row r="30" spans="1:17" x14ac:dyDescent="0.25">
      <c r="A30" s="24">
        <f>'ALL VARS'!A30</f>
        <v>43941</v>
      </c>
      <c r="B30" s="16">
        <f>'ALL VARS'!F30</f>
        <v>-3.1150323670921017E-2</v>
      </c>
      <c r="C30" s="16">
        <f>'ALL VARS'!G30</f>
        <v>1.9776887879946956E-3</v>
      </c>
      <c r="D30" s="16">
        <f>'ALL VARS'!H30</f>
        <v>3.3138402111040632E-2</v>
      </c>
      <c r="E30" s="16">
        <f>'ALL VARS'!AB30</f>
        <v>9.3990944887703521E-4</v>
      </c>
      <c r="F30" s="16">
        <f>'ALL VARS'!AD30</f>
        <v>-2.8531038864158006E-3</v>
      </c>
      <c r="G30" s="16">
        <f>'ALL VARS'!J30</f>
        <v>42.178999699999999</v>
      </c>
    </row>
    <row r="31" spans="1:17" x14ac:dyDescent="0.25">
      <c r="A31" s="24">
        <f>'ALL VARS'!A31</f>
        <v>43938</v>
      </c>
      <c r="B31" s="16">
        <f>'ALL VARS'!F31</f>
        <v>1.9776887879946956E-3</v>
      </c>
      <c r="C31" s="16">
        <f>'ALL VARS'!G31</f>
        <v>3.3138402111040632E-2</v>
      </c>
      <c r="D31" s="16">
        <f>'ALL VARS'!H31</f>
        <v>-4.2482631253185207E-3</v>
      </c>
      <c r="E31" s="16">
        <f>'ALL VARS'!AB31</f>
        <v>5.5835721330073926E-3</v>
      </c>
      <c r="F31" s="16">
        <f>'ALL VARS'!AD31</f>
        <v>-9.8243482903275382E-3</v>
      </c>
      <c r="G31" s="16">
        <f>'ALL VARS'!J31</f>
        <v>43.4549995</v>
      </c>
    </row>
    <row r="32" spans="1:17" x14ac:dyDescent="0.25">
      <c r="A32" s="24">
        <f>'ALL VARS'!A32</f>
        <v>43937</v>
      </c>
      <c r="B32" s="16">
        <f>'ALL VARS'!F32</f>
        <v>3.3138402111040632E-2</v>
      </c>
      <c r="C32" s="16">
        <f>'ALL VARS'!G32</f>
        <v>-4.2482631253185207E-3</v>
      </c>
      <c r="D32" s="16">
        <f>'ALL VARS'!H32</f>
        <v>-2.1026256366684357E-2</v>
      </c>
      <c r="E32" s="16">
        <f>'ALL VARS'!AB32</f>
        <v>-2.0034335113167491E-4</v>
      </c>
      <c r="F32" s="16">
        <f>'ALL VARS'!AD32</f>
        <v>1.2924052221660983E-5</v>
      </c>
      <c r="G32" s="16">
        <f>'ALL VARS'!J32</f>
        <v>45.149999499999993</v>
      </c>
    </row>
    <row r="33" spans="1:7" x14ac:dyDescent="0.25">
      <c r="A33" s="24">
        <f>'ALL VARS'!A33</f>
        <v>43936</v>
      </c>
      <c r="B33" s="16">
        <f>'ALL VARS'!F33</f>
        <v>-4.2482631253185207E-3</v>
      </c>
      <c r="C33" s="16">
        <f>'ALL VARS'!G33</f>
        <v>-2.1026256366684357E-2</v>
      </c>
      <c r="D33" s="16">
        <f>'ALL VARS'!H33</f>
        <v>1.2965422809946055E-2</v>
      </c>
      <c r="E33" s="16">
        <f>'ALL VARS'!AB33</f>
        <v>-2.5984904172533335E-4</v>
      </c>
      <c r="F33" s="16">
        <f>'ALL VARS'!AD33</f>
        <v>-3.1324557357190159E-4</v>
      </c>
      <c r="G33" s="16">
        <f>'ALL VARS'!J33</f>
        <v>46.419999600000004</v>
      </c>
    </row>
    <row r="34" spans="1:7" x14ac:dyDescent="0.25">
      <c r="A34" s="24">
        <f>'ALL VARS'!A34</f>
        <v>43935</v>
      </c>
      <c r="B34" s="16">
        <f>'ALL VARS'!F34</f>
        <v>-2.1026256366684357E-2</v>
      </c>
      <c r="C34" s="16">
        <f>'ALL VARS'!G34</f>
        <v>1.2965422809946055E-2</v>
      </c>
      <c r="D34" s="16">
        <f>'ALL VARS'!H34</f>
        <v>-6.4023280464834062E-3</v>
      </c>
      <c r="E34" s="16">
        <f>'ALL VARS'!AB34</f>
        <v>-9.3827200684367715E-2</v>
      </c>
      <c r="F34" s="16">
        <f>'ALL VARS'!AD34</f>
        <v>-0.29438199638552759</v>
      </c>
      <c r="G34" s="16">
        <f>'ALL VARS'!J34</f>
        <v>48.352000000000004</v>
      </c>
    </row>
    <row r="35" spans="1:7" x14ac:dyDescent="0.25">
      <c r="A35" s="24">
        <f>'ALL VARS'!A35</f>
        <v>43934</v>
      </c>
      <c r="B35" s="16">
        <f>'ALL VARS'!F35</f>
        <v>1.2965422809946055E-2</v>
      </c>
      <c r="C35" s="16">
        <f>'ALL VARS'!G35</f>
        <v>-6.4023280464834062E-3</v>
      </c>
      <c r="D35" s="16">
        <f>'ALL VARS'!H35</f>
        <v>1.729890853793448E-2</v>
      </c>
      <c r="E35" s="16">
        <f>'ALL VARS'!AB35</f>
        <v>1.4704015034069231E-2</v>
      </c>
      <c r="F35" s="16">
        <f>'ALL VARS'!AD35</f>
        <v>8.1967403676116379E-2</v>
      </c>
      <c r="G35" s="16">
        <f>'ALL VARS'!J35</f>
        <v>50.789000299999998</v>
      </c>
    </row>
    <row r="36" spans="1:7" x14ac:dyDescent="0.25">
      <c r="A36" s="24">
        <f>'ALL VARS'!A36</f>
        <v>43930</v>
      </c>
      <c r="B36" s="16">
        <f>'ALL VARS'!F36</f>
        <v>-6.4023280464834062E-3</v>
      </c>
      <c r="C36" s="16">
        <f>'ALL VARS'!G36</f>
        <v>1.729890853793448E-2</v>
      </c>
      <c r="D36" s="16">
        <f>'ALL VARS'!H36</f>
        <v>2.2888078899761091E-2</v>
      </c>
      <c r="E36" s="16">
        <f>'ALL VARS'!AB36</f>
        <v>-6.1824379942844046E-3</v>
      </c>
      <c r="F36" s="16">
        <f>'ALL VARS'!AD36</f>
        <v>-4.641460060459629E-2</v>
      </c>
      <c r="G36" s="16">
        <f>'ALL VARS'!J36</f>
        <v>52.722000499999993</v>
      </c>
    </row>
    <row r="37" spans="1:7" x14ac:dyDescent="0.25">
      <c r="A37" s="24">
        <f>'ALL VARS'!A37</f>
        <v>43929</v>
      </c>
      <c r="B37" s="16">
        <f>'ALL VARS'!F37</f>
        <v>1.729890853793448E-2</v>
      </c>
      <c r="C37" s="16">
        <f>'ALL VARS'!G37</f>
        <v>2.2888078899761091E-2</v>
      </c>
      <c r="D37" s="16">
        <f>'ALL VARS'!H37</f>
        <v>1.5743313464585205E-3</v>
      </c>
      <c r="E37" s="16">
        <f>'ALL VARS'!AB37</f>
        <v>1.1306443595853824E-2</v>
      </c>
      <c r="F37" s="16">
        <f>'ALL VARS'!AD37</f>
        <v>0.10817430623180743</v>
      </c>
      <c r="G37" s="16">
        <f>'ALL VARS'!J37</f>
        <v>54.782000800000006</v>
      </c>
    </row>
    <row r="38" spans="1:7" x14ac:dyDescent="0.25">
      <c r="A38" s="24">
        <f>'ALL VARS'!A38</f>
        <v>43928</v>
      </c>
      <c r="B38" s="16">
        <f>'ALL VARS'!F38</f>
        <v>2.2888078899761091E-2</v>
      </c>
      <c r="C38" s="16">
        <f>'ALL VARS'!G38</f>
        <v>1.5743313464585205E-3</v>
      </c>
      <c r="D38" s="16">
        <f>'ALL VARS'!H38</f>
        <v>5.0578545857092143E-2</v>
      </c>
      <c r="E38" s="16">
        <f>'ALL VARS'!AB38</f>
        <v>-2.263750268659717E-3</v>
      </c>
      <c r="F38" s="16">
        <f>'ALL VARS'!AD38</f>
        <v>-2.5047245573936276E-2</v>
      </c>
      <c r="G38" s="16">
        <f>'ALL VARS'!J38</f>
        <v>56.279000499999995</v>
      </c>
    </row>
    <row r="39" spans="1:7" x14ac:dyDescent="0.25">
      <c r="A39" s="24">
        <f>'ALL VARS'!A39</f>
        <v>43927</v>
      </c>
      <c r="B39" s="16">
        <f>'ALL VARS'!F39</f>
        <v>1.5743313464585205E-3</v>
      </c>
      <c r="C39" s="16">
        <f>'ALL VARS'!G39</f>
        <v>5.0578545857092143E-2</v>
      </c>
      <c r="D39" s="16">
        <f>'ALL VARS'!H39</f>
        <v>-1.2177617796472343E-2</v>
      </c>
      <c r="E39" s="16">
        <f>'ALL VARS'!AB39</f>
        <v>-7.1723618513524681E-3</v>
      </c>
      <c r="F39" s="16">
        <f>'ALL VARS'!AD39</f>
        <v>-9.1085346831038028E-2</v>
      </c>
      <c r="G39" s="16">
        <f>'ALL VARS'!J39</f>
        <v>57.914000299999998</v>
      </c>
    </row>
    <row r="40" spans="1:7" x14ac:dyDescent="0.25">
      <c r="A40" s="24">
        <f>'ALL VARS'!A40</f>
        <v>43924</v>
      </c>
      <c r="B40" s="16">
        <f>'ALL VARS'!F40</f>
        <v>5.0578545857092143E-2</v>
      </c>
      <c r="C40" s="16">
        <f>'ALL VARS'!G40</f>
        <v>-1.2177617796472343E-2</v>
      </c>
      <c r="D40" s="16">
        <f>'ALL VARS'!H40</f>
        <v>1.7194200807451526E-2</v>
      </c>
      <c r="E40" s="16">
        <f>'ALL VARS'!AB40</f>
        <v>-4.4339116250188826E-3</v>
      </c>
      <c r="F40" s="16">
        <f>'ALL VARS'!AD40</f>
        <v>-6.4839268897984609E-2</v>
      </c>
      <c r="G40" s="16">
        <f>'ALL VARS'!J40</f>
        <v>59.8380005</v>
      </c>
    </row>
    <row r="41" spans="1:7" x14ac:dyDescent="0.25">
      <c r="A41" s="24">
        <f>'ALL VARS'!A41</f>
        <v>43923</v>
      </c>
      <c r="B41" s="16">
        <f>'ALL VARS'!F41</f>
        <v>-1.2177617796472343E-2</v>
      </c>
      <c r="C41" s="16">
        <f>'ALL VARS'!G41</f>
        <v>1.7194200807451526E-2</v>
      </c>
      <c r="D41" s="16">
        <f>'ALL VARS'!H41</f>
        <v>-3.7551904604495374E-2</v>
      </c>
      <c r="E41" s="16">
        <f>'ALL VARS'!AB41</f>
        <v>-8.8854706097890382E-3</v>
      </c>
      <c r="F41" s="16">
        <f>'ALL VARS'!AD41</f>
        <v>-0.1486760613270868</v>
      </c>
      <c r="G41" s="16">
        <f>'ALL VARS'!J41</f>
        <v>61.947000500000001</v>
      </c>
    </row>
    <row r="42" spans="1:7" x14ac:dyDescent="0.25">
      <c r="A42" s="24">
        <f>'ALL VARS'!A42</f>
        <v>43922</v>
      </c>
      <c r="B42" s="16">
        <f>'ALL VARS'!F42</f>
        <v>1.7194200807451526E-2</v>
      </c>
      <c r="C42" s="16">
        <f>'ALL VARS'!G42</f>
        <v>-3.7551904604495374E-2</v>
      </c>
      <c r="D42" s="16">
        <f>'ALL VARS'!H42</f>
        <v>2.6099613068988042E-2</v>
      </c>
      <c r="E42" s="16">
        <f>'ALL VARS'!AB42</f>
        <v>-5.0734229836763003E-3</v>
      </c>
      <c r="F42" s="16">
        <f>'ALL VARS'!AD42</f>
        <v>-9.4728372015041709E-2</v>
      </c>
      <c r="G42" s="16">
        <f>'ALL VARS'!J42</f>
        <v>63.886000100000004</v>
      </c>
    </row>
    <row r="43" spans="1:7" x14ac:dyDescent="0.25">
      <c r="A43" s="24">
        <f>'ALL VARS'!A43</f>
        <v>43921</v>
      </c>
      <c r="B43" s="16">
        <f>'ALL VARS'!F43</f>
        <v>-3.7551904604495374E-2</v>
      </c>
      <c r="C43" s="16">
        <f>'ALL VARS'!G43</f>
        <v>2.6099613068988042E-2</v>
      </c>
      <c r="D43" s="16">
        <f>'ALL VARS'!H43</f>
        <v>2.7648809446036929E-2</v>
      </c>
      <c r="E43" s="16">
        <f>'ALL VARS'!AB43</f>
        <v>1.5602237417408E-3</v>
      </c>
      <c r="F43" s="16">
        <f>'ALL VARS'!AD43</f>
        <v>3.2621924664365497E-2</v>
      </c>
      <c r="G43" s="16">
        <f>'ALL VARS'!J43</f>
        <v>66.123000399999995</v>
      </c>
    </row>
    <row r="44" spans="1:7" x14ac:dyDescent="0.25">
      <c r="A44" s="24">
        <f>'ALL VARS'!A44</f>
        <v>43920</v>
      </c>
      <c r="B44" s="16">
        <f>'ALL VARS'!F44</f>
        <v>2.6099613068988042E-2</v>
      </c>
      <c r="C44" s="16">
        <f>'ALL VARS'!G44</f>
        <v>2.7648809446036929E-2</v>
      </c>
      <c r="D44" s="16">
        <f>'ALL VARS'!H44</f>
        <v>-5.1117326046437227E-2</v>
      </c>
      <c r="E44" s="16">
        <f>'ALL VARS'!AB44</f>
        <v>-7.2395325777838907E-4</v>
      </c>
      <c r="F44" s="16">
        <f>'ALL VARS'!AD44</f>
        <v>-1.6990814747271162E-2</v>
      </c>
      <c r="G44" s="16">
        <f>'ALL VARS'!J44</f>
        <v>68.684000400000002</v>
      </c>
    </row>
    <row r="45" spans="1:7" x14ac:dyDescent="0.25">
      <c r="A45" s="24">
        <f>'ALL VARS'!A45</f>
        <v>43917</v>
      </c>
      <c r="B45" s="16">
        <f>'ALL VARS'!F45</f>
        <v>2.7648809446036929E-2</v>
      </c>
      <c r="C45" s="16">
        <f>'ALL VARS'!G45</f>
        <v>-5.1117326046437227E-2</v>
      </c>
      <c r="D45" s="16">
        <f>'ALL VARS'!H45</f>
        <v>1.7657086927428463E-2</v>
      </c>
      <c r="E45" s="16">
        <f>'ALL VARS'!AB45</f>
        <v>1.2187239745035489E-3</v>
      </c>
      <c r="F45" s="16">
        <f>'ALL VARS'!AD45</f>
        <v>2.7663195759010172E-2</v>
      </c>
      <c r="G45" s="16">
        <f>'ALL VARS'!J45</f>
        <v>67.91300050000001</v>
      </c>
    </row>
    <row r="46" spans="1:7" x14ac:dyDescent="0.25">
      <c r="A46" s="24">
        <f>'ALL VARS'!A46</f>
        <v>43916</v>
      </c>
      <c r="B46" s="16">
        <f>'ALL VARS'!F46</f>
        <v>-5.1117326046437227E-2</v>
      </c>
      <c r="C46" s="16">
        <f>'ALL VARS'!G46</f>
        <v>1.7657086927428463E-2</v>
      </c>
      <c r="D46" s="16">
        <f>'ALL VARS'!H46</f>
        <v>4.5191001874909938E-2</v>
      </c>
      <c r="E46" s="16">
        <f>'ALL VARS'!AB46</f>
        <v>-6.0568796149322972E-3</v>
      </c>
      <c r="F46" s="16">
        <f>'ALL VARS'!AD46</f>
        <v>-0.1462463357795504</v>
      </c>
      <c r="G46" s="16">
        <f>'ALL VARS'!J46</f>
        <v>69.360000600000006</v>
      </c>
    </row>
    <row r="47" spans="1:7" x14ac:dyDescent="0.25">
      <c r="A47" s="24">
        <f>'ALL VARS'!A47</f>
        <v>43915</v>
      </c>
      <c r="B47" s="16">
        <f>'ALL VARS'!F47</f>
        <v>1.7657086927428463E-2</v>
      </c>
      <c r="C47" s="16">
        <f>'ALL VARS'!G47</f>
        <v>4.5191001874909938E-2</v>
      </c>
      <c r="D47" s="16">
        <f>'ALL VARS'!H47</f>
        <v>0.11957070036068938</v>
      </c>
      <c r="E47" s="16">
        <f>'ALL VARS'!AB47</f>
        <v>-8.0581010020851537E-2</v>
      </c>
      <c r="F47" s="16">
        <f>'ALL VARS'!AD47</f>
        <v>-1.864684192434173</v>
      </c>
      <c r="G47" s="16">
        <f>'ALL VARS'!J47</f>
        <v>68.355000700000005</v>
      </c>
    </row>
    <row r="48" spans="1:7" x14ac:dyDescent="0.25">
      <c r="A48" s="24">
        <f>'ALL VARS'!A48</f>
        <v>43914</v>
      </c>
      <c r="B48" s="16">
        <f>'ALL VARS'!F48</f>
        <v>4.5191001874909938E-2</v>
      </c>
      <c r="C48" s="16">
        <f>'ALL VARS'!G48</f>
        <v>0.11957070036068938</v>
      </c>
      <c r="D48" s="16">
        <f>'ALL VARS'!H48</f>
        <v>-5.2591151998453836E-2</v>
      </c>
      <c r="E48" s="16">
        <f>'ALL VARS'!AB48</f>
        <v>1.2419913174925709E-3</v>
      </c>
      <c r="F48" s="16">
        <f>'ALL VARS'!AD48</f>
        <v>2.6955548357439772E-2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988-A5C2-45B8-B5CD-1CE64FC8EAFD}">
  <sheetPr codeName="Feuil8"/>
  <dimension ref="A1:Q48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VARS'!AF1</f>
        <v>Sent_t_+_1_k, k=3</v>
      </c>
      <c r="F1" s="16" t="str">
        <f>'ALL VARS'!AH1</f>
        <v>Sent_t_+_1_k, k=3 * (VIX_10_t  minus VIX_bar_10)</v>
      </c>
      <c r="G1" s="16" t="str">
        <f>'ALL VARS'!J1</f>
        <v>VIX_10_t</v>
      </c>
    </row>
    <row r="2" spans="1:14" x14ac:dyDescent="0.25">
      <c r="A2" s="24">
        <f>'ALL VARS'!A2</f>
        <v>43980</v>
      </c>
      <c r="B2" s="16">
        <f>'ALL VARS'!F2</f>
        <v>2.3093919546915233E-2</v>
      </c>
      <c r="C2" s="16">
        <f>'ALL VARS'!G2</f>
        <v>-4.5798180601685388E-3</v>
      </c>
      <c r="D2" s="16">
        <f>'ALL VARS'!H2</f>
        <v>-6.0894480094293875E-4</v>
      </c>
      <c r="E2" s="16">
        <f>'ALL VARS'!AF2</f>
        <v>-2.3405861609551936E-3</v>
      </c>
      <c r="F2" s="16">
        <f>'ALL VARS'!AH2</f>
        <v>3.6961386990732419E-2</v>
      </c>
      <c r="G2" s="16">
        <f>'ALL VARS'!J2</f>
        <v>29.423000200000001</v>
      </c>
      <c r="I2" s="18" t="s">
        <v>39</v>
      </c>
    </row>
    <row r="3" spans="1:14" ht="15.75" thickBot="1" x14ac:dyDescent="0.3">
      <c r="A3" s="24">
        <f>'ALL VARS'!A3</f>
        <v>43979</v>
      </c>
      <c r="B3" s="16">
        <f>'ALL VARS'!F3</f>
        <v>-4.5798180601685388E-3</v>
      </c>
      <c r="C3" s="16">
        <f>'ALL VARS'!G3</f>
        <v>-6.0894480094293875E-4</v>
      </c>
      <c r="D3" s="16">
        <f>'ALL VARS'!H3</f>
        <v>8.1792696244475296E-3</v>
      </c>
      <c r="E3" s="16">
        <f>'ALL VARS'!AF3</f>
        <v>-3.9798217536506728E-3</v>
      </c>
      <c r="F3" s="16">
        <f>'ALL VARS'!AH3</f>
        <v>6.0184889945852957E-2</v>
      </c>
      <c r="G3" s="16">
        <f>'ALL VARS'!J3</f>
        <v>30.092000099999996</v>
      </c>
    </row>
    <row r="4" spans="1:14" x14ac:dyDescent="0.25">
      <c r="A4" s="24">
        <f>'ALL VARS'!A4</f>
        <v>43978</v>
      </c>
      <c r="B4" s="16">
        <f>'ALL VARS'!F4</f>
        <v>-6.0894480094293875E-4</v>
      </c>
      <c r="C4" s="16">
        <f>'ALL VARS'!G4</f>
        <v>8.1792696244475296E-3</v>
      </c>
      <c r="D4" s="16">
        <f>'ALL VARS'!H4</f>
        <v>4.8223739412853626E-3</v>
      </c>
      <c r="E4" s="16">
        <f>'ALL VARS'!AF4</f>
        <v>1.3921647057884599E-4</v>
      </c>
      <c r="F4" s="16">
        <f>'ALL VARS'!AH4</f>
        <v>-2.0298469902553639E-3</v>
      </c>
      <c r="G4" s="16">
        <f>'ALL VARS'!J4</f>
        <v>30.634000099999998</v>
      </c>
      <c r="I4" s="26" t="s">
        <v>40</v>
      </c>
      <c r="J4" s="26"/>
    </row>
    <row r="5" spans="1:14" x14ac:dyDescent="0.25">
      <c r="A5" s="24">
        <f>'ALL VARS'!A5</f>
        <v>43977</v>
      </c>
      <c r="B5" s="16">
        <f>'ALL VARS'!F5</f>
        <v>8.1792696244475296E-3</v>
      </c>
      <c r="C5" s="16">
        <f>'ALL VARS'!G5</f>
        <v>4.8223739412853626E-3</v>
      </c>
      <c r="D5" s="16">
        <f>'ALL VARS'!H5</f>
        <v>1.0849210535487055E-2</v>
      </c>
      <c r="E5" s="16">
        <f>'ALL VARS'!AF5</f>
        <v>-3.5606154811124438E-3</v>
      </c>
      <c r="F5" s="16">
        <f>'ALL VARS'!AH5</f>
        <v>5.2072252842980171E-2</v>
      </c>
      <c r="G5" s="16">
        <f>'ALL VARS'!J5</f>
        <v>30.590000099999997</v>
      </c>
      <c r="I5" s="18" t="s">
        <v>41</v>
      </c>
      <c r="J5" s="18">
        <v>0.37326280468893613</v>
      </c>
    </row>
    <row r="6" spans="1:14" x14ac:dyDescent="0.25">
      <c r="A6" s="24">
        <f>'ALL VARS'!A6</f>
        <v>43976</v>
      </c>
      <c r="B6" s="16">
        <f>'ALL VARS'!F6</f>
        <v>4.8223739412853626E-3</v>
      </c>
      <c r="C6" s="16">
        <f>'ALL VARS'!G6</f>
        <v>1.0849210535487055E-2</v>
      </c>
      <c r="D6" s="16">
        <f>'ALL VARS'!H6</f>
        <v>1.9280759189597432E-3</v>
      </c>
      <c r="E6" s="16">
        <f>'ALL VARS'!AF6</f>
        <v>1.8336339409687766E-2</v>
      </c>
      <c r="F6" s="16">
        <f>'ALL VARS'!AH6</f>
        <v>-0.26832498620243833</v>
      </c>
      <c r="G6" s="16">
        <f>'ALL VARS'!J6</f>
        <v>30.581000099999997</v>
      </c>
      <c r="I6" s="18" t="s">
        <v>42</v>
      </c>
      <c r="J6" s="18">
        <v>0.13932512136425088</v>
      </c>
    </row>
    <row r="7" spans="1:14" x14ac:dyDescent="0.25">
      <c r="A7" s="24">
        <f>'ALL VARS'!A7</f>
        <v>43973</v>
      </c>
      <c r="B7" s="16">
        <f>'ALL VARS'!F7</f>
        <v>1.0849210535487055E-2</v>
      </c>
      <c r="C7" s="16">
        <f>'ALL VARS'!G7</f>
        <v>1.9280759189597432E-3</v>
      </c>
      <c r="D7" s="16">
        <f>'ALL VARS'!H7</f>
        <v>-7.5144837132717695E-3</v>
      </c>
      <c r="E7" s="16">
        <f>'ALL VARS'!AF7</f>
        <v>-1.1964713310661899E-2</v>
      </c>
      <c r="F7" s="16">
        <f>'ALL VARS'!AH7</f>
        <v>0.17519342130524082</v>
      </c>
      <c r="G7" s="16">
        <f>'ALL VARS'!J7</f>
        <v>30.572000099999997</v>
      </c>
      <c r="I7" s="18" t="s">
        <v>42</v>
      </c>
      <c r="J7" s="18">
        <v>3.3546561494179533E-2</v>
      </c>
    </row>
    <row r="8" spans="1:14" x14ac:dyDescent="0.25">
      <c r="A8" s="24">
        <f>'ALL VARS'!A8</f>
        <v>43972</v>
      </c>
      <c r="B8" s="16">
        <f>'ALL VARS'!F8</f>
        <v>1.9280759189597432E-3</v>
      </c>
      <c r="C8" s="16">
        <f>'ALL VARS'!G8</f>
        <v>-7.5144837132717695E-3</v>
      </c>
      <c r="D8" s="16">
        <f>'ALL VARS'!H8</f>
        <v>7.5307923146686901E-3</v>
      </c>
      <c r="E8" s="16">
        <f>'ALL VARS'!AF8</f>
        <v>7.4224460685514359E-4</v>
      </c>
      <c r="F8" s="16">
        <f>'ALL VARS'!AH8</f>
        <v>-1.0726554552361555E-2</v>
      </c>
      <c r="G8" s="16">
        <f>'ALL VARS'!J8</f>
        <v>30.763000099999999</v>
      </c>
      <c r="I8" s="18" t="s">
        <v>43</v>
      </c>
      <c r="J8" s="18">
        <v>2.0092541789403843E-2</v>
      </c>
    </row>
    <row r="9" spans="1:14" ht="15.75" thickBot="1" x14ac:dyDescent="0.3">
      <c r="A9" s="24">
        <f>'ALL VARS'!A9</f>
        <v>43971</v>
      </c>
      <c r="B9" s="16">
        <f>'ALL VARS'!F9</f>
        <v>-7.5144837132717695E-3</v>
      </c>
      <c r="C9" s="16">
        <f>'ALL VARS'!G9</f>
        <v>7.5307923146686901E-3</v>
      </c>
      <c r="D9" s="16">
        <f>'ALL VARS'!H9</f>
        <v>1.6845500851389788E-2</v>
      </c>
      <c r="E9" s="16">
        <f>'ALL VARS'!AF9</f>
        <v>1.5147639909597423E-3</v>
      </c>
      <c r="F9" s="16">
        <f>'ALL VARS'!AH9</f>
        <v>-2.0962075143032118E-2</v>
      </c>
      <c r="G9" s="16">
        <f>'ALL VARS'!J9</f>
        <v>31.375999999999998</v>
      </c>
      <c r="I9" s="28" t="s">
        <v>44</v>
      </c>
      <c r="J9" s="28">
        <v>47</v>
      </c>
    </row>
    <row r="10" spans="1:14" x14ac:dyDescent="0.25">
      <c r="A10" s="24">
        <f>'ALL VARS'!A10</f>
        <v>43970</v>
      </c>
      <c r="B10" s="16">
        <f>'ALL VARS'!F10</f>
        <v>7.5307923146686901E-3</v>
      </c>
      <c r="C10" s="16">
        <f>'ALL VARS'!G10</f>
        <v>1.6845500851389788E-2</v>
      </c>
      <c r="D10" s="16">
        <f>'ALL VARS'!H10</f>
        <v>8.9044014875318926E-3</v>
      </c>
      <c r="E10" s="16">
        <f>'ALL VARS'!AF10</f>
        <v>8.7605665985715977E-3</v>
      </c>
      <c r="F10" s="16">
        <f>'ALL VARS'!AH10</f>
        <v>-0.11853492533002748</v>
      </c>
      <c r="G10" s="16">
        <f>'ALL VARS'!J10</f>
        <v>31.683999999999997</v>
      </c>
    </row>
    <row r="11" spans="1:14" ht="15.75" thickBot="1" x14ac:dyDescent="0.3">
      <c r="A11" s="24">
        <f>'ALL VARS'!A11</f>
        <v>43966</v>
      </c>
      <c r="B11" s="16">
        <f>'ALL VARS'!F11</f>
        <v>1.6845500851389788E-2</v>
      </c>
      <c r="C11" s="16">
        <f>'ALL VARS'!G11</f>
        <v>8.9044014875318926E-3</v>
      </c>
      <c r="D11" s="16">
        <f>'ALL VARS'!H11</f>
        <v>4.4817694802564231E-4</v>
      </c>
      <c r="E11" s="16">
        <f>'ALL VARS'!AF11</f>
        <v>8.3454580998488931E-3</v>
      </c>
      <c r="F11" s="16">
        <f>'ALL VARS'!AH11</f>
        <v>-0.10292878103164657</v>
      </c>
      <c r="G11" s="16">
        <f>'ALL VARS'!J11</f>
        <v>32.881000200000003</v>
      </c>
      <c r="I11" s="18" t="s">
        <v>45</v>
      </c>
    </row>
    <row r="12" spans="1:14" x14ac:dyDescent="0.25">
      <c r="A12" s="24">
        <f>'ALL VARS'!A12</f>
        <v>43965</v>
      </c>
      <c r="B12" s="16">
        <f>'ALL VARS'!F12</f>
        <v>8.9044014875318926E-3</v>
      </c>
      <c r="C12" s="16">
        <f>'ALL VARS'!G12</f>
        <v>4.4817694802564231E-4</v>
      </c>
      <c r="D12" s="16">
        <f>'ALL VARS'!H12</f>
        <v>-2.5401176991557837E-2</v>
      </c>
      <c r="E12" s="16">
        <f>'ALL VARS'!AF12</f>
        <v>-2.8211577105299855E-3</v>
      </c>
      <c r="F12" s="16">
        <f>'ALL VARS'!AH12</f>
        <v>3.4360314919067152E-2</v>
      </c>
      <c r="G12" s="16">
        <f>'ALL VARS'!J12</f>
        <v>33.0350003</v>
      </c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A13" s="24">
        <f>'ALL VARS'!A13</f>
        <v>43964</v>
      </c>
      <c r="B13" s="16">
        <f>'ALL VARS'!F13</f>
        <v>4.4817694802564231E-4</v>
      </c>
      <c r="C13" s="16">
        <f>'ALL VARS'!G13</f>
        <v>-2.5401176991557837E-2</v>
      </c>
      <c r="D13" s="16">
        <f>'ALL VARS'!H13</f>
        <v>-1.4698871572495898E-2</v>
      </c>
      <c r="E13" s="16">
        <f>'ALL VARS'!AF13</f>
        <v>7.8871176383527114E-2</v>
      </c>
      <c r="F13" s="16">
        <f>'ALL VARS'!AH13</f>
        <v>-0.99255499859757601</v>
      </c>
      <c r="G13" s="16">
        <f>'ALL VARS'!J13</f>
        <v>32.630000399999993</v>
      </c>
      <c r="I13" s="18" t="s">
        <v>46</v>
      </c>
      <c r="J13" s="18">
        <v>5</v>
      </c>
      <c r="K13" s="18">
        <v>2.7447914611899056E-3</v>
      </c>
      <c r="L13" s="18">
        <v>5.489582922379811E-4</v>
      </c>
      <c r="M13" s="18">
        <v>1.3597829430258175</v>
      </c>
      <c r="N13" s="18">
        <v>0.25930392964190296</v>
      </c>
    </row>
    <row r="14" spans="1:14" x14ac:dyDescent="0.25">
      <c r="A14" s="24">
        <f>'ALL VARS'!A14</f>
        <v>43963</v>
      </c>
      <c r="B14" s="16">
        <f>'ALL VARS'!F14</f>
        <v>-2.5401176991557837E-2</v>
      </c>
      <c r="C14" s="16">
        <f>'ALL VARS'!G14</f>
        <v>-1.4698871572495898E-2</v>
      </c>
      <c r="D14" s="16">
        <f>'ALL VARS'!H14</f>
        <v>9.1270288220883112E-3</v>
      </c>
      <c r="E14" s="16">
        <f>'ALL VARS'!AF14</f>
        <v>2.135346429041922E-3</v>
      </c>
      <c r="F14" s="16">
        <f>'ALL VARS'!AH14</f>
        <v>-2.6759112383022501E-2</v>
      </c>
      <c r="G14" s="16">
        <f>'ALL VARS'!J14</f>
        <v>32.683000299999996</v>
      </c>
      <c r="I14" s="18" t="s">
        <v>47</v>
      </c>
      <c r="J14" s="18">
        <v>42</v>
      </c>
      <c r="K14" s="18">
        <v>1.6955829893475469E-2</v>
      </c>
      <c r="L14" s="18">
        <v>4.0371023555893975E-4</v>
      </c>
    </row>
    <row r="15" spans="1:14" ht="15.75" thickBot="1" x14ac:dyDescent="0.3">
      <c r="A15" s="24">
        <f>'ALL VARS'!A15</f>
        <v>43962</v>
      </c>
      <c r="B15" s="16">
        <f>'ALL VARS'!F15</f>
        <v>-1.4698871572495898E-2</v>
      </c>
      <c r="C15" s="16">
        <f>'ALL VARS'!G15</f>
        <v>9.1270288220883112E-3</v>
      </c>
      <c r="D15" s="16">
        <f>'ALL VARS'!H15</f>
        <v>8.9592894728179693E-3</v>
      </c>
      <c r="E15" s="16">
        <f>'ALL VARS'!AF15</f>
        <v>-1.4721901458676289E-2</v>
      </c>
      <c r="F15" s="16">
        <f>'ALL VARS'!AH15</f>
        <v>0.17606670731001436</v>
      </c>
      <c r="G15" s="16">
        <f>'ALL VARS'!J15</f>
        <v>33.2550004</v>
      </c>
      <c r="I15" s="28" t="s">
        <v>48</v>
      </c>
      <c r="J15" s="28">
        <v>47</v>
      </c>
      <c r="K15" s="28">
        <v>1.9700621354665375E-2</v>
      </c>
      <c r="L15" s="28"/>
      <c r="M15" s="28"/>
      <c r="N15" s="28"/>
    </row>
    <row r="16" spans="1:14" ht="15.75" thickBot="1" x14ac:dyDescent="0.3">
      <c r="A16" s="24">
        <f>'ALL VARS'!A16</f>
        <v>43959</v>
      </c>
      <c r="B16" s="16">
        <f>'ALL VARS'!F16</f>
        <v>9.1270288220883112E-3</v>
      </c>
      <c r="C16" s="16">
        <f>'ALL VARS'!G16</f>
        <v>8.9592894728179693E-3</v>
      </c>
      <c r="D16" s="16">
        <f>'ALL VARS'!H16</f>
        <v>2.0228309928424119E-4</v>
      </c>
      <c r="E16" s="16">
        <f>'ALL VARS'!AF16</f>
        <v>9.06511203372788E-3</v>
      </c>
      <c r="F16" s="16">
        <f>'ALL VARS'!AH16</f>
        <v>-0.10120752138774777</v>
      </c>
      <c r="G16" s="16">
        <f>'ALL VARS'!J16</f>
        <v>34.050000400000002</v>
      </c>
    </row>
    <row r="17" spans="1:17" x14ac:dyDescent="0.25">
      <c r="A17" s="24">
        <f>'ALL VARS'!A17</f>
        <v>43958</v>
      </c>
      <c r="B17" s="16">
        <f>'ALL VARS'!F17</f>
        <v>8.9592894728179693E-3</v>
      </c>
      <c r="C17" s="16">
        <f>'ALL VARS'!G17</f>
        <v>2.0228309928424119E-4</v>
      </c>
      <c r="D17" s="16">
        <f>'ALL VARS'!H17</f>
        <v>1.2895694256002256E-3</v>
      </c>
      <c r="E17" s="16">
        <f>'ALL VARS'!AF17</f>
        <v>4.2870673284897722E-3</v>
      </c>
      <c r="F17" s="16">
        <f>'ALL VARS'!AH17</f>
        <v>-4.3601655193353489E-2</v>
      </c>
      <c r="G17" s="16">
        <f>'ALL VARS'!J17</f>
        <v>35.044000400000002</v>
      </c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1:17" x14ac:dyDescent="0.25">
      <c r="A18" s="24">
        <f>'ALL VARS'!A18</f>
        <v>43957</v>
      </c>
      <c r="B18" s="16">
        <f>'ALL VARS'!F18</f>
        <v>2.0228309928424119E-4</v>
      </c>
      <c r="C18" s="16">
        <f>'ALL VARS'!G18</f>
        <v>1.2895694256002256E-3</v>
      </c>
      <c r="D18" s="16">
        <f>'ALL VARS'!H18</f>
        <v>4.5167588335029351E-3</v>
      </c>
      <c r="E18" s="16">
        <f>'ALL VARS'!AF18</f>
        <v>-3.0093028263110756E-2</v>
      </c>
      <c r="F18" s="16">
        <f>'ALL VARS'!AH18</f>
        <v>0.28240827994826062</v>
      </c>
      <c r="G18" s="16">
        <f>'ALL VARS'!J18</f>
        <v>35.830000499999997</v>
      </c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4">
        <f>'ALL VARS'!A19</f>
        <v>43956</v>
      </c>
      <c r="B19" s="16">
        <f>'ALL VARS'!F19</f>
        <v>1.2895694256002256E-3</v>
      </c>
      <c r="C19" s="16">
        <f>'ALL VARS'!G19</f>
        <v>4.5167588335029351E-3</v>
      </c>
      <c r="D19" s="16">
        <f>'ALL VARS'!H19</f>
        <v>8.5292501975474666E-3</v>
      </c>
      <c r="E19" s="16">
        <f>'ALL VARS'!AF19</f>
        <v>-3.3260198391362921E-3</v>
      </c>
      <c r="F19" s="16">
        <f>'ALL VARS'!AH19</f>
        <v>2.7288358420645201E-2</v>
      </c>
      <c r="G19" s="16">
        <f>'ALL VARS'!J19</f>
        <v>37.010000400000003</v>
      </c>
      <c r="I19" s="18" t="s">
        <v>36</v>
      </c>
      <c r="J19" s="18">
        <v>6.3363048366216297E-3</v>
      </c>
      <c r="K19" s="18">
        <v>0.11702450975245431</v>
      </c>
      <c r="L19" s="18">
        <v>5.4145109003447385E-2</v>
      </c>
      <c r="M19" s="18">
        <v>0.95707629076655842</v>
      </c>
      <c r="N19" s="18">
        <v>-0.22982871707610522</v>
      </c>
      <c r="O19" s="18">
        <v>0.24250132674934846</v>
      </c>
      <c r="P19" s="18">
        <v>-0.22982871707610522</v>
      </c>
      <c r="Q19" s="18">
        <v>0.24250132674934846</v>
      </c>
    </row>
    <row r="20" spans="1:17" x14ac:dyDescent="0.25">
      <c r="A20" s="24">
        <f>'ALL VARS'!A20</f>
        <v>43955</v>
      </c>
      <c r="B20" s="16">
        <f>'ALL VARS'!F20</f>
        <v>4.5167588335029351E-3</v>
      </c>
      <c r="C20" s="16">
        <f>'ALL VARS'!G20</f>
        <v>8.5292501975474666E-3</v>
      </c>
      <c r="D20" s="16">
        <f>'ALL VARS'!H20</f>
        <v>-1.0852015661224153E-2</v>
      </c>
      <c r="E20" s="16">
        <f>'ALL VARS'!AF20</f>
        <v>4.9249058986688923E-2</v>
      </c>
      <c r="F20" s="16">
        <f>'ALL VARS'!AH20</f>
        <v>-0.36535456340096673</v>
      </c>
      <c r="G20" s="16">
        <f>'ALL VARS'!J20</f>
        <v>37.796000499999998</v>
      </c>
      <c r="I20" s="18" t="s">
        <v>37</v>
      </c>
      <c r="J20" s="18">
        <v>-0.10068891867564783</v>
      </c>
      <c r="K20" s="18">
        <v>0.11625989816379684</v>
      </c>
      <c r="L20" s="18">
        <v>-0.86606749417403339</v>
      </c>
      <c r="M20" s="18">
        <v>0.39137377252820404</v>
      </c>
      <c r="N20" s="18">
        <v>-0.33531089193154207</v>
      </c>
      <c r="O20" s="18">
        <v>0.13393305458024643</v>
      </c>
      <c r="P20" s="18">
        <v>-0.33531089193154207</v>
      </c>
      <c r="Q20" s="18">
        <v>0.13393305458024643</v>
      </c>
    </row>
    <row r="21" spans="1:17" x14ac:dyDescent="0.25">
      <c r="A21" s="24">
        <f>'ALL VARS'!A21</f>
        <v>43952</v>
      </c>
      <c r="B21" s="16">
        <f>'ALL VARS'!F21</f>
        <v>8.5292501975474666E-3</v>
      </c>
      <c r="C21" s="16">
        <f>'ALL VARS'!G21</f>
        <v>-1.0852015661224153E-2</v>
      </c>
      <c r="D21" s="16">
        <f>'ALL VARS'!H21</f>
        <v>-2.9379858648651246E-2</v>
      </c>
      <c r="E21" s="16">
        <f>'ALL VARS'!AF21</f>
        <v>-2.0688179906048758E-2</v>
      </c>
      <c r="F21" s="16">
        <f>'ALL VARS'!AH21</f>
        <v>0.15148936729547727</v>
      </c>
      <c r="G21" s="16">
        <f>'ALL VARS'!J21</f>
        <v>37.892000799999991</v>
      </c>
      <c r="I21" s="18" t="s">
        <v>12</v>
      </c>
      <c r="J21" s="18">
        <v>8.5344471198815317E-2</v>
      </c>
      <c r="K21" s="18">
        <v>0.12294461192565963</v>
      </c>
      <c r="L21" s="18">
        <v>0.6941700808362401</v>
      </c>
      <c r="M21" s="18">
        <v>0.49139758136696354</v>
      </c>
      <c r="N21" s="18">
        <v>-0.1627678005884729</v>
      </c>
      <c r="O21" s="18">
        <v>0.33345674298610356</v>
      </c>
      <c r="P21" s="18">
        <v>-0.1627678005884729</v>
      </c>
      <c r="Q21" s="18">
        <v>0.33345674298610356</v>
      </c>
    </row>
    <row r="22" spans="1:17" x14ac:dyDescent="0.25">
      <c r="A22" s="24">
        <f>'ALL VARS'!A22</f>
        <v>43951</v>
      </c>
      <c r="B22" s="16">
        <f>'ALL VARS'!F22</f>
        <v>-1.0852015661224153E-2</v>
      </c>
      <c r="C22" s="16">
        <f>'ALL VARS'!G22</f>
        <v>-2.9379858648651246E-2</v>
      </c>
      <c r="D22" s="16">
        <f>'ALL VARS'!H22</f>
        <v>2.904386379946032E-2</v>
      </c>
      <c r="E22" s="16">
        <f>'ALL VARS'!AF22</f>
        <v>-2.4350595179123964E-3</v>
      </c>
      <c r="F22" s="16">
        <f>'ALL VARS'!AH22</f>
        <v>1.6379448092407937E-2</v>
      </c>
      <c r="G22" s="16">
        <f>'ALL VARS'!J22</f>
        <v>38.488000700000001</v>
      </c>
      <c r="I22" s="18" t="s">
        <v>80</v>
      </c>
      <c r="J22" s="18">
        <v>1.0931820381343122E-2</v>
      </c>
      <c r="K22" s="18">
        <v>8.992358596081839E-3</v>
      </c>
      <c r="L22" s="18">
        <v>1.2156788749623872</v>
      </c>
      <c r="M22" s="18">
        <v>0.23089642990350759</v>
      </c>
      <c r="N22" s="18">
        <v>-7.2154939665918065E-3</v>
      </c>
      <c r="O22" s="18">
        <v>2.9079134729278051E-2</v>
      </c>
      <c r="P22" s="18">
        <v>-7.2154939665918065E-3</v>
      </c>
      <c r="Q22" s="18">
        <v>2.9079134729278051E-2</v>
      </c>
    </row>
    <row r="23" spans="1:17" ht="15.75" thickBot="1" x14ac:dyDescent="0.3">
      <c r="A23" s="24">
        <f>'ALL VARS'!A23</f>
        <v>43950</v>
      </c>
      <c r="B23" s="16">
        <f>'ALL VARS'!F23</f>
        <v>-2.9379858648651246E-2</v>
      </c>
      <c r="C23" s="16">
        <f>'ALL VARS'!G23</f>
        <v>2.904386379946032E-2</v>
      </c>
      <c r="D23" s="16">
        <f>'ALL VARS'!H23</f>
        <v>1.0667882350970269E-2</v>
      </c>
      <c r="E23" s="16">
        <f>'ALL VARS'!AF23</f>
        <v>-2.081331569868099E-3</v>
      </c>
      <c r="F23" s="16">
        <f>'ALL VARS'!AH23</f>
        <v>1.1999934470338168E-2</v>
      </c>
      <c r="G23" s="16">
        <f>'ALL VARS'!J23</f>
        <v>39.449000699999999</v>
      </c>
      <c r="I23" s="28" t="s">
        <v>4</v>
      </c>
      <c r="J23" s="28">
        <v>1.6916080629571296E-4</v>
      </c>
      <c r="K23" s="28">
        <v>7.4530935337935704E-5</v>
      </c>
      <c r="L23" s="28">
        <v>2.2696723921242854</v>
      </c>
      <c r="M23" s="28">
        <v>2.8423065326550385E-2</v>
      </c>
      <c r="N23" s="28">
        <v>1.8751289396280171E-5</v>
      </c>
      <c r="O23" s="28">
        <v>3.1957032319514575E-4</v>
      </c>
      <c r="P23" s="28">
        <v>1.8751289396280171E-5</v>
      </c>
      <c r="Q23" s="28">
        <v>3.1957032319514575E-4</v>
      </c>
    </row>
    <row r="24" spans="1:17" x14ac:dyDescent="0.25">
      <c r="A24" s="24">
        <f>'ALL VARS'!A24</f>
        <v>43949</v>
      </c>
      <c r="B24" s="16">
        <f>'ALL VARS'!F24</f>
        <v>2.904386379946032E-2</v>
      </c>
      <c r="C24" s="16">
        <f>'ALL VARS'!G24</f>
        <v>1.0667882350970269E-2</v>
      </c>
      <c r="D24" s="16">
        <f>'ALL VARS'!H24</f>
        <v>1.5373998778727917E-2</v>
      </c>
      <c r="E24" s="16">
        <f>'ALL VARS'!AF24</f>
        <v>7.7778522529771551E-4</v>
      </c>
      <c r="F24" s="16">
        <f>'ALL VARS'!AH24</f>
        <v>-4.158435329144906E-3</v>
      </c>
      <c r="G24" s="16">
        <f>'ALL VARS'!J24</f>
        <v>39.868000500000008</v>
      </c>
    </row>
    <row r="25" spans="1:17" x14ac:dyDescent="0.25">
      <c r="A25" s="24">
        <f>'ALL VARS'!A25</f>
        <v>43948</v>
      </c>
      <c r="B25" s="16">
        <f>'ALL VARS'!F25</f>
        <v>1.0667882350970269E-2</v>
      </c>
      <c r="C25" s="16">
        <f>'ALL VARS'!G25</f>
        <v>1.5373998778727917E-2</v>
      </c>
      <c r="D25" s="16">
        <f>'ALL VARS'!H25</f>
        <v>1.1879839917270655E-2</v>
      </c>
      <c r="E25" s="16">
        <f>'ALL VARS'!AF25</f>
        <v>-6.7563955073636547E-3</v>
      </c>
      <c r="F25" s="16">
        <f>'ALL VARS'!AH25</f>
        <v>3.0799088471424086E-2</v>
      </c>
      <c r="G25" s="16">
        <f>'ALL VARS'!J25</f>
        <v>40.656000200000001</v>
      </c>
    </row>
    <row r="26" spans="1:17" x14ac:dyDescent="0.25">
      <c r="A26" s="24">
        <f>'ALL VARS'!A26</f>
        <v>43945</v>
      </c>
      <c r="B26" s="16">
        <f>'ALL VARS'!F26</f>
        <v>1.5373998778727917E-2</v>
      </c>
      <c r="C26" s="16">
        <f>'ALL VARS'!G26</f>
        <v>1.1879839917270655E-2</v>
      </c>
      <c r="D26" s="16">
        <f>'ALL VARS'!H26</f>
        <v>-2.5965891780394849E-3</v>
      </c>
      <c r="E26" s="16">
        <f>'ALL VARS'!AF26</f>
        <v>-6.3269162402149609E-3</v>
      </c>
      <c r="F26" s="16">
        <f>'ALL VARS'!AH26</f>
        <v>2.520965479018129E-2</v>
      </c>
      <c r="G26" s="16">
        <f>'ALL VARS'!J26</f>
        <v>41.230000000000004</v>
      </c>
    </row>
    <row r="27" spans="1:17" x14ac:dyDescent="0.25">
      <c r="A27" s="24">
        <f>'ALL VARS'!A27</f>
        <v>43944</v>
      </c>
      <c r="B27" s="16">
        <f>'ALL VARS'!F27</f>
        <v>1.1879839917270655E-2</v>
      </c>
      <c r="C27" s="16">
        <f>'ALL VARS'!G27</f>
        <v>-2.5965891780394849E-3</v>
      </c>
      <c r="D27" s="16">
        <f>'ALL VARS'!H27</f>
        <v>2.4971169199914333E-2</v>
      </c>
      <c r="E27" s="16">
        <f>'ALL VARS'!AF27</f>
        <v>-3.9556462087361418E-4</v>
      </c>
      <c r="F27" s="16">
        <f>'ALL VARS'!AH27</f>
        <v>1.4982046858615565E-3</v>
      </c>
      <c r="G27" s="16">
        <f>'ALL VARS'!J27</f>
        <v>41.42699970000001</v>
      </c>
    </row>
    <row r="28" spans="1:17" x14ac:dyDescent="0.25">
      <c r="A28" s="24">
        <f>'ALL VARS'!A28</f>
        <v>43943</v>
      </c>
      <c r="B28" s="16">
        <f>'ALL VARS'!F28</f>
        <v>-2.5965891780394849E-3</v>
      </c>
      <c r="C28" s="16">
        <f>'ALL VARS'!G28</f>
        <v>2.4971169199914333E-2</v>
      </c>
      <c r="D28" s="16">
        <f>'ALL VARS'!H28</f>
        <v>-3.1150323670921017E-2</v>
      </c>
      <c r="E28" s="16">
        <f>'ALL VARS'!AF28</f>
        <v>-8.140031331253848E-3</v>
      </c>
      <c r="F28" s="16">
        <f>'ALL VARS'!AH28</f>
        <v>2.6988348881306211E-2</v>
      </c>
      <c r="G28" s="16">
        <f>'ALL VARS'!J28</f>
        <v>41.898999799999999</v>
      </c>
    </row>
    <row r="29" spans="1:17" x14ac:dyDescent="0.25">
      <c r="A29" s="24">
        <f>'ALL VARS'!A29</f>
        <v>43942</v>
      </c>
      <c r="B29" s="16">
        <f>'ALL VARS'!F29</f>
        <v>2.4971169199914333E-2</v>
      </c>
      <c r="C29" s="16">
        <f>'ALL VARS'!G29</f>
        <v>-3.1150323670921017E-2</v>
      </c>
      <c r="D29" s="16">
        <f>'ALL VARS'!H29</f>
        <v>1.9776887879946956E-3</v>
      </c>
      <c r="E29" s="16">
        <f>'ALL VARS'!AF29</f>
        <v>1.3162351004172328E-2</v>
      </c>
      <c r="F29" s="16">
        <f>'ALL VARS'!AH29</f>
        <v>-4.3863653367297722E-2</v>
      </c>
      <c r="G29" s="16">
        <f>'ALL VARS'!J29</f>
        <v>41.881999999999998</v>
      </c>
    </row>
    <row r="30" spans="1:17" x14ac:dyDescent="0.25">
      <c r="A30" s="24">
        <f>'ALL VARS'!A30</f>
        <v>43941</v>
      </c>
      <c r="B30" s="16">
        <f>'ALL VARS'!F30</f>
        <v>-3.1150323670921017E-2</v>
      </c>
      <c r="C30" s="16">
        <f>'ALL VARS'!G30</f>
        <v>1.9776887879946956E-3</v>
      </c>
      <c r="D30" s="16">
        <f>'ALL VARS'!H30</f>
        <v>3.3138402111040632E-2</v>
      </c>
      <c r="E30" s="16">
        <f>'ALL VARS'!AF30</f>
        <v>1.4405125428120927E-2</v>
      </c>
      <c r="F30" s="16">
        <f>'ALL VARS'!AH30</f>
        <v>-4.3726892406904361E-2</v>
      </c>
      <c r="G30" s="16">
        <f>'ALL VARS'!J30</f>
        <v>42.178999699999999</v>
      </c>
    </row>
    <row r="31" spans="1:17" x14ac:dyDescent="0.25">
      <c r="A31" s="24">
        <f>'ALL VARS'!A31</f>
        <v>43938</v>
      </c>
      <c r="B31" s="16">
        <f>'ALL VARS'!F31</f>
        <v>1.9776887879946956E-3</v>
      </c>
      <c r="C31" s="16">
        <f>'ALL VARS'!G31</f>
        <v>3.3138402111040632E-2</v>
      </c>
      <c r="D31" s="16">
        <f>'ALL VARS'!H31</f>
        <v>-4.2482631253185207E-3</v>
      </c>
      <c r="E31" s="16">
        <f>'ALL VARS'!AF31</f>
        <v>4.1155622936773023E-2</v>
      </c>
      <c r="F31" s="16">
        <f>'ALL VARS'!AH31</f>
        <v>-7.2413710113291646E-2</v>
      </c>
      <c r="G31" s="16">
        <f>'ALL VARS'!J31</f>
        <v>43.4549995</v>
      </c>
    </row>
    <row r="32" spans="1:17" x14ac:dyDescent="0.25">
      <c r="A32" s="24">
        <f>'ALL VARS'!A32</f>
        <v>43937</v>
      </c>
      <c r="B32" s="16">
        <f>'ALL VARS'!F32</f>
        <v>3.3138402111040632E-2</v>
      </c>
      <c r="C32" s="16">
        <f>'ALL VARS'!G32</f>
        <v>-4.2482631253185207E-3</v>
      </c>
      <c r="D32" s="16">
        <f>'ALL VARS'!H32</f>
        <v>-2.1026256366684357E-2</v>
      </c>
      <c r="E32" s="16">
        <f>'ALL VARS'!AF32</f>
        <v>-2.0035101760917378E-4</v>
      </c>
      <c r="F32" s="16">
        <f>'ALL VARS'!AH32</f>
        <v>1.2924546782398794E-5</v>
      </c>
      <c r="G32" s="16">
        <f>'ALL VARS'!J32</f>
        <v>45.149999499999993</v>
      </c>
    </row>
    <row r="33" spans="1:7" x14ac:dyDescent="0.25">
      <c r="A33" s="24">
        <f>'ALL VARS'!A33</f>
        <v>43936</v>
      </c>
      <c r="B33" s="16">
        <f>'ALL VARS'!F33</f>
        <v>-4.2482631253185207E-3</v>
      </c>
      <c r="C33" s="16">
        <f>'ALL VARS'!G33</f>
        <v>-2.1026256366684357E-2</v>
      </c>
      <c r="D33" s="16">
        <f>'ALL VARS'!H33</f>
        <v>1.2965422809946055E-2</v>
      </c>
      <c r="E33" s="16">
        <f>'ALL VARS'!AF33</f>
        <v>-1.5987603277906658E-3</v>
      </c>
      <c r="F33" s="16">
        <f>'ALL VARS'!AH33</f>
        <v>-1.9272905243658774E-3</v>
      </c>
      <c r="G33" s="16">
        <f>'ALL VARS'!J33</f>
        <v>46.419999600000004</v>
      </c>
    </row>
    <row r="34" spans="1:7" x14ac:dyDescent="0.25">
      <c r="A34" s="24">
        <f>'ALL VARS'!A34</f>
        <v>43935</v>
      </c>
      <c r="B34" s="16">
        <f>'ALL VARS'!F34</f>
        <v>-2.1026256366684357E-2</v>
      </c>
      <c r="C34" s="16">
        <f>'ALL VARS'!G34</f>
        <v>1.2965422809946055E-2</v>
      </c>
      <c r="D34" s="16">
        <f>'ALL VARS'!H34</f>
        <v>-6.4023280464834062E-3</v>
      </c>
      <c r="E34" s="16">
        <f>'ALL VARS'!AF34</f>
        <v>-4.8918912088724287E-3</v>
      </c>
      <c r="F34" s="16">
        <f>'ALL VARS'!AH34</f>
        <v>-1.5348264572158403E-2</v>
      </c>
      <c r="G34" s="16">
        <f>'ALL VARS'!J34</f>
        <v>48.352000000000004</v>
      </c>
    </row>
    <row r="35" spans="1:7" x14ac:dyDescent="0.25">
      <c r="A35" s="24">
        <f>'ALL VARS'!A35</f>
        <v>43934</v>
      </c>
      <c r="B35" s="16">
        <f>'ALL VARS'!F35</f>
        <v>1.2965422809946055E-2</v>
      </c>
      <c r="C35" s="16">
        <f>'ALL VARS'!G35</f>
        <v>-6.4023280464834062E-3</v>
      </c>
      <c r="D35" s="16">
        <f>'ALL VARS'!H35</f>
        <v>1.729890853793448E-2</v>
      </c>
      <c r="E35" s="16">
        <f>'ALL VARS'!AF35</f>
        <v>1.5571135654968777E-2</v>
      </c>
      <c r="F35" s="16">
        <f>'ALL VARS'!AH35</f>
        <v>8.6801160021201404E-2</v>
      </c>
      <c r="G35" s="16">
        <f>'ALL VARS'!J35</f>
        <v>50.789000299999998</v>
      </c>
    </row>
    <row r="36" spans="1:7" x14ac:dyDescent="0.25">
      <c r="A36" s="24">
        <f>'ALL VARS'!A36</f>
        <v>43930</v>
      </c>
      <c r="B36" s="16">
        <f>'ALL VARS'!F36</f>
        <v>-6.4023280464834062E-3</v>
      </c>
      <c r="C36" s="16">
        <f>'ALL VARS'!G36</f>
        <v>1.729890853793448E-2</v>
      </c>
      <c r="D36" s="16">
        <f>'ALL VARS'!H36</f>
        <v>2.2888078899761091E-2</v>
      </c>
      <c r="E36" s="16">
        <f>'ALL VARS'!AF36</f>
        <v>-5.4089375490141513E-2</v>
      </c>
      <c r="F36" s="16">
        <f>'ALL VARS'!AH36</f>
        <v>-0.4060755259733978</v>
      </c>
      <c r="G36" s="16">
        <f>'ALL VARS'!J36</f>
        <v>52.722000499999993</v>
      </c>
    </row>
    <row r="37" spans="1:7" x14ac:dyDescent="0.25">
      <c r="A37" s="24">
        <f>'ALL VARS'!A37</f>
        <v>43929</v>
      </c>
      <c r="B37" s="16">
        <f>'ALL VARS'!F37</f>
        <v>1.729890853793448E-2</v>
      </c>
      <c r="C37" s="16">
        <f>'ALL VARS'!G37</f>
        <v>2.2888078899761091E-2</v>
      </c>
      <c r="D37" s="16">
        <f>'ALL VARS'!H37</f>
        <v>1.5743313464585205E-3</v>
      </c>
      <c r="E37" s="16">
        <f>'ALL VARS'!AF37</f>
        <v>1.3995958575004331E-3</v>
      </c>
      <c r="F37" s="16">
        <f>'ALL VARS'!AH37</f>
        <v>1.3390621870305959E-2</v>
      </c>
      <c r="G37" s="16">
        <f>'ALL VARS'!J37</f>
        <v>54.782000800000006</v>
      </c>
    </row>
    <row r="38" spans="1:7" x14ac:dyDescent="0.25">
      <c r="A38" s="24">
        <f>'ALL VARS'!A38</f>
        <v>43928</v>
      </c>
      <c r="B38" s="16">
        <f>'ALL VARS'!F38</f>
        <v>2.2888078899761091E-2</v>
      </c>
      <c r="C38" s="16">
        <f>'ALL VARS'!G38</f>
        <v>1.5743313464585205E-3</v>
      </c>
      <c r="D38" s="16">
        <f>'ALL VARS'!H38</f>
        <v>5.0578545857092143E-2</v>
      </c>
      <c r="E38" s="16">
        <f>'ALL VARS'!AF38</f>
        <v>-1.229785376597761E-3</v>
      </c>
      <c r="F38" s="16">
        <f>'ALL VARS'!AH38</f>
        <v>-1.3606949828930109E-2</v>
      </c>
      <c r="G38" s="16">
        <f>'ALL VARS'!J38</f>
        <v>56.279000499999995</v>
      </c>
    </row>
    <row r="39" spans="1:7" x14ac:dyDescent="0.25">
      <c r="A39" s="24">
        <f>'ALL VARS'!A39</f>
        <v>43927</v>
      </c>
      <c r="B39" s="16">
        <f>'ALL VARS'!F39</f>
        <v>1.5743313464585205E-3</v>
      </c>
      <c r="C39" s="16">
        <f>'ALL VARS'!G39</f>
        <v>5.0578545857092143E-2</v>
      </c>
      <c r="D39" s="16">
        <f>'ALL VARS'!H39</f>
        <v>-1.2177617796472343E-2</v>
      </c>
      <c r="E39" s="16">
        <f>'ALL VARS'!AF39</f>
        <v>-2.3250662403076824E-2</v>
      </c>
      <c r="F39" s="16">
        <f>'ALL VARS'!AH39</f>
        <v>-0.29527158458078673</v>
      </c>
      <c r="G39" s="16">
        <f>'ALL VARS'!J39</f>
        <v>57.914000299999998</v>
      </c>
    </row>
    <row r="40" spans="1:7" x14ac:dyDescent="0.25">
      <c r="A40" s="24">
        <f>'ALL VARS'!A40</f>
        <v>43924</v>
      </c>
      <c r="B40" s="16">
        <f>'ALL VARS'!F40</f>
        <v>5.0578545857092143E-2</v>
      </c>
      <c r="C40" s="16">
        <f>'ALL VARS'!G40</f>
        <v>-1.2177617796472343E-2</v>
      </c>
      <c r="D40" s="16">
        <f>'ALL VARS'!H40</f>
        <v>1.7194200807451526E-2</v>
      </c>
      <c r="E40" s="16">
        <f>'ALL VARS'!AF40</f>
        <v>-4.5690593554150019E-4</v>
      </c>
      <c r="F40" s="16">
        <f>'ALL VARS'!AH40</f>
        <v>-6.681560058277974E-3</v>
      </c>
      <c r="G40" s="16">
        <f>'ALL VARS'!J40</f>
        <v>59.8380005</v>
      </c>
    </row>
    <row r="41" spans="1:7" x14ac:dyDescent="0.25">
      <c r="A41" s="24">
        <f>'ALL VARS'!A41</f>
        <v>43923</v>
      </c>
      <c r="B41" s="16">
        <f>'ALL VARS'!F41</f>
        <v>-1.2177617796472343E-2</v>
      </c>
      <c r="C41" s="16">
        <f>'ALL VARS'!G41</f>
        <v>1.7194200807451526E-2</v>
      </c>
      <c r="D41" s="16">
        <f>'ALL VARS'!H41</f>
        <v>-3.7551904604495374E-2</v>
      </c>
      <c r="E41" s="16">
        <f>'ALL VARS'!AF41</f>
        <v>-0.10928384121435053</v>
      </c>
      <c r="F41" s="16">
        <f>'ALL VARS'!AH41</f>
        <v>-1.828590942672665</v>
      </c>
      <c r="G41" s="16">
        <f>'ALL VARS'!J41</f>
        <v>61.947000500000001</v>
      </c>
    </row>
    <row r="42" spans="1:7" x14ac:dyDescent="0.25">
      <c r="A42" s="24">
        <f>'ALL VARS'!A42</f>
        <v>43922</v>
      </c>
      <c r="B42" s="16">
        <f>'ALL VARS'!F42</f>
        <v>1.7194200807451526E-2</v>
      </c>
      <c r="C42" s="16">
        <f>'ALL VARS'!G42</f>
        <v>-3.7551904604495374E-2</v>
      </c>
      <c r="D42" s="16">
        <f>'ALL VARS'!H42</f>
        <v>2.6099613068988042E-2</v>
      </c>
      <c r="E42" s="16">
        <f>'ALL VARS'!AF42</f>
        <v>-5.0732335573699357E-3</v>
      </c>
      <c r="F42" s="16">
        <f>'ALL VARS'!AH42</f>
        <v>-9.4724835143450981E-2</v>
      </c>
      <c r="G42" s="16">
        <f>'ALL VARS'!J42</f>
        <v>63.886000100000004</v>
      </c>
    </row>
    <row r="43" spans="1:7" x14ac:dyDescent="0.25">
      <c r="A43" s="24">
        <f>'ALL VARS'!A43</f>
        <v>43921</v>
      </c>
      <c r="B43" s="16">
        <f>'ALL VARS'!F43</f>
        <v>-3.7551904604495374E-2</v>
      </c>
      <c r="C43" s="16">
        <f>'ALL VARS'!G43</f>
        <v>2.6099613068988042E-2</v>
      </c>
      <c r="D43" s="16">
        <f>'ALL VARS'!H43</f>
        <v>2.7648809446036929E-2</v>
      </c>
      <c r="E43" s="16">
        <f>'ALL VARS'!AF43</f>
        <v>1.5601840371188122E-3</v>
      </c>
      <c r="F43" s="16">
        <f>'ALL VARS'!AH43</f>
        <v>3.2621094500618682E-2</v>
      </c>
      <c r="G43" s="16">
        <f>'ALL VARS'!J43</f>
        <v>66.123000399999995</v>
      </c>
    </row>
    <row r="44" spans="1:7" x14ac:dyDescent="0.25">
      <c r="A44" s="24">
        <f>'ALL VARS'!A44</f>
        <v>43920</v>
      </c>
      <c r="B44" s="16">
        <f>'ALL VARS'!F44</f>
        <v>2.6099613068988042E-2</v>
      </c>
      <c r="C44" s="16">
        <f>'ALL VARS'!G44</f>
        <v>2.7648809446036929E-2</v>
      </c>
      <c r="D44" s="16">
        <f>'ALL VARS'!H44</f>
        <v>-5.1117326046437227E-2</v>
      </c>
      <c r="E44" s="16">
        <f>'ALL VARS'!AF44</f>
        <v>-7.2403282774974895E-4</v>
      </c>
      <c r="F44" s="16">
        <f>'ALL VARS'!AH44</f>
        <v>-1.6992682214028571E-2</v>
      </c>
      <c r="G44" s="16">
        <f>'ALL VARS'!J44</f>
        <v>68.684000400000002</v>
      </c>
    </row>
    <row r="45" spans="1:7" x14ac:dyDescent="0.25">
      <c r="A45" s="24">
        <f>'ALL VARS'!A45</f>
        <v>43917</v>
      </c>
      <c r="B45" s="16">
        <f>'ALL VARS'!F45</f>
        <v>2.7648809446036929E-2</v>
      </c>
      <c r="C45" s="16">
        <f>'ALL VARS'!G45</f>
        <v>-5.1117326046437227E-2</v>
      </c>
      <c r="D45" s="16">
        <f>'ALL VARS'!H45</f>
        <v>1.7657086927428463E-2</v>
      </c>
      <c r="E45" s="16">
        <f>'ALL VARS'!AF45</f>
        <v>1.2187704907452288E-3</v>
      </c>
      <c r="F45" s="16">
        <f>'ALL VARS'!AH45</f>
        <v>2.7664251607525902E-2</v>
      </c>
      <c r="G45" s="16">
        <f>'ALL VARS'!J45</f>
        <v>67.91300050000001</v>
      </c>
    </row>
    <row r="46" spans="1:7" x14ac:dyDescent="0.25">
      <c r="A46" s="24">
        <f>'ALL VARS'!A46</f>
        <v>43916</v>
      </c>
      <c r="B46" s="16">
        <f>'ALL VARS'!F46</f>
        <v>-5.1117326046437227E-2</v>
      </c>
      <c r="C46" s="16">
        <f>'ALL VARS'!G46</f>
        <v>1.7657086927428463E-2</v>
      </c>
      <c r="D46" s="16">
        <f>'ALL VARS'!H46</f>
        <v>4.5191001874909938E-2</v>
      </c>
      <c r="E46" s="16">
        <f>'ALL VARS'!AF46</f>
        <v>-2.6469691173722942E-2</v>
      </c>
      <c r="F46" s="16">
        <f>'ALL VARS'!AH46</f>
        <v>-0.63912370551821795</v>
      </c>
      <c r="G46" s="16">
        <f>'ALL VARS'!J46</f>
        <v>69.360000600000006</v>
      </c>
    </row>
    <row r="47" spans="1:7" x14ac:dyDescent="0.25">
      <c r="A47" s="24">
        <f>'ALL VARS'!A47</f>
        <v>43915</v>
      </c>
      <c r="B47" s="16">
        <f>'ALL VARS'!F47</f>
        <v>1.7657086927428463E-2</v>
      </c>
      <c r="C47" s="16">
        <f>'ALL VARS'!G47</f>
        <v>4.5191001874909938E-2</v>
      </c>
      <c r="D47" s="16">
        <f>'ALL VARS'!H47</f>
        <v>0.11957070036068938</v>
      </c>
      <c r="E47" s="16">
        <f>'ALL VARS'!AF47</f>
        <v>-4.2337027771192637E-2</v>
      </c>
      <c r="F47" s="16">
        <f>'ALL VARS'!AH47</f>
        <v>-0.97969963914775027</v>
      </c>
      <c r="G47" s="16">
        <f>'ALL VARS'!J47</f>
        <v>68.355000700000005</v>
      </c>
    </row>
    <row r="48" spans="1:7" x14ac:dyDescent="0.25">
      <c r="A48" s="24">
        <f>'ALL VARS'!A48</f>
        <v>43914</v>
      </c>
      <c r="B48" s="16">
        <f>'ALL VARS'!F48</f>
        <v>4.5191001874909938E-2</v>
      </c>
      <c r="C48" s="16">
        <f>'ALL VARS'!G48</f>
        <v>0.11957070036068938</v>
      </c>
      <c r="D48" s="16">
        <f>'ALL VARS'!H48</f>
        <v>-5.2591151998453836E-2</v>
      </c>
      <c r="E48" s="16">
        <f>'ALL VARS'!AF48</f>
        <v>8.5324104378155189E-3</v>
      </c>
      <c r="F48" s="16">
        <f>'ALL VARS'!AH48</f>
        <v>0.18518309985161052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491-C825-4B67-93AF-0CBFA48E9A4F}">
  <sheetPr codeName="Feuil9"/>
  <dimension ref="A1:Q48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VARS'!AJ1</f>
        <v>Sent_t_+_1_k, k=4</v>
      </c>
      <c r="F1" s="16" t="str">
        <f>'ALL VARS'!AL1</f>
        <v>Sent_t_+_1_k, k=4 * (VIX_10_t  minus VIX_bar_10)</v>
      </c>
      <c r="G1" s="16" t="str">
        <f>'ALL VARS'!J1</f>
        <v>VIX_10_t</v>
      </c>
    </row>
    <row r="2" spans="1:14" x14ac:dyDescent="0.25">
      <c r="A2" s="24">
        <f>'ALL VARS'!A2</f>
        <v>43980</v>
      </c>
      <c r="B2" s="16">
        <f>'ALL VARS'!F2</f>
        <v>2.3093919546915233E-2</v>
      </c>
      <c r="C2" s="16">
        <f>'ALL VARS'!G2</f>
        <v>-4.5798180601685388E-3</v>
      </c>
      <c r="D2" s="16">
        <f>'ALL VARS'!H2</f>
        <v>-6.0894480094293875E-4</v>
      </c>
      <c r="E2" s="16">
        <f>'ALL VARS'!AJ2</f>
        <v>-6.2882420154539284E-3</v>
      </c>
      <c r="F2" s="16">
        <f>'ALL VARS'!AL2</f>
        <v>9.9300829211826286E-2</v>
      </c>
      <c r="G2" s="16">
        <f>'ALL VARS'!J2</f>
        <v>29.423000200000001</v>
      </c>
      <c r="I2" s="18" t="s">
        <v>39</v>
      </c>
    </row>
    <row r="3" spans="1:14" ht="15.75" thickBot="1" x14ac:dyDescent="0.3">
      <c r="A3" s="24">
        <f>'ALL VARS'!A3</f>
        <v>43979</v>
      </c>
      <c r="B3" s="16">
        <f>'ALL VARS'!F3</f>
        <v>-4.5798180601685388E-3</v>
      </c>
      <c r="C3" s="16">
        <f>'ALL VARS'!G3</f>
        <v>-6.0894480094293875E-4</v>
      </c>
      <c r="D3" s="16">
        <f>'ALL VARS'!H3</f>
        <v>8.1792696244475296E-3</v>
      </c>
      <c r="E3" s="16">
        <f>'ALL VARS'!AJ3</f>
        <v>-7.955194694050792E-2</v>
      </c>
      <c r="F3" s="16">
        <f>'ALL VARS'!AL3</f>
        <v>1.2030250267366753</v>
      </c>
      <c r="G3" s="16">
        <f>'ALL VARS'!J3</f>
        <v>30.092000099999996</v>
      </c>
    </row>
    <row r="4" spans="1:14" x14ac:dyDescent="0.25">
      <c r="A4" s="24">
        <f>'ALL VARS'!A4</f>
        <v>43978</v>
      </c>
      <c r="B4" s="16">
        <f>'ALL VARS'!F4</f>
        <v>-6.0894480094293875E-4</v>
      </c>
      <c r="C4" s="16">
        <f>'ALL VARS'!G4</f>
        <v>8.1792696244475296E-3</v>
      </c>
      <c r="D4" s="16">
        <f>'ALL VARS'!H4</f>
        <v>4.8223739412853626E-3</v>
      </c>
      <c r="E4" s="16">
        <f>'ALL VARS'!AJ4</f>
        <v>1.8791543484551196E-3</v>
      </c>
      <c r="F4" s="16">
        <f>'ALL VARS'!AL4</f>
        <v>-2.739902672849762E-2</v>
      </c>
      <c r="G4" s="16">
        <f>'ALL VARS'!J4</f>
        <v>30.634000099999998</v>
      </c>
      <c r="I4" s="26" t="s">
        <v>40</v>
      </c>
      <c r="J4" s="26"/>
    </row>
    <row r="5" spans="1:14" x14ac:dyDescent="0.25">
      <c r="A5" s="24">
        <f>'ALL VARS'!A5</f>
        <v>43977</v>
      </c>
      <c r="B5" s="16">
        <f>'ALL VARS'!F5</f>
        <v>8.1792696244475296E-3</v>
      </c>
      <c r="C5" s="16">
        <f>'ALL VARS'!G5</f>
        <v>4.8223739412853626E-3</v>
      </c>
      <c r="D5" s="16">
        <f>'ALL VARS'!H5</f>
        <v>1.0849210535487055E-2</v>
      </c>
      <c r="E5" s="16">
        <f>'ALL VARS'!AJ5</f>
        <v>-7.1014121345705353E-2</v>
      </c>
      <c r="F5" s="16">
        <f>'ALL VARS'!AL5</f>
        <v>1.0385466506426355</v>
      </c>
      <c r="G5" s="16">
        <f>'ALL VARS'!J5</f>
        <v>30.590000099999997</v>
      </c>
      <c r="I5" s="18" t="s">
        <v>41</v>
      </c>
      <c r="J5" s="18">
        <v>0.36755323681509899</v>
      </c>
    </row>
    <row r="6" spans="1:14" x14ac:dyDescent="0.25">
      <c r="A6" s="24">
        <f>'ALL VARS'!A6</f>
        <v>43976</v>
      </c>
      <c r="B6" s="16">
        <f>'ALL VARS'!F6</f>
        <v>4.8223739412853626E-3</v>
      </c>
      <c r="C6" s="16">
        <f>'ALL VARS'!G6</f>
        <v>1.0849210535487055E-2</v>
      </c>
      <c r="D6" s="16">
        <f>'ALL VARS'!H6</f>
        <v>1.9280759189597432E-3</v>
      </c>
      <c r="E6" s="16">
        <f>'ALL VARS'!AJ6</f>
        <v>2.2719340723243277E-3</v>
      </c>
      <c r="F6" s="16">
        <f>'ALL VARS'!AL6</f>
        <v>-3.3246367499458029E-2</v>
      </c>
      <c r="G6" s="16">
        <f>'ALL VARS'!J6</f>
        <v>30.581000099999997</v>
      </c>
      <c r="I6" s="18" t="s">
        <v>42</v>
      </c>
      <c r="J6" s="18">
        <v>0.13509538189325626</v>
      </c>
    </row>
    <row r="7" spans="1:14" x14ac:dyDescent="0.25">
      <c r="A7" s="24">
        <f>'ALL VARS'!A7</f>
        <v>43973</v>
      </c>
      <c r="B7" s="16">
        <f>'ALL VARS'!F7</f>
        <v>1.0849210535487055E-2</v>
      </c>
      <c r="C7" s="16">
        <f>'ALL VARS'!G7</f>
        <v>1.9280759189597432E-3</v>
      </c>
      <c r="D7" s="16">
        <f>'ALL VARS'!H7</f>
        <v>-7.5144837132717695E-3</v>
      </c>
      <c r="E7" s="16">
        <f>'ALL VARS'!AJ7</f>
        <v>-1.1964590791802263E-2</v>
      </c>
      <c r="F7" s="16">
        <f>'ALL VARS'!AL7</f>
        <v>0.17519162732174645</v>
      </c>
      <c r="G7" s="16">
        <f>'ALL VARS'!J7</f>
        <v>30.572000099999997</v>
      </c>
      <c r="I7" s="18" t="s">
        <v>42</v>
      </c>
      <c r="J7" s="18">
        <v>2.8913989692613998E-2</v>
      </c>
    </row>
    <row r="8" spans="1:14" x14ac:dyDescent="0.25">
      <c r="A8" s="24">
        <f>'ALL VARS'!A8</f>
        <v>43972</v>
      </c>
      <c r="B8" s="16">
        <f>'ALL VARS'!F8</f>
        <v>1.9280759189597432E-3</v>
      </c>
      <c r="C8" s="16">
        <f>'ALL VARS'!G8</f>
        <v>-7.5144837132717695E-3</v>
      </c>
      <c r="D8" s="16">
        <f>'ALL VARS'!H8</f>
        <v>7.5307923146686901E-3</v>
      </c>
      <c r="E8" s="16">
        <f>'ALL VARS'!AJ8</f>
        <v>7.4225155210289398E-4</v>
      </c>
      <c r="F8" s="16">
        <f>'ALL VARS'!AL8</f>
        <v>-1.0726654921671332E-2</v>
      </c>
      <c r="G8" s="16">
        <f>'ALL VARS'!J8</f>
        <v>30.763000099999999</v>
      </c>
      <c r="I8" s="18" t="s">
        <v>43</v>
      </c>
      <c r="J8" s="18">
        <v>2.0141853126324761E-2</v>
      </c>
    </row>
    <row r="9" spans="1:14" ht="15.75" thickBot="1" x14ac:dyDescent="0.3">
      <c r="A9" s="24">
        <f>'ALL VARS'!A9</f>
        <v>43971</v>
      </c>
      <c r="B9" s="16">
        <f>'ALL VARS'!F9</f>
        <v>-7.5144837132717695E-3</v>
      </c>
      <c r="C9" s="16">
        <f>'ALL VARS'!G9</f>
        <v>7.5307923146686901E-3</v>
      </c>
      <c r="D9" s="16">
        <f>'ALL VARS'!H9</f>
        <v>1.6845500851389788E-2</v>
      </c>
      <c r="E9" s="16">
        <f>'ALL VARS'!AJ9</f>
        <v>9.5738014578356685E-3</v>
      </c>
      <c r="F9" s="16">
        <f>'ALL VARS'!AL9</f>
        <v>-0.13248713777284091</v>
      </c>
      <c r="G9" s="16">
        <f>'ALL VARS'!J9</f>
        <v>31.375999999999998</v>
      </c>
      <c r="I9" s="28" t="s">
        <v>44</v>
      </c>
      <c r="J9" s="28">
        <v>47</v>
      </c>
    </row>
    <row r="10" spans="1:14" x14ac:dyDescent="0.25">
      <c r="A10" s="24">
        <f>'ALL VARS'!A10</f>
        <v>43970</v>
      </c>
      <c r="B10" s="16">
        <f>'ALL VARS'!F10</f>
        <v>7.5307923146686901E-3</v>
      </c>
      <c r="C10" s="16">
        <f>'ALL VARS'!G10</f>
        <v>1.6845500851389788E-2</v>
      </c>
      <c r="D10" s="16">
        <f>'ALL VARS'!H10</f>
        <v>8.9044014875318926E-3</v>
      </c>
      <c r="E10" s="16">
        <f>'ALL VARS'!AJ10</f>
        <v>0.13323096533654652</v>
      </c>
      <c r="F10" s="16">
        <f>'ALL VARS'!AL10</f>
        <v>-1.8026827774347356</v>
      </c>
      <c r="G10" s="16">
        <f>'ALL VARS'!J10</f>
        <v>31.683999999999997</v>
      </c>
    </row>
    <row r="11" spans="1:14" ht="15.75" thickBot="1" x14ac:dyDescent="0.3">
      <c r="A11" s="24">
        <f>'ALL VARS'!A11</f>
        <v>43966</v>
      </c>
      <c r="B11" s="16">
        <f>'ALL VARS'!F11</f>
        <v>1.6845500851389788E-2</v>
      </c>
      <c r="C11" s="16">
        <f>'ALL VARS'!G11</f>
        <v>8.9044014875318926E-3</v>
      </c>
      <c r="D11" s="16">
        <f>'ALL VARS'!H11</f>
        <v>4.4817694802564231E-4</v>
      </c>
      <c r="E11" s="16">
        <f>'ALL VARS'!AJ11</f>
        <v>8.3453369595011574E-3</v>
      </c>
      <c r="F11" s="16">
        <f>'ALL VARS'!AL11</f>
        <v>-0.10292728694610004</v>
      </c>
      <c r="G11" s="16">
        <f>'ALL VARS'!J11</f>
        <v>32.881000200000003</v>
      </c>
      <c r="I11" s="18" t="s">
        <v>45</v>
      </c>
    </row>
    <row r="12" spans="1:14" x14ac:dyDescent="0.25">
      <c r="A12" s="24">
        <f>'ALL VARS'!A12</f>
        <v>43965</v>
      </c>
      <c r="B12" s="16">
        <f>'ALL VARS'!F12</f>
        <v>8.9044014875318926E-3</v>
      </c>
      <c r="C12" s="16">
        <f>'ALL VARS'!G12</f>
        <v>4.4817694802564231E-4</v>
      </c>
      <c r="D12" s="16">
        <f>'ALL VARS'!H12</f>
        <v>-2.5401176991557837E-2</v>
      </c>
      <c r="E12" s="16">
        <f>'ALL VARS'!AJ12</f>
        <v>-2.7990992655536742E-2</v>
      </c>
      <c r="F12" s="16">
        <f>'ALL VARS'!AL12</f>
        <v>0.3409165389626011</v>
      </c>
      <c r="G12" s="16">
        <f>'ALL VARS'!J12</f>
        <v>33.0350003</v>
      </c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A13" s="24">
        <f>'ALL VARS'!A13</f>
        <v>43964</v>
      </c>
      <c r="B13" s="16">
        <f>'ALL VARS'!F13</f>
        <v>4.4817694802564231E-4</v>
      </c>
      <c r="C13" s="16">
        <f>'ALL VARS'!G13</f>
        <v>-2.5401176991557837E-2</v>
      </c>
      <c r="D13" s="16">
        <f>'ALL VARS'!H13</f>
        <v>-1.4698871572495898E-2</v>
      </c>
      <c r="E13" s="16">
        <f>'ALL VARS'!AJ13</f>
        <v>5.2180861460409036E-3</v>
      </c>
      <c r="F13" s="16">
        <f>'ALL VARS'!AL13</f>
        <v>-6.5667050053628787E-2</v>
      </c>
      <c r="G13" s="16">
        <f>'ALL VARS'!J13</f>
        <v>32.630000399999993</v>
      </c>
      <c r="I13" s="18" t="s">
        <v>46</v>
      </c>
      <c r="J13" s="18">
        <v>5</v>
      </c>
      <c r="K13" s="18">
        <v>2.6614629654429581E-3</v>
      </c>
      <c r="L13" s="18">
        <v>5.3229259308859166E-4</v>
      </c>
      <c r="M13" s="18">
        <v>1.3120535885071423</v>
      </c>
      <c r="N13" s="18">
        <v>0.27790682348114615</v>
      </c>
    </row>
    <row r="14" spans="1:14" x14ac:dyDescent="0.25">
      <c r="A14" s="24">
        <f>'ALL VARS'!A14</f>
        <v>43963</v>
      </c>
      <c r="B14" s="16">
        <f>'ALL VARS'!F14</f>
        <v>-2.5401176991557837E-2</v>
      </c>
      <c r="C14" s="16">
        <f>'ALL VARS'!G14</f>
        <v>-1.4698871572495898E-2</v>
      </c>
      <c r="D14" s="16">
        <f>'ALL VARS'!H14</f>
        <v>9.1270288220883112E-3</v>
      </c>
      <c r="E14" s="16">
        <f>'ALL VARS'!AJ14</f>
        <v>2.1353841939272334E-3</v>
      </c>
      <c r="F14" s="16">
        <f>'ALL VARS'!AL14</f>
        <v>-2.6759585634011863E-2</v>
      </c>
      <c r="G14" s="16">
        <f>'ALL VARS'!J14</f>
        <v>32.683000299999996</v>
      </c>
      <c r="I14" s="18" t="s">
        <v>47</v>
      </c>
      <c r="J14" s="18">
        <v>42</v>
      </c>
      <c r="K14" s="18">
        <v>1.7039158389222417E-2</v>
      </c>
      <c r="L14" s="18">
        <v>4.0569424736243848E-4</v>
      </c>
    </row>
    <row r="15" spans="1:14" ht="15.75" thickBot="1" x14ac:dyDescent="0.3">
      <c r="A15" s="24">
        <f>'ALL VARS'!A15</f>
        <v>43962</v>
      </c>
      <c r="B15" s="16">
        <f>'ALL VARS'!F15</f>
        <v>-1.4698871572495898E-2</v>
      </c>
      <c r="C15" s="16">
        <f>'ALL VARS'!G15</f>
        <v>9.1270288220883112E-3</v>
      </c>
      <c r="D15" s="16">
        <f>'ALL VARS'!H15</f>
        <v>8.9592894728179693E-3</v>
      </c>
      <c r="E15" s="16">
        <f>'ALL VARS'!AJ15</f>
        <v>-1.4973801806830672E-2</v>
      </c>
      <c r="F15" s="16">
        <f>'ALL VARS'!AL15</f>
        <v>0.17907931169364516</v>
      </c>
      <c r="G15" s="16">
        <f>'ALL VARS'!J15</f>
        <v>33.2550004</v>
      </c>
      <c r="I15" s="28" t="s">
        <v>48</v>
      </c>
      <c r="J15" s="28">
        <v>47</v>
      </c>
      <c r="K15" s="28">
        <v>1.9700621354665375E-2</v>
      </c>
      <c r="L15" s="28"/>
      <c r="M15" s="28"/>
      <c r="N15" s="28"/>
    </row>
    <row r="16" spans="1:14" ht="15.75" thickBot="1" x14ac:dyDescent="0.3">
      <c r="A16" s="24">
        <f>'ALL VARS'!A16</f>
        <v>43959</v>
      </c>
      <c r="B16" s="16">
        <f>'ALL VARS'!F16</f>
        <v>9.1270288220883112E-3</v>
      </c>
      <c r="C16" s="16">
        <f>'ALL VARS'!G16</f>
        <v>8.9592894728179693E-3</v>
      </c>
      <c r="D16" s="16">
        <f>'ALL VARS'!H16</f>
        <v>2.0228309928424119E-4</v>
      </c>
      <c r="E16" s="16">
        <f>'ALL VARS'!AJ16</f>
        <v>1.5917358586429852E-3</v>
      </c>
      <c r="F16" s="16">
        <f>'ALL VARS'!AL16</f>
        <v>-1.7770948705088097E-2</v>
      </c>
      <c r="G16" s="16">
        <f>'ALL VARS'!J16</f>
        <v>34.050000400000002</v>
      </c>
    </row>
    <row r="17" spans="1:17" x14ac:dyDescent="0.25">
      <c r="A17" s="24">
        <f>'ALL VARS'!A17</f>
        <v>43958</v>
      </c>
      <c r="B17" s="16">
        <f>'ALL VARS'!F17</f>
        <v>8.9592894728179693E-3</v>
      </c>
      <c r="C17" s="16">
        <f>'ALL VARS'!G17</f>
        <v>2.0228309928424119E-4</v>
      </c>
      <c r="D17" s="16">
        <f>'ALL VARS'!H17</f>
        <v>1.2895694256002256E-3</v>
      </c>
      <c r="E17" s="16">
        <f>'ALL VARS'!AJ17</f>
        <v>6.1766729341750308E-2</v>
      </c>
      <c r="F17" s="16">
        <f>'ALL VARS'!AL17</f>
        <v>-0.62819905283104338</v>
      </c>
      <c r="G17" s="16">
        <f>'ALL VARS'!J17</f>
        <v>35.044000400000002</v>
      </c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1:17" x14ac:dyDescent="0.25">
      <c r="A18" s="24">
        <f>'ALL VARS'!A18</f>
        <v>43957</v>
      </c>
      <c r="B18" s="16">
        <f>'ALL VARS'!F18</f>
        <v>2.0228309928424119E-4</v>
      </c>
      <c r="C18" s="16">
        <f>'ALL VARS'!G18</f>
        <v>1.2895694256002256E-3</v>
      </c>
      <c r="D18" s="16">
        <f>'ALL VARS'!H18</f>
        <v>4.5167588335029351E-3</v>
      </c>
      <c r="E18" s="16">
        <f>'ALL VARS'!AJ18</f>
        <v>-3.5822543275427178E-3</v>
      </c>
      <c r="F18" s="16">
        <f>'ALL VARS'!AL18</f>
        <v>3.3617696236263581E-2</v>
      </c>
      <c r="G18" s="16">
        <f>'ALL VARS'!J18</f>
        <v>35.830000499999997</v>
      </c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4">
        <f>'ALL VARS'!A19</f>
        <v>43956</v>
      </c>
      <c r="B19" s="16">
        <f>'ALL VARS'!F19</f>
        <v>1.2895694256002256E-3</v>
      </c>
      <c r="C19" s="16">
        <f>'ALL VARS'!G19</f>
        <v>4.5167588335029351E-3</v>
      </c>
      <c r="D19" s="16">
        <f>'ALL VARS'!H19</f>
        <v>8.5292501975474666E-3</v>
      </c>
      <c r="E19" s="16">
        <f>'ALL VARS'!AJ19</f>
        <v>-3.8914218522612484E-4</v>
      </c>
      <c r="F19" s="16">
        <f>'ALL VARS'!AL19</f>
        <v>3.1927204107721667E-3</v>
      </c>
      <c r="G19" s="16">
        <f>'ALL VARS'!J19</f>
        <v>37.010000400000003</v>
      </c>
      <c r="I19" s="18" t="s">
        <v>36</v>
      </c>
      <c r="J19" s="18">
        <v>-1.8324100295576604E-2</v>
      </c>
      <c r="K19" s="18">
        <v>0.12196056496830326</v>
      </c>
      <c r="L19" s="18">
        <v>-0.15024610865273472</v>
      </c>
      <c r="M19" s="18">
        <v>0.88128968987113532</v>
      </c>
      <c r="N19" s="18">
        <v>-0.26445048492350981</v>
      </c>
      <c r="O19" s="18">
        <v>0.22780228433235658</v>
      </c>
      <c r="P19" s="18">
        <v>-0.26445048492350981</v>
      </c>
      <c r="Q19" s="18">
        <v>0.22780228433235658</v>
      </c>
    </row>
    <row r="20" spans="1:17" x14ac:dyDescent="0.25">
      <c r="A20" s="24">
        <f>'ALL VARS'!A20</f>
        <v>43955</v>
      </c>
      <c r="B20" s="16">
        <f>'ALL VARS'!F20</f>
        <v>4.5167588335029351E-3</v>
      </c>
      <c r="C20" s="16">
        <f>'ALL VARS'!G20</f>
        <v>8.5292501975474666E-3</v>
      </c>
      <c r="D20" s="16">
        <f>'ALL VARS'!H20</f>
        <v>-1.0852015661224153E-2</v>
      </c>
      <c r="E20" s="16">
        <f>'ALL VARS'!AJ20</f>
        <v>2.1912741931488986E-2</v>
      </c>
      <c r="F20" s="16">
        <f>'ALL VARS'!AL20</f>
        <v>-0.16255986258460411</v>
      </c>
      <c r="G20" s="16">
        <f>'ALL VARS'!J20</f>
        <v>37.796000499999998</v>
      </c>
      <c r="I20" s="18" t="s">
        <v>37</v>
      </c>
      <c r="J20" s="18">
        <v>-0.16841709801840155</v>
      </c>
      <c r="K20" s="18">
        <v>0.11200698134478114</v>
      </c>
      <c r="L20" s="18">
        <v>-1.5036303630036967</v>
      </c>
      <c r="M20" s="18">
        <v>0.14015956102793695</v>
      </c>
      <c r="N20" s="18">
        <v>-0.3944563376582314</v>
      </c>
      <c r="O20" s="18">
        <v>5.7622141621428313E-2</v>
      </c>
      <c r="P20" s="18">
        <v>-0.3944563376582314</v>
      </c>
      <c r="Q20" s="18">
        <v>5.7622141621428313E-2</v>
      </c>
    </row>
    <row r="21" spans="1:17" x14ac:dyDescent="0.25">
      <c r="A21" s="24">
        <f>'ALL VARS'!A21</f>
        <v>43952</v>
      </c>
      <c r="B21" s="16">
        <f>'ALL VARS'!F21</f>
        <v>8.5292501975474666E-3</v>
      </c>
      <c r="C21" s="16">
        <f>'ALL VARS'!G21</f>
        <v>-1.0852015661224153E-2</v>
      </c>
      <c r="D21" s="16">
        <f>'ALL VARS'!H21</f>
        <v>-2.9379858648651246E-2</v>
      </c>
      <c r="E21" s="16">
        <f>'ALL VARS'!AJ21</f>
        <v>-3.4533069211431914E-3</v>
      </c>
      <c r="F21" s="16">
        <f>'ALL VARS'!AL21</f>
        <v>2.5286868295655171E-2</v>
      </c>
      <c r="G21" s="16">
        <f>'ALL VARS'!J21</f>
        <v>37.892000799999991</v>
      </c>
      <c r="I21" s="18" t="s">
        <v>13</v>
      </c>
      <c r="J21" s="18">
        <v>7.0136228318828778E-2</v>
      </c>
      <c r="K21" s="18">
        <v>7.0333174611213245E-2</v>
      </c>
      <c r="L21" s="18">
        <v>0.99719980942886277</v>
      </c>
      <c r="M21" s="18">
        <v>0.32437831734766542</v>
      </c>
      <c r="N21" s="18">
        <v>-7.1801864465195556E-2</v>
      </c>
      <c r="O21" s="18">
        <v>0.21207432110285312</v>
      </c>
      <c r="P21" s="18">
        <v>-7.1801864465195556E-2</v>
      </c>
      <c r="Q21" s="18">
        <v>0.21207432110285312</v>
      </c>
    </row>
    <row r="22" spans="1:17" x14ac:dyDescent="0.25">
      <c r="A22" s="24">
        <f>'ALL VARS'!A22</f>
        <v>43951</v>
      </c>
      <c r="B22" s="16">
        <f>'ALL VARS'!F22</f>
        <v>-1.0852015661224153E-2</v>
      </c>
      <c r="C22" s="16">
        <f>'ALL VARS'!G22</f>
        <v>-2.9379858648651246E-2</v>
      </c>
      <c r="D22" s="16">
        <f>'ALL VARS'!H22</f>
        <v>2.904386379946032E-2</v>
      </c>
      <c r="E22" s="16">
        <f>'ALL VARS'!AJ22</f>
        <v>-2.4350351032987961E-3</v>
      </c>
      <c r="F22" s="16">
        <f>'ALL VARS'!AL22</f>
        <v>1.6379283867306568E-2</v>
      </c>
      <c r="G22" s="16">
        <f>'ALL VARS'!J22</f>
        <v>38.488000700000001</v>
      </c>
      <c r="I22" s="18" t="s">
        <v>81</v>
      </c>
      <c r="J22" s="18">
        <v>2.586977914682423E-3</v>
      </c>
      <c r="K22" s="18">
        <v>5.4510690063606431E-3</v>
      </c>
      <c r="L22" s="18">
        <v>0.47458175848879874</v>
      </c>
      <c r="M22" s="18">
        <v>0.63754351177059032</v>
      </c>
      <c r="N22" s="18">
        <v>-8.4137247078547184E-3</v>
      </c>
      <c r="O22" s="18">
        <v>1.3587680537219564E-2</v>
      </c>
      <c r="P22" s="18">
        <v>-8.4137247078547184E-3</v>
      </c>
      <c r="Q22" s="18">
        <v>1.3587680537219564E-2</v>
      </c>
    </row>
    <row r="23" spans="1:17" ht="15.75" thickBot="1" x14ac:dyDescent="0.3">
      <c r="A23" s="24">
        <f>'ALL VARS'!A23</f>
        <v>43950</v>
      </c>
      <c r="B23" s="16">
        <f>'ALL VARS'!F23</f>
        <v>-2.9379858648651246E-2</v>
      </c>
      <c r="C23" s="16">
        <f>'ALL VARS'!G23</f>
        <v>2.904386379946032E-2</v>
      </c>
      <c r="D23" s="16">
        <f>'ALL VARS'!H23</f>
        <v>1.0667882350970269E-2</v>
      </c>
      <c r="E23" s="16">
        <f>'ALL VARS'!AJ23</f>
        <v>-1.544661453000408E-2</v>
      </c>
      <c r="F23" s="16">
        <f>'ALL VARS'!AL23</f>
        <v>8.9057584496433279E-2</v>
      </c>
      <c r="G23" s="16">
        <f>'ALL VARS'!J23</f>
        <v>39.449000699999999</v>
      </c>
      <c r="I23" s="28" t="s">
        <v>4</v>
      </c>
      <c r="J23" s="28">
        <v>1.5808635818011398E-4</v>
      </c>
      <c r="K23" s="28">
        <v>7.1859040469801654E-5</v>
      </c>
      <c r="L23" s="28">
        <v>2.1999508641720431</v>
      </c>
      <c r="M23" s="28">
        <v>3.3365013829347548E-2</v>
      </c>
      <c r="N23" s="28">
        <v>1.306894342591701E-5</v>
      </c>
      <c r="O23" s="28">
        <v>3.0310377293431094E-4</v>
      </c>
      <c r="P23" s="28">
        <v>1.306894342591701E-5</v>
      </c>
      <c r="Q23" s="28">
        <v>3.0310377293431094E-4</v>
      </c>
    </row>
    <row r="24" spans="1:17" x14ac:dyDescent="0.25">
      <c r="A24" s="24">
        <f>'ALL VARS'!A24</f>
        <v>43949</v>
      </c>
      <c r="B24" s="16">
        <f>'ALL VARS'!F24</f>
        <v>2.904386379946032E-2</v>
      </c>
      <c r="C24" s="16">
        <f>'ALL VARS'!G24</f>
        <v>1.0667882350970269E-2</v>
      </c>
      <c r="D24" s="16">
        <f>'ALL VARS'!H24</f>
        <v>1.5373998778727917E-2</v>
      </c>
      <c r="E24" s="16">
        <f>'ALL VARS'!AJ24</f>
        <v>1.4845565839900461E-3</v>
      </c>
      <c r="F24" s="16">
        <f>'ALL VARS'!AL24</f>
        <v>-7.937194415869573E-3</v>
      </c>
      <c r="G24" s="16">
        <f>'ALL VARS'!J24</f>
        <v>39.868000500000008</v>
      </c>
    </row>
    <row r="25" spans="1:17" x14ac:dyDescent="0.25">
      <c r="A25" s="24">
        <f>'ALL VARS'!A25</f>
        <v>43948</v>
      </c>
      <c r="B25" s="16">
        <f>'ALL VARS'!F25</f>
        <v>1.0667882350970269E-2</v>
      </c>
      <c r="C25" s="16">
        <f>'ALL VARS'!G25</f>
        <v>1.5373998778727917E-2</v>
      </c>
      <c r="D25" s="16">
        <f>'ALL VARS'!H25</f>
        <v>1.1879839917270655E-2</v>
      </c>
      <c r="E25" s="16">
        <f>'ALL VARS'!AJ25</f>
        <v>-2.6888049640044299E-2</v>
      </c>
      <c r="F25" s="16">
        <f>'ALL VARS'!AL25</f>
        <v>0.12256941127635411</v>
      </c>
      <c r="G25" s="16">
        <f>'ALL VARS'!J25</f>
        <v>40.656000200000001</v>
      </c>
    </row>
    <row r="26" spans="1:17" x14ac:dyDescent="0.25">
      <c r="A26" s="24">
        <f>'ALL VARS'!A26</f>
        <v>43945</v>
      </c>
      <c r="B26" s="16">
        <f>'ALL VARS'!F26</f>
        <v>1.5373998778727917E-2</v>
      </c>
      <c r="C26" s="16">
        <f>'ALL VARS'!G26</f>
        <v>1.1879839917270655E-2</v>
      </c>
      <c r="D26" s="16">
        <f>'ALL VARS'!H26</f>
        <v>-2.5965891780394849E-3</v>
      </c>
      <c r="E26" s="16">
        <f>'ALL VARS'!AJ26</f>
        <v>-6.3269952521189804E-3</v>
      </c>
      <c r="F26" s="16">
        <f>'ALL VARS'!AL26</f>
        <v>2.5209969613825073E-2</v>
      </c>
      <c r="G26" s="16">
        <f>'ALL VARS'!J26</f>
        <v>41.230000000000004</v>
      </c>
    </row>
    <row r="27" spans="1:17" x14ac:dyDescent="0.25">
      <c r="A27" s="24">
        <f>'ALL VARS'!A27</f>
        <v>43944</v>
      </c>
      <c r="B27" s="16">
        <f>'ALL VARS'!F27</f>
        <v>1.1879839917270655E-2</v>
      </c>
      <c r="C27" s="16">
        <f>'ALL VARS'!G27</f>
        <v>-2.5965891780394849E-3</v>
      </c>
      <c r="D27" s="16">
        <f>'ALL VARS'!H27</f>
        <v>2.4971169199914333E-2</v>
      </c>
      <c r="E27" s="16">
        <f>'ALL VARS'!AJ27</f>
        <v>-2.5817265097796758E-3</v>
      </c>
      <c r="F27" s="16">
        <f>'ALL VARS'!AL27</f>
        <v>9.7783132020817197E-3</v>
      </c>
      <c r="G27" s="16">
        <f>'ALL VARS'!J27</f>
        <v>41.42699970000001</v>
      </c>
    </row>
    <row r="28" spans="1:17" x14ac:dyDescent="0.25">
      <c r="A28" s="24">
        <f>'ALL VARS'!A28</f>
        <v>43943</v>
      </c>
      <c r="B28" s="16">
        <f>'ALL VARS'!F28</f>
        <v>-2.5965891780394849E-3</v>
      </c>
      <c r="C28" s="16">
        <f>'ALL VARS'!G28</f>
        <v>2.4971169199914333E-2</v>
      </c>
      <c r="D28" s="16">
        <f>'ALL VARS'!H28</f>
        <v>-3.1150323670921017E-2</v>
      </c>
      <c r="E28" s="16">
        <f>'ALL VARS'!AJ28</f>
        <v>-8.1400112426490544E-3</v>
      </c>
      <c r="F28" s="16">
        <f>'ALL VARS'!AL28</f>
        <v>2.6988282277351922E-2</v>
      </c>
      <c r="G28" s="16">
        <f>'ALL VARS'!J28</f>
        <v>41.898999799999999</v>
      </c>
    </row>
    <row r="29" spans="1:17" x14ac:dyDescent="0.25">
      <c r="A29" s="24">
        <f>'ALL VARS'!A29</f>
        <v>43942</v>
      </c>
      <c r="B29" s="16">
        <f>'ALL VARS'!F29</f>
        <v>2.4971169199914333E-2</v>
      </c>
      <c r="C29" s="16">
        <f>'ALL VARS'!G29</f>
        <v>-3.1150323670921017E-2</v>
      </c>
      <c r="D29" s="16">
        <f>'ALL VARS'!H29</f>
        <v>1.9776887879946956E-3</v>
      </c>
      <c r="E29" s="16">
        <f>'ALL VARS'!AJ29</f>
        <v>2.1608973534223353E-2</v>
      </c>
      <c r="F29" s="16">
        <f>'ALL VARS'!AL29</f>
        <v>-7.2012099086844389E-2</v>
      </c>
      <c r="G29" s="16">
        <f>'ALL VARS'!J29</f>
        <v>41.881999999999998</v>
      </c>
    </row>
    <row r="30" spans="1:17" x14ac:dyDescent="0.25">
      <c r="A30" s="24">
        <f>'ALL VARS'!A30</f>
        <v>43941</v>
      </c>
      <c r="B30" s="16">
        <f>'ALL VARS'!F30</f>
        <v>-3.1150323670921017E-2</v>
      </c>
      <c r="C30" s="16">
        <f>'ALL VARS'!G30</f>
        <v>1.9776887879946956E-3</v>
      </c>
      <c r="D30" s="16">
        <f>'ALL VARS'!H30</f>
        <v>3.3138402111040632E-2</v>
      </c>
      <c r="E30" s="16">
        <f>'ALL VARS'!AJ30</f>
        <v>9.4013157234317229E-4</v>
      </c>
      <c r="F30" s="16">
        <f>'ALL VARS'!AL30</f>
        <v>-2.8537781442661255E-3</v>
      </c>
      <c r="G30" s="16">
        <f>'ALL VARS'!J30</f>
        <v>42.178999699999999</v>
      </c>
    </row>
    <row r="31" spans="1:17" x14ac:dyDescent="0.25">
      <c r="A31" s="24">
        <f>'ALL VARS'!A31</f>
        <v>43938</v>
      </c>
      <c r="B31" s="16">
        <f>'ALL VARS'!F31</f>
        <v>1.9776887879946956E-3</v>
      </c>
      <c r="C31" s="16">
        <f>'ALL VARS'!G31</f>
        <v>3.3138402111040632E-2</v>
      </c>
      <c r="D31" s="16">
        <f>'ALL VARS'!H31</f>
        <v>-4.2482631253185207E-3</v>
      </c>
      <c r="E31" s="16">
        <f>'ALL VARS'!AJ31</f>
        <v>3.065883282689813E-2</v>
      </c>
      <c r="F31" s="16">
        <f>'ALL VARS'!AL31</f>
        <v>-5.3944508048137656E-2</v>
      </c>
      <c r="G31" s="16">
        <f>'ALL VARS'!J31</f>
        <v>43.4549995</v>
      </c>
    </row>
    <row r="32" spans="1:17" x14ac:dyDescent="0.25">
      <c r="A32" s="24">
        <f>'ALL VARS'!A32</f>
        <v>43937</v>
      </c>
      <c r="B32" s="16">
        <f>'ALL VARS'!F32</f>
        <v>3.3138402111040632E-2</v>
      </c>
      <c r="C32" s="16">
        <f>'ALL VARS'!G32</f>
        <v>-4.2482631253185207E-3</v>
      </c>
      <c r="D32" s="16">
        <f>'ALL VARS'!H32</f>
        <v>-2.1026256366684357E-2</v>
      </c>
      <c r="E32" s="16">
        <f>'ALL VARS'!AJ32</f>
        <v>-7.0773547212972065E-4</v>
      </c>
      <c r="F32" s="16">
        <f>'ALL VARS'!AL32</f>
        <v>4.5655671372466433E-5</v>
      </c>
      <c r="G32" s="16">
        <f>'ALL VARS'!J32</f>
        <v>45.149999499999993</v>
      </c>
    </row>
    <row r="33" spans="1:7" x14ac:dyDescent="0.25">
      <c r="A33" s="24">
        <f>'ALL VARS'!A33</f>
        <v>43936</v>
      </c>
      <c r="B33" s="16">
        <f>'ALL VARS'!F33</f>
        <v>-4.2482631253185207E-3</v>
      </c>
      <c r="C33" s="16">
        <f>'ALL VARS'!G33</f>
        <v>-2.1026256366684357E-2</v>
      </c>
      <c r="D33" s="16">
        <f>'ALL VARS'!H33</f>
        <v>1.2965422809946055E-2</v>
      </c>
      <c r="E33" s="16">
        <f>'ALL VARS'!AJ33</f>
        <v>-2.8142849398185982E-3</v>
      </c>
      <c r="F33" s="16">
        <f>'ALL VARS'!AL33</f>
        <v>-3.3925940011742422E-3</v>
      </c>
      <c r="G33" s="16">
        <f>'ALL VARS'!J33</f>
        <v>46.419999600000004</v>
      </c>
    </row>
    <row r="34" spans="1:7" x14ac:dyDescent="0.25">
      <c r="A34" s="24">
        <f>'ALL VARS'!A34</f>
        <v>43935</v>
      </c>
      <c r="B34" s="16">
        <f>'ALL VARS'!F34</f>
        <v>-2.1026256366684357E-2</v>
      </c>
      <c r="C34" s="16">
        <f>'ALL VARS'!G34</f>
        <v>1.2965422809946055E-2</v>
      </c>
      <c r="D34" s="16">
        <f>'ALL VARS'!H34</f>
        <v>-6.4023280464834062E-3</v>
      </c>
      <c r="E34" s="16">
        <f>'ALL VARS'!AJ34</f>
        <v>-3.5025274044739395E-2</v>
      </c>
      <c r="F34" s="16">
        <f>'ALL VARS'!AL34</f>
        <v>-0.1098914815963218</v>
      </c>
      <c r="G34" s="16">
        <f>'ALL VARS'!J34</f>
        <v>48.352000000000004</v>
      </c>
    </row>
    <row r="35" spans="1:7" x14ac:dyDescent="0.25">
      <c r="A35" s="24">
        <f>'ALL VARS'!A35</f>
        <v>43934</v>
      </c>
      <c r="B35" s="16">
        <f>'ALL VARS'!F35</f>
        <v>1.2965422809946055E-2</v>
      </c>
      <c r="C35" s="16">
        <f>'ALL VARS'!G35</f>
        <v>-6.4023280464834062E-3</v>
      </c>
      <c r="D35" s="16">
        <f>'ALL VARS'!H35</f>
        <v>1.729890853793448E-2</v>
      </c>
      <c r="E35" s="16">
        <f>'ALL VARS'!AJ35</f>
        <v>1.6972907917348272E-3</v>
      </c>
      <c r="F35" s="16">
        <f>'ALL VARS'!AL35</f>
        <v>9.4615327282743262E-3</v>
      </c>
      <c r="G35" s="16">
        <f>'ALL VARS'!J35</f>
        <v>50.789000299999998</v>
      </c>
    </row>
    <row r="36" spans="1:7" x14ac:dyDescent="0.25">
      <c r="A36" s="24">
        <f>'ALL VARS'!A36</f>
        <v>43930</v>
      </c>
      <c r="B36" s="16">
        <f>'ALL VARS'!F36</f>
        <v>-6.4023280464834062E-3</v>
      </c>
      <c r="C36" s="16">
        <f>'ALL VARS'!G36</f>
        <v>1.729890853793448E-2</v>
      </c>
      <c r="D36" s="16">
        <f>'ALL VARS'!H36</f>
        <v>2.2888078899761091E-2</v>
      </c>
      <c r="E36" s="16">
        <f>'ALL VARS'!AJ36</f>
        <v>-3.3556303863284336E-2</v>
      </c>
      <c r="F36" s="16">
        <f>'ALL VARS'!AL36</f>
        <v>-0.25192366555405937</v>
      </c>
      <c r="G36" s="16">
        <f>'ALL VARS'!J36</f>
        <v>52.722000499999993</v>
      </c>
    </row>
    <row r="37" spans="1:7" x14ac:dyDescent="0.25">
      <c r="A37" s="24">
        <f>'ALL VARS'!A37</f>
        <v>43929</v>
      </c>
      <c r="B37" s="16">
        <f>'ALL VARS'!F37</f>
        <v>1.729890853793448E-2</v>
      </c>
      <c r="C37" s="16">
        <f>'ALL VARS'!G37</f>
        <v>2.2888078899761091E-2</v>
      </c>
      <c r="D37" s="16">
        <f>'ALL VARS'!H37</f>
        <v>1.5743313464585205E-3</v>
      </c>
      <c r="E37" s="16">
        <f>'ALL VARS'!AJ37</f>
        <v>1.8582250289662171E-2</v>
      </c>
      <c r="F37" s="16">
        <f>'ALL VARS'!AL37</f>
        <v>0.17778552701108757</v>
      </c>
      <c r="G37" s="16">
        <f>'ALL VARS'!J37</f>
        <v>54.782000800000006</v>
      </c>
    </row>
    <row r="38" spans="1:7" x14ac:dyDescent="0.25">
      <c r="A38" s="24">
        <f>'ALL VARS'!A38</f>
        <v>43928</v>
      </c>
      <c r="B38" s="16">
        <f>'ALL VARS'!F38</f>
        <v>2.2888078899761091E-2</v>
      </c>
      <c r="C38" s="16">
        <f>'ALL VARS'!G38</f>
        <v>1.5743313464585205E-3</v>
      </c>
      <c r="D38" s="16">
        <f>'ALL VARS'!H38</f>
        <v>5.0578545857092143E-2</v>
      </c>
      <c r="E38" s="16">
        <f>'ALL VARS'!AJ38</f>
        <v>-1.2298226270798164E-3</v>
      </c>
      <c r="F38" s="16">
        <f>'ALL VARS'!AL38</f>
        <v>-1.360736198657166E-2</v>
      </c>
      <c r="G38" s="16">
        <f>'ALL VARS'!J38</f>
        <v>56.279000499999995</v>
      </c>
    </row>
    <row r="39" spans="1:7" x14ac:dyDescent="0.25">
      <c r="A39" s="24">
        <f>'ALL VARS'!A39</f>
        <v>43927</v>
      </c>
      <c r="B39" s="16">
        <f>'ALL VARS'!F39</f>
        <v>1.5743313464585205E-3</v>
      </c>
      <c r="C39" s="16">
        <f>'ALL VARS'!G39</f>
        <v>5.0578545857092143E-2</v>
      </c>
      <c r="D39" s="16">
        <f>'ALL VARS'!H39</f>
        <v>-1.2177617796472343E-2</v>
      </c>
      <c r="E39" s="16">
        <f>'ALL VARS'!AJ39</f>
        <v>-0.21216640851528945</v>
      </c>
      <c r="F39" s="16">
        <f>'ALL VARS'!AL39</f>
        <v>-2.6944054561143957</v>
      </c>
      <c r="G39" s="16">
        <f>'ALL VARS'!J39</f>
        <v>57.914000299999998</v>
      </c>
    </row>
    <row r="40" spans="1:7" x14ac:dyDescent="0.25">
      <c r="A40" s="24">
        <f>'ALL VARS'!A40</f>
        <v>43924</v>
      </c>
      <c r="B40" s="16">
        <f>'ALL VARS'!F40</f>
        <v>5.0578545857092143E-2</v>
      </c>
      <c r="C40" s="16">
        <f>'ALL VARS'!G40</f>
        <v>-1.2177617796472343E-2</v>
      </c>
      <c r="D40" s="16">
        <f>'ALL VARS'!H40</f>
        <v>1.7194200807451526E-2</v>
      </c>
      <c r="E40" s="16">
        <f>'ALL VARS'!AJ40</f>
        <v>-2.3702429570059817E-3</v>
      </c>
      <c r="F40" s="16">
        <f>'ALL VARS'!AL40</f>
        <v>-3.4661227701445335E-2</v>
      </c>
      <c r="G40" s="16">
        <f>'ALL VARS'!J40</f>
        <v>59.8380005</v>
      </c>
    </row>
    <row r="41" spans="1:7" x14ac:dyDescent="0.25">
      <c r="A41" s="24">
        <f>'ALL VARS'!A41</f>
        <v>43923</v>
      </c>
      <c r="B41" s="16">
        <f>'ALL VARS'!F41</f>
        <v>-1.2177617796472343E-2</v>
      </c>
      <c r="C41" s="16">
        <f>'ALL VARS'!G41</f>
        <v>1.7194200807451526E-2</v>
      </c>
      <c r="D41" s="16">
        <f>'ALL VARS'!H41</f>
        <v>-3.7551904604495374E-2</v>
      </c>
      <c r="E41" s="16">
        <f>'ALL VARS'!AJ41</f>
        <v>-8.8853513818220962E-3</v>
      </c>
      <c r="F41" s="16">
        <f>'ALL VARS'!AL41</f>
        <v>-0.14867406634614505</v>
      </c>
      <c r="G41" s="16">
        <f>'ALL VARS'!J41</f>
        <v>61.947000500000001</v>
      </c>
    </row>
    <row r="42" spans="1:7" x14ac:dyDescent="0.25">
      <c r="A42" s="24">
        <f>'ALL VARS'!A42</f>
        <v>43922</v>
      </c>
      <c r="B42" s="16">
        <f>'ALL VARS'!F42</f>
        <v>1.7194200807451526E-2</v>
      </c>
      <c r="C42" s="16">
        <f>'ALL VARS'!G42</f>
        <v>-3.7551904604495374E-2</v>
      </c>
      <c r="D42" s="16">
        <f>'ALL VARS'!H42</f>
        <v>2.6099613068988042E-2</v>
      </c>
      <c r="E42" s="16">
        <f>'ALL VARS'!AJ42</f>
        <v>-2.5756377406256289E-2</v>
      </c>
      <c r="F42" s="16">
        <f>'ALL VARS'!AL42</f>
        <v>-0.48090997114766321</v>
      </c>
      <c r="G42" s="16">
        <f>'ALL VARS'!J42</f>
        <v>63.886000100000004</v>
      </c>
    </row>
    <row r="43" spans="1:7" x14ac:dyDescent="0.25">
      <c r="A43" s="24">
        <f>'ALL VARS'!A43</f>
        <v>43921</v>
      </c>
      <c r="B43" s="16">
        <f>'ALL VARS'!F43</f>
        <v>-3.7551904604495374E-2</v>
      </c>
      <c r="C43" s="16">
        <f>'ALL VARS'!G43</f>
        <v>2.6099613068988042E-2</v>
      </c>
      <c r="D43" s="16">
        <f>'ALL VARS'!H43</f>
        <v>2.7648809446036929E-2</v>
      </c>
      <c r="E43" s="16">
        <f>'ALL VARS'!AJ43</f>
        <v>7.8007196681707273E-3</v>
      </c>
      <c r="F43" s="16">
        <f>'ALL VARS'!AL43</f>
        <v>0.16310127998627491</v>
      </c>
      <c r="G43" s="16">
        <f>'ALL VARS'!J43</f>
        <v>66.123000399999995</v>
      </c>
    </row>
    <row r="44" spans="1:7" x14ac:dyDescent="0.25">
      <c r="A44" s="24">
        <f>'ALL VARS'!A44</f>
        <v>43920</v>
      </c>
      <c r="B44" s="16">
        <f>'ALL VARS'!F44</f>
        <v>2.6099613068988042E-2</v>
      </c>
      <c r="C44" s="16">
        <f>'ALL VARS'!G44</f>
        <v>2.7648809446036929E-2</v>
      </c>
      <c r="D44" s="16">
        <f>'ALL VARS'!H44</f>
        <v>-5.1117326046437227E-2</v>
      </c>
      <c r="E44" s="16">
        <f>'ALL VARS'!AJ44</f>
        <v>-6.1998123844352699E-3</v>
      </c>
      <c r="F44" s="16">
        <f>'ALL VARS'!AL44</f>
        <v>-0.14550644335110235</v>
      </c>
      <c r="G44" s="16">
        <f>'ALL VARS'!J44</f>
        <v>68.684000400000002</v>
      </c>
    </row>
    <row r="45" spans="1:7" x14ac:dyDescent="0.25">
      <c r="A45" s="24">
        <f>'ALL VARS'!A45</f>
        <v>43917</v>
      </c>
      <c r="B45" s="16">
        <f>'ALL VARS'!F45</f>
        <v>2.7648809446036929E-2</v>
      </c>
      <c r="C45" s="16">
        <f>'ALL VARS'!G45</f>
        <v>-5.1117326046437227E-2</v>
      </c>
      <c r="D45" s="16">
        <f>'ALL VARS'!H45</f>
        <v>1.7657086927428463E-2</v>
      </c>
      <c r="E45" s="16">
        <f>'ALL VARS'!AJ45</f>
        <v>1.4120947253207927E-2</v>
      </c>
      <c r="F45" s="16">
        <f>'ALL VARS'!AL45</f>
        <v>0.32052420100070028</v>
      </c>
      <c r="G45" s="16">
        <f>'ALL VARS'!J45</f>
        <v>67.91300050000001</v>
      </c>
    </row>
    <row r="46" spans="1:7" x14ac:dyDescent="0.25">
      <c r="A46" s="24">
        <f>'ALL VARS'!A46</f>
        <v>43916</v>
      </c>
      <c r="B46" s="16">
        <f>'ALL VARS'!F46</f>
        <v>-5.1117326046437227E-2</v>
      </c>
      <c r="C46" s="16">
        <f>'ALL VARS'!G46</f>
        <v>1.7657086927428463E-2</v>
      </c>
      <c r="D46" s="16">
        <f>'ALL VARS'!H46</f>
        <v>4.5191001874909938E-2</v>
      </c>
      <c r="E46" s="16">
        <f>'ALL VARS'!AJ46</f>
        <v>-3.0801032571442195E-2</v>
      </c>
      <c r="F46" s="16">
        <f>'ALL VARS'!AL46</f>
        <v>-0.74370607279278977</v>
      </c>
      <c r="G46" s="16">
        <f>'ALL VARS'!J46</f>
        <v>69.360000600000006</v>
      </c>
    </row>
    <row r="47" spans="1:7" x14ac:dyDescent="0.25">
      <c r="A47" s="24">
        <f>'ALL VARS'!A47</f>
        <v>43915</v>
      </c>
      <c r="B47" s="16">
        <f>'ALL VARS'!F47</f>
        <v>1.7657086927428463E-2</v>
      </c>
      <c r="C47" s="16">
        <f>'ALL VARS'!G47</f>
        <v>4.5191001874909938E-2</v>
      </c>
      <c r="D47" s="16">
        <f>'ALL VARS'!H47</f>
        <v>0.11957070036068938</v>
      </c>
      <c r="E47" s="16">
        <f>'ALL VARS'!AJ47</f>
        <v>-5.0851997492975514E-3</v>
      </c>
      <c r="F47" s="16">
        <f>'ALL VARS'!AL47</f>
        <v>-0.11767402252009102</v>
      </c>
      <c r="G47" s="16">
        <f>'ALL VARS'!J47</f>
        <v>68.355000700000005</v>
      </c>
    </row>
    <row r="48" spans="1:7" x14ac:dyDescent="0.25">
      <c r="A48" s="24">
        <f>'ALL VARS'!A48</f>
        <v>43914</v>
      </c>
      <c r="B48" s="16">
        <f>'ALL VARS'!F48</f>
        <v>4.5191001874909938E-2</v>
      </c>
      <c r="C48" s="16">
        <f>'ALL VARS'!G48</f>
        <v>0.11957070036068938</v>
      </c>
      <c r="D48" s="16">
        <f>'ALL VARS'!H48</f>
        <v>-5.2591151998453836E-2</v>
      </c>
      <c r="E48" s="16">
        <f>'ALL VARS'!AJ48</f>
        <v>4.515478735063359E-3</v>
      </c>
      <c r="F48" s="16">
        <f>'ALL VARS'!AL48</f>
        <v>9.800165563614692E-2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35F-AB28-4431-BAE5-699080AE81BD}">
  <sheetPr codeName="Feuil10"/>
  <dimension ref="A1:Q48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VARS'!AN1</f>
        <v>Sent_t_+_1_k, k=5</v>
      </c>
      <c r="F1" s="16" t="str">
        <f>'ALL VARS'!AP1</f>
        <v>Sent_t_+_1_k, k=5 * (VIX_10_t  minus VIX_bar_10)</v>
      </c>
      <c r="G1" s="16" t="str">
        <f>'ALL VARS'!J1</f>
        <v>VIX_10_t</v>
      </c>
    </row>
    <row r="2" spans="1:14" x14ac:dyDescent="0.25">
      <c r="A2" s="24">
        <f>'ALL VARS'!A2</f>
        <v>43980</v>
      </c>
      <c r="B2" s="16">
        <f>'ALL VARS'!F2</f>
        <v>2.3093919546915233E-2</v>
      </c>
      <c r="C2" s="16">
        <f>'ALL VARS'!G2</f>
        <v>-4.5798180601685388E-3</v>
      </c>
      <c r="D2" s="16">
        <f>'ALL VARS'!H2</f>
        <v>-6.0894480094293875E-4</v>
      </c>
      <c r="E2" s="16">
        <f>'ALL VARS'!AN2</f>
        <v>-6.3397233158746487E-3</v>
      </c>
      <c r="F2" s="16">
        <f>'ALL VARS'!AP2</f>
        <v>0.10011379662117809</v>
      </c>
      <c r="G2" s="16">
        <f>'ALL VARS'!J2</f>
        <v>29.423000200000001</v>
      </c>
      <c r="I2" s="18" t="s">
        <v>39</v>
      </c>
    </row>
    <row r="3" spans="1:14" ht="15.75" thickBot="1" x14ac:dyDescent="0.3">
      <c r="A3" s="24">
        <f>'ALL VARS'!A3</f>
        <v>43979</v>
      </c>
      <c r="B3" s="16">
        <f>'ALL VARS'!F3</f>
        <v>-4.5798180601685388E-3</v>
      </c>
      <c r="C3" s="16">
        <f>'ALL VARS'!G3</f>
        <v>-6.0894480094293875E-4</v>
      </c>
      <c r="D3" s="16">
        <f>'ALL VARS'!H3</f>
        <v>8.1792696244475296E-3</v>
      </c>
      <c r="E3" s="16">
        <f>'ALL VARS'!AN3</f>
        <v>-3.8919147226137089E-2</v>
      </c>
      <c r="F3" s="16">
        <f>'ALL VARS'!AP3</f>
        <v>0.58855515085390109</v>
      </c>
      <c r="G3" s="16">
        <f>'ALL VARS'!J3</f>
        <v>30.092000099999996</v>
      </c>
    </row>
    <row r="4" spans="1:14" x14ac:dyDescent="0.25">
      <c r="A4" s="24">
        <f>'ALL VARS'!A4</f>
        <v>43978</v>
      </c>
      <c r="B4" s="16">
        <f>'ALL VARS'!F4</f>
        <v>-6.0894480094293875E-4</v>
      </c>
      <c r="C4" s="16">
        <f>'ALL VARS'!G4</f>
        <v>8.1792696244475296E-3</v>
      </c>
      <c r="D4" s="16">
        <f>'ALL VARS'!H4</f>
        <v>4.8223739412853626E-3</v>
      </c>
      <c r="E4" s="16">
        <f>'ALL VARS'!AN4</f>
        <v>1.3922239934180766E-4</v>
      </c>
      <c r="F4" s="16">
        <f>'ALL VARS'!AP4</f>
        <v>-2.0299334346365757E-3</v>
      </c>
      <c r="G4" s="16">
        <f>'ALL VARS'!J4</f>
        <v>30.634000099999998</v>
      </c>
      <c r="I4" s="26" t="s">
        <v>40</v>
      </c>
      <c r="J4" s="26"/>
    </row>
    <row r="5" spans="1:14" x14ac:dyDescent="0.25">
      <c r="A5" s="24">
        <f>'ALL VARS'!A5</f>
        <v>43977</v>
      </c>
      <c r="B5" s="16">
        <f>'ALL VARS'!F5</f>
        <v>8.1792696244475296E-3</v>
      </c>
      <c r="C5" s="16">
        <f>'ALL VARS'!G5</f>
        <v>4.8223739412853626E-3</v>
      </c>
      <c r="D5" s="16">
        <f>'ALL VARS'!H5</f>
        <v>1.0849210535487055E-2</v>
      </c>
      <c r="E5" s="16">
        <f>'ALL VARS'!AN5</f>
        <v>-3.5611198346530977E-3</v>
      </c>
      <c r="F5" s="16">
        <f>'ALL VARS'!AP5</f>
        <v>5.207962876583129E-2</v>
      </c>
      <c r="G5" s="16">
        <f>'ALL VARS'!J5</f>
        <v>30.590000099999997</v>
      </c>
      <c r="I5" s="18" t="s">
        <v>41</v>
      </c>
      <c r="J5" s="18">
        <v>0.38996209140220667</v>
      </c>
    </row>
    <row r="6" spans="1:14" x14ac:dyDescent="0.25">
      <c r="A6" s="24">
        <f>'ALL VARS'!A6</f>
        <v>43976</v>
      </c>
      <c r="B6" s="16">
        <f>'ALL VARS'!F6</f>
        <v>4.8223739412853626E-3</v>
      </c>
      <c r="C6" s="16">
        <f>'ALL VARS'!G6</f>
        <v>1.0849210535487055E-2</v>
      </c>
      <c r="D6" s="16">
        <f>'ALL VARS'!H6</f>
        <v>1.9280759189597432E-3</v>
      </c>
      <c r="E6" s="16">
        <f>'ALL VARS'!AN6</f>
        <v>1.7890036048415457E-2</v>
      </c>
      <c r="F6" s="16">
        <f>'ALL VARS'!AP6</f>
        <v>-0.26179400198689617</v>
      </c>
      <c r="G6" s="16">
        <f>'ALL VARS'!J6</f>
        <v>30.581000099999997</v>
      </c>
      <c r="I6" s="18" t="s">
        <v>42</v>
      </c>
      <c r="J6" s="18">
        <v>0.152070432730783</v>
      </c>
    </row>
    <row r="7" spans="1:14" x14ac:dyDescent="0.25">
      <c r="A7" s="24">
        <f>'ALL VARS'!A7</f>
        <v>43973</v>
      </c>
      <c r="B7" s="16">
        <f>'ALL VARS'!F7</f>
        <v>1.0849210535487055E-2</v>
      </c>
      <c r="C7" s="16">
        <f>'ALL VARS'!G7</f>
        <v>1.9280759189597432E-3</v>
      </c>
      <c r="D7" s="16">
        <f>'ALL VARS'!H7</f>
        <v>-7.5144837132717695E-3</v>
      </c>
      <c r="E7" s="16">
        <f>'ALL VARS'!AN7</f>
        <v>-0.14429406955611179</v>
      </c>
      <c r="F7" s="16">
        <f>'ALL VARS'!AP7</f>
        <v>2.1128271997177621</v>
      </c>
      <c r="G7" s="16">
        <f>'ALL VARS'!J7</f>
        <v>30.572000099999997</v>
      </c>
      <c r="I7" s="18" t="s">
        <v>42</v>
      </c>
      <c r="J7" s="18">
        <v>4.7505712038476609E-2</v>
      </c>
    </row>
    <row r="8" spans="1:14" x14ac:dyDescent="0.25">
      <c r="A8" s="24">
        <f>'ALL VARS'!A8</f>
        <v>43972</v>
      </c>
      <c r="B8" s="16">
        <f>'ALL VARS'!F8</f>
        <v>1.9280759189597432E-3</v>
      </c>
      <c r="C8" s="16">
        <f>'ALL VARS'!G8</f>
        <v>-7.5144837132717695E-3</v>
      </c>
      <c r="D8" s="16">
        <f>'ALL VARS'!H8</f>
        <v>7.5307923146686901E-3</v>
      </c>
      <c r="E8" s="16">
        <f>'ALL VARS'!AN8</f>
        <v>7.4223890153826959E-4</v>
      </c>
      <c r="F8" s="16">
        <f>'ALL VARS'!AP8</f>
        <v>-1.0726472101923894E-2</v>
      </c>
      <c r="G8" s="16">
        <f>'ALL VARS'!J8</f>
        <v>30.763000099999999</v>
      </c>
      <c r="I8" s="18" t="s">
        <v>43</v>
      </c>
      <c r="J8" s="18">
        <v>1.9943216617493986E-2</v>
      </c>
    </row>
    <row r="9" spans="1:14" ht="15.75" thickBot="1" x14ac:dyDescent="0.3">
      <c r="A9" s="24">
        <f>'ALL VARS'!A9</f>
        <v>43971</v>
      </c>
      <c r="B9" s="16">
        <f>'ALL VARS'!F9</f>
        <v>-7.5144837132717695E-3</v>
      </c>
      <c r="C9" s="16">
        <f>'ALL VARS'!G9</f>
        <v>7.5307923146686901E-3</v>
      </c>
      <c r="D9" s="16">
        <f>'ALL VARS'!H9</f>
        <v>1.6845500851389788E-2</v>
      </c>
      <c r="E9" s="16">
        <f>'ALL VARS'!AN9</f>
        <v>1.514711407785909E-3</v>
      </c>
      <c r="F9" s="16">
        <f>'ALL VARS'!AP9</f>
        <v>-2.0961347470307038E-2</v>
      </c>
      <c r="G9" s="16">
        <f>'ALL VARS'!J9</f>
        <v>31.375999999999998</v>
      </c>
      <c r="I9" s="28" t="s">
        <v>44</v>
      </c>
      <c r="J9" s="28">
        <v>47</v>
      </c>
    </row>
    <row r="10" spans="1:14" x14ac:dyDescent="0.25">
      <c r="A10" s="24">
        <f>'ALL VARS'!A10</f>
        <v>43970</v>
      </c>
      <c r="B10" s="16">
        <f>'ALL VARS'!F10</f>
        <v>7.5307923146686901E-3</v>
      </c>
      <c r="C10" s="16">
        <f>'ALL VARS'!G10</f>
        <v>1.6845500851389788E-2</v>
      </c>
      <c r="D10" s="16">
        <f>'ALL VARS'!H10</f>
        <v>8.9044014875318926E-3</v>
      </c>
      <c r="E10" s="16">
        <f>'ALL VARS'!AN10</f>
        <v>8.7612305217810056E-3</v>
      </c>
      <c r="F10" s="16">
        <f>'ALL VARS'!AP10</f>
        <v>-0.118543908548997</v>
      </c>
      <c r="G10" s="16">
        <f>'ALL VARS'!J10</f>
        <v>31.683999999999997</v>
      </c>
    </row>
    <row r="11" spans="1:14" ht="15.75" thickBot="1" x14ac:dyDescent="0.3">
      <c r="A11" s="24">
        <f>'ALL VARS'!A11</f>
        <v>43966</v>
      </c>
      <c r="B11" s="16">
        <f>'ALL VARS'!F11</f>
        <v>1.6845500851389788E-2</v>
      </c>
      <c r="C11" s="16">
        <f>'ALL VARS'!G11</f>
        <v>8.9044014875318926E-3</v>
      </c>
      <c r="D11" s="16">
        <f>'ALL VARS'!H11</f>
        <v>4.4817694802564231E-4</v>
      </c>
      <c r="E11" s="16">
        <f>'ALL VARS'!AN11</f>
        <v>0.11475578352035808</v>
      </c>
      <c r="F11" s="16">
        <f>'ALL VARS'!AP11</f>
        <v>-1.4153414675098352</v>
      </c>
      <c r="G11" s="16">
        <f>'ALL VARS'!J11</f>
        <v>32.881000200000003</v>
      </c>
      <c r="I11" s="18" t="s">
        <v>45</v>
      </c>
    </row>
    <row r="12" spans="1:14" x14ac:dyDescent="0.25">
      <c r="A12" s="24">
        <f>'ALL VARS'!A12</f>
        <v>43965</v>
      </c>
      <c r="B12" s="16">
        <f>'ALL VARS'!F12</f>
        <v>8.9044014875318926E-3</v>
      </c>
      <c r="C12" s="16">
        <f>'ALL VARS'!G12</f>
        <v>4.4817694802564231E-4</v>
      </c>
      <c r="D12" s="16">
        <f>'ALL VARS'!H12</f>
        <v>-2.5401176991557837E-2</v>
      </c>
      <c r="E12" s="16">
        <f>'ALL VARS'!AN12</f>
        <v>-1.5159416219432191E-2</v>
      </c>
      <c r="F12" s="16">
        <f>'ALL VARS'!AP12</f>
        <v>0.18463424194425879</v>
      </c>
      <c r="G12" s="16">
        <f>'ALL VARS'!J12</f>
        <v>33.0350003</v>
      </c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A13" s="24">
        <f>'ALL VARS'!A13</f>
        <v>43964</v>
      </c>
      <c r="B13" s="16">
        <f>'ALL VARS'!F13</f>
        <v>4.4817694802564231E-4</v>
      </c>
      <c r="C13" s="16">
        <f>'ALL VARS'!G13</f>
        <v>-2.5401176991557837E-2</v>
      </c>
      <c r="D13" s="16">
        <f>'ALL VARS'!H13</f>
        <v>-1.4698871572495898E-2</v>
      </c>
      <c r="E13" s="16">
        <f>'ALL VARS'!AN13</f>
        <v>5.2184187411698337E-3</v>
      </c>
      <c r="F13" s="16">
        <f>'ALL VARS'!AP13</f>
        <v>-6.5671235599893796E-2</v>
      </c>
      <c r="G13" s="16">
        <f>'ALL VARS'!J13</f>
        <v>32.630000399999993</v>
      </c>
      <c r="I13" s="18" t="s">
        <v>46</v>
      </c>
      <c r="J13" s="18">
        <v>5</v>
      </c>
      <c r="K13" s="18">
        <v>2.9958820144692679E-3</v>
      </c>
      <c r="L13" s="18">
        <v>5.9917640289385357E-4</v>
      </c>
      <c r="M13" s="18">
        <v>1.5064831847442894</v>
      </c>
      <c r="N13" s="18">
        <v>0.20893801844844759</v>
      </c>
    </row>
    <row r="14" spans="1:14" x14ac:dyDescent="0.25">
      <c r="A14" s="24">
        <f>'ALL VARS'!A14</f>
        <v>43963</v>
      </c>
      <c r="B14" s="16">
        <f>'ALL VARS'!F14</f>
        <v>-2.5401176991557837E-2</v>
      </c>
      <c r="C14" s="16">
        <f>'ALL VARS'!G14</f>
        <v>-1.4698871572495898E-2</v>
      </c>
      <c r="D14" s="16">
        <f>'ALL VARS'!H14</f>
        <v>9.1270288220883112E-3</v>
      </c>
      <c r="E14" s="16">
        <f>'ALL VARS'!AN14</f>
        <v>2.1357551362771866E-3</v>
      </c>
      <c r="F14" s="16">
        <f>'ALL VARS'!AP14</f>
        <v>-2.6764234101302707E-2</v>
      </c>
      <c r="G14" s="16">
        <f>'ALL VARS'!J14</f>
        <v>32.683000299999996</v>
      </c>
      <c r="I14" s="18" t="s">
        <v>47</v>
      </c>
      <c r="J14" s="18">
        <v>42</v>
      </c>
      <c r="K14" s="18">
        <v>1.6704739340196107E-2</v>
      </c>
      <c r="L14" s="18">
        <v>3.9773188905228824E-4</v>
      </c>
    </row>
    <row r="15" spans="1:14" ht="15.75" thickBot="1" x14ac:dyDescent="0.3">
      <c r="A15" s="24">
        <f>'ALL VARS'!A15</f>
        <v>43962</v>
      </c>
      <c r="B15" s="16">
        <f>'ALL VARS'!F15</f>
        <v>-1.4698871572495898E-2</v>
      </c>
      <c r="C15" s="16">
        <f>'ALL VARS'!G15</f>
        <v>9.1270288220883112E-3</v>
      </c>
      <c r="D15" s="16">
        <f>'ALL VARS'!H15</f>
        <v>8.9592894728179693E-3</v>
      </c>
      <c r="E15" s="16">
        <f>'ALL VARS'!AN15</f>
        <v>-1.6612901626957308E-2</v>
      </c>
      <c r="F15" s="16">
        <f>'ALL VARS'!AP15</f>
        <v>0.19868214011171298</v>
      </c>
      <c r="G15" s="16">
        <f>'ALL VARS'!J15</f>
        <v>33.2550004</v>
      </c>
      <c r="I15" s="28" t="s">
        <v>48</v>
      </c>
      <c r="J15" s="28">
        <v>47</v>
      </c>
      <c r="K15" s="28">
        <v>1.9700621354665375E-2</v>
      </c>
      <c r="L15" s="28"/>
      <c r="M15" s="28"/>
      <c r="N15" s="28"/>
    </row>
    <row r="16" spans="1:14" ht="15.75" thickBot="1" x14ac:dyDescent="0.3">
      <c r="A16" s="24">
        <f>'ALL VARS'!A16</f>
        <v>43959</v>
      </c>
      <c r="B16" s="16">
        <f>'ALL VARS'!F16</f>
        <v>9.1270288220883112E-3</v>
      </c>
      <c r="C16" s="16">
        <f>'ALL VARS'!G16</f>
        <v>8.9592894728179693E-3</v>
      </c>
      <c r="D16" s="16">
        <f>'ALL VARS'!H16</f>
        <v>2.0228309928424119E-4</v>
      </c>
      <c r="E16" s="16">
        <f>'ALL VARS'!AN16</f>
        <v>2.0653575991413892E-2</v>
      </c>
      <c r="F16" s="16">
        <f>'ALL VARS'!AP16</f>
        <v>-0.23058702706676804</v>
      </c>
      <c r="G16" s="16">
        <f>'ALL VARS'!J16</f>
        <v>34.050000400000002</v>
      </c>
    </row>
    <row r="17" spans="1:17" x14ac:dyDescent="0.25">
      <c r="A17" s="24">
        <f>'ALL VARS'!A17</f>
        <v>43958</v>
      </c>
      <c r="B17" s="16">
        <f>'ALL VARS'!F17</f>
        <v>8.9592894728179693E-3</v>
      </c>
      <c r="C17" s="16">
        <f>'ALL VARS'!G17</f>
        <v>2.0228309928424119E-4</v>
      </c>
      <c r="D17" s="16">
        <f>'ALL VARS'!H17</f>
        <v>1.2895694256002256E-3</v>
      </c>
      <c r="E17" s="16">
        <f>'ALL VARS'!AN17</f>
        <v>6.8371708610143536E-2</v>
      </c>
      <c r="F17" s="16">
        <f>'ALL VARS'!AP17</f>
        <v>-0.69537505137575972</v>
      </c>
      <c r="G17" s="16">
        <f>'ALL VARS'!J17</f>
        <v>35.044000400000002</v>
      </c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1:17" x14ac:dyDescent="0.25">
      <c r="A18" s="24">
        <f>'ALL VARS'!A18</f>
        <v>43957</v>
      </c>
      <c r="B18" s="16">
        <f>'ALL VARS'!F18</f>
        <v>2.0228309928424119E-4</v>
      </c>
      <c r="C18" s="16">
        <f>'ALL VARS'!G18</f>
        <v>1.2895694256002256E-3</v>
      </c>
      <c r="D18" s="16">
        <f>'ALL VARS'!H18</f>
        <v>4.5167588335029351E-3</v>
      </c>
      <c r="E18" s="16">
        <f>'ALL VARS'!AN18</f>
        <v>-3.7551567646014278E-2</v>
      </c>
      <c r="F18" s="16">
        <f>'ALL VARS'!AP18</f>
        <v>0.35240300628938453</v>
      </c>
      <c r="G18" s="16">
        <f>'ALL VARS'!J18</f>
        <v>35.830000499999997</v>
      </c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4">
        <f>'ALL VARS'!A19</f>
        <v>43956</v>
      </c>
      <c r="B19" s="16">
        <f>'ALL VARS'!F19</f>
        <v>1.2895694256002256E-3</v>
      </c>
      <c r="C19" s="16">
        <f>'ALL VARS'!G19</f>
        <v>4.5167588335029351E-3</v>
      </c>
      <c r="D19" s="16">
        <f>'ALL VARS'!H19</f>
        <v>8.5292501975474666E-3</v>
      </c>
      <c r="E19" s="16">
        <f>'ALL VARS'!AN19</f>
        <v>-3.0322835667519542E-3</v>
      </c>
      <c r="F19" s="16">
        <f>'ALL VARS'!AP19</f>
        <v>2.4878396643613354E-2</v>
      </c>
      <c r="G19" s="16">
        <f>'ALL VARS'!J19</f>
        <v>37.010000400000003</v>
      </c>
      <c r="I19" s="18" t="s">
        <v>36</v>
      </c>
      <c r="J19" s="18">
        <v>-3.9448236513604823E-2</v>
      </c>
      <c r="K19" s="18">
        <v>0.11836288328700829</v>
      </c>
      <c r="L19" s="18">
        <v>-0.33328215246286358</v>
      </c>
      <c r="M19" s="18">
        <v>0.74057944197496672</v>
      </c>
      <c r="N19" s="18">
        <v>-0.2783142055679515</v>
      </c>
      <c r="O19" s="18">
        <v>0.19941773254074188</v>
      </c>
      <c r="P19" s="18">
        <v>-0.2783142055679515</v>
      </c>
      <c r="Q19" s="18">
        <v>0.19941773254074188</v>
      </c>
    </row>
    <row r="20" spans="1:17" x14ac:dyDescent="0.25">
      <c r="A20" s="24">
        <f>'ALL VARS'!A20</f>
        <v>43955</v>
      </c>
      <c r="B20" s="16">
        <f>'ALL VARS'!F20</f>
        <v>4.5167588335029351E-3</v>
      </c>
      <c r="C20" s="16">
        <f>'ALL VARS'!G20</f>
        <v>8.5292501975474666E-3</v>
      </c>
      <c r="D20" s="16">
        <f>'ALL VARS'!H20</f>
        <v>-1.0852015661224153E-2</v>
      </c>
      <c r="E20" s="16">
        <f>'ALL VARS'!AN20</f>
        <v>5.4628504603161543E-2</v>
      </c>
      <c r="F20" s="16">
        <f>'ALL VARS'!AP20</f>
        <v>-0.40526202650755744</v>
      </c>
      <c r="G20" s="16">
        <f>'ALL VARS'!J20</f>
        <v>37.796000499999998</v>
      </c>
      <c r="I20" s="18" t="s">
        <v>37</v>
      </c>
      <c r="J20" s="18">
        <v>-0.1317424045763618</v>
      </c>
      <c r="K20" s="18">
        <v>0.11408162585847176</v>
      </c>
      <c r="L20" s="18">
        <v>-1.1548082663180115</v>
      </c>
      <c r="M20" s="18">
        <v>0.25469717673296349</v>
      </c>
      <c r="N20" s="18">
        <v>-0.3619684463491234</v>
      </c>
      <c r="O20" s="18">
        <v>9.848363719639977E-2</v>
      </c>
      <c r="P20" s="18">
        <v>-0.3619684463491234</v>
      </c>
      <c r="Q20" s="18">
        <v>9.848363719639977E-2</v>
      </c>
    </row>
    <row r="21" spans="1:17" x14ac:dyDescent="0.25">
      <c r="A21" s="24">
        <f>'ALL VARS'!A21</f>
        <v>43952</v>
      </c>
      <c r="B21" s="16">
        <f>'ALL VARS'!F21</f>
        <v>8.5292501975474666E-3</v>
      </c>
      <c r="C21" s="16">
        <f>'ALL VARS'!G21</f>
        <v>-1.0852015661224153E-2</v>
      </c>
      <c r="D21" s="16">
        <f>'ALL VARS'!H21</f>
        <v>-2.9379858648651246E-2</v>
      </c>
      <c r="E21" s="16">
        <f>'ALL VARS'!AN21</f>
        <v>-4.0557135635876235E-2</v>
      </c>
      <c r="F21" s="16">
        <f>'ALL VARS'!AP21</f>
        <v>0.29697995883143807</v>
      </c>
      <c r="G21" s="16">
        <f>'ALL VARS'!J21</f>
        <v>37.892000799999991</v>
      </c>
      <c r="I21" s="18" t="s">
        <v>14</v>
      </c>
      <c r="J21" s="18">
        <v>0.1195860914333</v>
      </c>
      <c r="K21" s="18">
        <v>8.8684990334945951E-2</v>
      </c>
      <c r="L21" s="18">
        <v>1.3484366518127389</v>
      </c>
      <c r="M21" s="18">
        <v>0.18474498898642674</v>
      </c>
      <c r="N21" s="18">
        <v>-5.9387464876285545E-2</v>
      </c>
      <c r="O21" s="18">
        <v>0.29855964774288479</v>
      </c>
      <c r="P21" s="18">
        <v>-5.9387464876285545E-2</v>
      </c>
      <c r="Q21" s="18">
        <v>0.29855964774288479</v>
      </c>
    </row>
    <row r="22" spans="1:17" x14ac:dyDescent="0.25">
      <c r="A22" s="24">
        <f>'ALL VARS'!A22</f>
        <v>43951</v>
      </c>
      <c r="B22" s="16">
        <f>'ALL VARS'!F22</f>
        <v>-1.0852015661224153E-2</v>
      </c>
      <c r="C22" s="16">
        <f>'ALL VARS'!G22</f>
        <v>-2.9379858648651246E-2</v>
      </c>
      <c r="D22" s="16">
        <f>'ALL VARS'!H22</f>
        <v>2.904386379946032E-2</v>
      </c>
      <c r="E22" s="16">
        <f>'ALL VARS'!AN22</f>
        <v>-2.2773682925267318E-2</v>
      </c>
      <c r="F22" s="16">
        <f>'ALL VARS'!AP22</f>
        <v>0.15318736753800885</v>
      </c>
      <c r="G22" s="16">
        <f>'ALL VARS'!J22</f>
        <v>38.488000700000001</v>
      </c>
      <c r="I22" s="18" t="s">
        <v>82</v>
      </c>
      <c r="J22" s="18">
        <v>7.7765191209355992E-3</v>
      </c>
      <c r="K22" s="18">
        <v>6.6325426334569396E-3</v>
      </c>
      <c r="L22" s="18">
        <v>1.172479326662452</v>
      </c>
      <c r="M22" s="18">
        <v>0.24761220348748417</v>
      </c>
      <c r="N22" s="18">
        <v>-5.6084938108071219E-3</v>
      </c>
      <c r="O22" s="18">
        <v>2.116153205267832E-2</v>
      </c>
      <c r="P22" s="18">
        <v>-5.6084938108071219E-3</v>
      </c>
      <c r="Q22" s="18">
        <v>2.116153205267832E-2</v>
      </c>
    </row>
    <row r="23" spans="1:17" ht="15.75" thickBot="1" x14ac:dyDescent="0.3">
      <c r="A23" s="24">
        <f>'ALL VARS'!A23</f>
        <v>43950</v>
      </c>
      <c r="B23" s="16">
        <f>'ALL VARS'!F23</f>
        <v>-2.9379858648651246E-2</v>
      </c>
      <c r="C23" s="16">
        <f>'ALL VARS'!G23</f>
        <v>2.904386379946032E-2</v>
      </c>
      <c r="D23" s="16">
        <f>'ALL VARS'!H23</f>
        <v>1.0667882350970269E-2</v>
      </c>
      <c r="E23" s="16">
        <f>'ALL VARS'!AN23</f>
        <v>-1.4519914710862706E-2</v>
      </c>
      <c r="F23" s="16">
        <f>'ALL VARS'!AP23</f>
        <v>8.3714688984558902E-2</v>
      </c>
      <c r="G23" s="16">
        <f>'ALL VARS'!J23</f>
        <v>39.449000699999999</v>
      </c>
      <c r="I23" s="28" t="s">
        <v>4</v>
      </c>
      <c r="J23" s="28">
        <v>1.764148857738645E-4</v>
      </c>
      <c r="K23" s="28">
        <v>7.338129179462356E-5</v>
      </c>
      <c r="L23" s="28">
        <v>2.4040853119294625</v>
      </c>
      <c r="M23" s="28">
        <v>2.0702516030031478E-2</v>
      </c>
      <c r="N23" s="28">
        <v>2.8325443473953331E-5</v>
      </c>
      <c r="O23" s="28">
        <v>3.245043280737757E-4</v>
      </c>
      <c r="P23" s="28">
        <v>2.8325443473953331E-5</v>
      </c>
      <c r="Q23" s="28">
        <v>3.245043280737757E-4</v>
      </c>
    </row>
    <row r="24" spans="1:17" x14ac:dyDescent="0.25">
      <c r="A24" s="24">
        <f>'ALL VARS'!A24</f>
        <v>43949</v>
      </c>
      <c r="B24" s="16">
        <f>'ALL VARS'!F24</f>
        <v>2.904386379946032E-2</v>
      </c>
      <c r="C24" s="16">
        <f>'ALL VARS'!G24</f>
        <v>1.0667882350970269E-2</v>
      </c>
      <c r="D24" s="16">
        <f>'ALL VARS'!H24</f>
        <v>1.5373998778727917E-2</v>
      </c>
      <c r="E24" s="16">
        <f>'ALL VARS'!AN24</f>
        <v>8.9381489120113447E-5</v>
      </c>
      <c r="F24" s="16">
        <f>'ALL VARS'!AP24</f>
        <v>-4.778788925778178E-4</v>
      </c>
      <c r="G24" s="16">
        <f>'ALL VARS'!J24</f>
        <v>39.868000500000008</v>
      </c>
    </row>
    <row r="25" spans="1:17" x14ac:dyDescent="0.25">
      <c r="A25" s="24">
        <f>'ALL VARS'!A25</f>
        <v>43948</v>
      </c>
      <c r="B25" s="16">
        <f>'ALL VARS'!F25</f>
        <v>1.0667882350970269E-2</v>
      </c>
      <c r="C25" s="16">
        <f>'ALL VARS'!G25</f>
        <v>1.5373998778727917E-2</v>
      </c>
      <c r="D25" s="16">
        <f>'ALL VARS'!H25</f>
        <v>1.1879839917270655E-2</v>
      </c>
      <c r="E25" s="16">
        <f>'ALL VARS'!AN25</f>
        <v>-3.1281771812395991E-2</v>
      </c>
      <c r="F25" s="16">
        <f>'ALL VARS'!AP25</f>
        <v>0.14259823252544054</v>
      </c>
      <c r="G25" s="16">
        <f>'ALL VARS'!J25</f>
        <v>40.656000200000001</v>
      </c>
    </row>
    <row r="26" spans="1:17" x14ac:dyDescent="0.25">
      <c r="A26" s="24">
        <f>'ALL VARS'!A26</f>
        <v>43945</v>
      </c>
      <c r="B26" s="16">
        <f>'ALL VARS'!F26</f>
        <v>1.5373998778727917E-2</v>
      </c>
      <c r="C26" s="16">
        <f>'ALL VARS'!G26</f>
        <v>1.1879839917270655E-2</v>
      </c>
      <c r="D26" s="16">
        <f>'ALL VARS'!H26</f>
        <v>-2.5965891780394849E-3</v>
      </c>
      <c r="E26" s="16">
        <f>'ALL VARS'!AN26</f>
        <v>-6.1225075935876117E-2</v>
      </c>
      <c r="F26" s="16">
        <f>'ALL VARS'!AP26</f>
        <v>0.24395186695147911</v>
      </c>
      <c r="G26" s="16">
        <f>'ALL VARS'!J26</f>
        <v>41.230000000000004</v>
      </c>
    </row>
    <row r="27" spans="1:17" x14ac:dyDescent="0.25">
      <c r="A27" s="24">
        <f>'ALL VARS'!A27</f>
        <v>43944</v>
      </c>
      <c r="B27" s="16">
        <f>'ALL VARS'!F27</f>
        <v>1.1879839917270655E-2</v>
      </c>
      <c r="C27" s="16">
        <f>'ALL VARS'!G27</f>
        <v>-2.5965891780394849E-3</v>
      </c>
      <c r="D27" s="16">
        <f>'ALL VARS'!H27</f>
        <v>2.4971169199914333E-2</v>
      </c>
      <c r="E27" s="16">
        <f>'ALL VARS'!AN27</f>
        <v>-2.6997364525625095E-3</v>
      </c>
      <c r="F27" s="16">
        <f>'ALL VARS'!AP27</f>
        <v>1.0225276959520446E-2</v>
      </c>
      <c r="G27" s="16">
        <f>'ALL VARS'!J27</f>
        <v>41.42699970000001</v>
      </c>
    </row>
    <row r="28" spans="1:17" x14ac:dyDescent="0.25">
      <c r="A28" s="24">
        <f>'ALL VARS'!A28</f>
        <v>43943</v>
      </c>
      <c r="B28" s="16">
        <f>'ALL VARS'!F28</f>
        <v>-2.5965891780394849E-3</v>
      </c>
      <c r="C28" s="16">
        <f>'ALL VARS'!G28</f>
        <v>2.4971169199914333E-2</v>
      </c>
      <c r="D28" s="16">
        <f>'ALL VARS'!H28</f>
        <v>-3.1150323670921017E-2</v>
      </c>
      <c r="E28" s="16">
        <f>'ALL VARS'!AN28</f>
        <v>-8.1402878364131015E-3</v>
      </c>
      <c r="F28" s="16">
        <f>'ALL VARS'!AP28</f>
        <v>2.6989199326525163E-2</v>
      </c>
      <c r="G28" s="16">
        <f>'ALL VARS'!J28</f>
        <v>41.898999799999999</v>
      </c>
    </row>
    <row r="29" spans="1:17" x14ac:dyDescent="0.25">
      <c r="A29" s="24">
        <f>'ALL VARS'!A29</f>
        <v>43942</v>
      </c>
      <c r="B29" s="16">
        <f>'ALL VARS'!F29</f>
        <v>2.4971169199914333E-2</v>
      </c>
      <c r="C29" s="16">
        <f>'ALL VARS'!G29</f>
        <v>-3.1150323670921017E-2</v>
      </c>
      <c r="D29" s="16">
        <f>'ALL VARS'!H29</f>
        <v>1.9776887879946956E-3</v>
      </c>
      <c r="E29" s="16">
        <f>'ALL VARS'!AN29</f>
        <v>6.1397199446457428E-3</v>
      </c>
      <c r="F29" s="16">
        <f>'ALL VARS'!AP29</f>
        <v>-2.0460672059182783E-2</v>
      </c>
      <c r="G29" s="16">
        <f>'ALL VARS'!J29</f>
        <v>41.881999999999998</v>
      </c>
    </row>
    <row r="30" spans="1:17" x14ac:dyDescent="0.25">
      <c r="A30" s="24">
        <f>'ALL VARS'!A30</f>
        <v>43941</v>
      </c>
      <c r="B30" s="16">
        <f>'ALL VARS'!F30</f>
        <v>-3.1150323670921017E-2</v>
      </c>
      <c r="C30" s="16">
        <f>'ALL VARS'!G30</f>
        <v>1.9776887879946956E-3</v>
      </c>
      <c r="D30" s="16">
        <f>'ALL VARS'!H30</f>
        <v>3.3138402111040632E-2</v>
      </c>
      <c r="E30" s="16">
        <f>'ALL VARS'!AN30</f>
        <v>9.4000512138063682E-4</v>
      </c>
      <c r="F30" s="16">
        <f>'ALL VARS'!AP30</f>
        <v>-2.8533943011915808E-3</v>
      </c>
      <c r="G30" s="16">
        <f>'ALL VARS'!J30</f>
        <v>42.178999699999999</v>
      </c>
    </row>
    <row r="31" spans="1:17" x14ac:dyDescent="0.25">
      <c r="A31" s="24">
        <f>'ALL VARS'!A31</f>
        <v>43938</v>
      </c>
      <c r="B31" s="16">
        <f>'ALL VARS'!F31</f>
        <v>1.9776887879946956E-3</v>
      </c>
      <c r="C31" s="16">
        <f>'ALL VARS'!G31</f>
        <v>3.3138402111040632E-2</v>
      </c>
      <c r="D31" s="16">
        <f>'ALL VARS'!H31</f>
        <v>-4.2482631253185207E-3</v>
      </c>
      <c r="E31" s="16">
        <f>'ALL VARS'!AN31</f>
        <v>4.8965542750142421E-2</v>
      </c>
      <c r="F31" s="16">
        <f>'ALL VARS'!AP31</f>
        <v>-8.6155338328766012E-2</v>
      </c>
      <c r="G31" s="16">
        <f>'ALL VARS'!J31</f>
        <v>43.4549995</v>
      </c>
    </row>
    <row r="32" spans="1:17" x14ac:dyDescent="0.25">
      <c r="A32" s="24">
        <f>'ALL VARS'!A32</f>
        <v>43937</v>
      </c>
      <c r="B32" s="16">
        <f>'ALL VARS'!F32</f>
        <v>3.3138402111040632E-2</v>
      </c>
      <c r="C32" s="16">
        <f>'ALL VARS'!G32</f>
        <v>-4.2482631253185207E-3</v>
      </c>
      <c r="D32" s="16">
        <f>'ALL VARS'!H32</f>
        <v>-2.1026256366684357E-2</v>
      </c>
      <c r="E32" s="16">
        <f>'ALL VARS'!AN32</f>
        <v>-2.0267887700229793E-3</v>
      </c>
      <c r="F32" s="16">
        <f>'ALL VARS'!AP32</f>
        <v>1.3074715860591197E-4</v>
      </c>
      <c r="G32" s="16">
        <f>'ALL VARS'!J32</f>
        <v>45.149999499999993</v>
      </c>
    </row>
    <row r="33" spans="1:7" x14ac:dyDescent="0.25">
      <c r="A33" s="24">
        <f>'ALL VARS'!A33</f>
        <v>43936</v>
      </c>
      <c r="B33" s="16">
        <f>'ALL VARS'!F33</f>
        <v>-4.2482631253185207E-3</v>
      </c>
      <c r="C33" s="16">
        <f>'ALL VARS'!G33</f>
        <v>-2.1026256366684357E-2</v>
      </c>
      <c r="D33" s="16">
        <f>'ALL VARS'!H33</f>
        <v>1.2965422809946055E-2</v>
      </c>
      <c r="E33" s="16">
        <f>'ALL VARS'!AN33</f>
        <v>-2.5985842192130233E-4</v>
      </c>
      <c r="F33" s="16">
        <f>'ALL VARS'!AP33</f>
        <v>-3.1325688130983672E-4</v>
      </c>
      <c r="G33" s="16">
        <f>'ALL VARS'!J33</f>
        <v>46.419999600000004</v>
      </c>
    </row>
    <row r="34" spans="1:7" x14ac:dyDescent="0.25">
      <c r="A34" s="24">
        <f>'ALL VARS'!A34</f>
        <v>43935</v>
      </c>
      <c r="B34" s="16">
        <f>'ALL VARS'!F34</f>
        <v>-2.1026256366684357E-2</v>
      </c>
      <c r="C34" s="16">
        <f>'ALL VARS'!G34</f>
        <v>1.2965422809946055E-2</v>
      </c>
      <c r="D34" s="16">
        <f>'ALL VARS'!H34</f>
        <v>-6.4023280464834062E-3</v>
      </c>
      <c r="E34" s="16">
        <f>'ALL VARS'!AN34</f>
        <v>-4.8921556490696301E-3</v>
      </c>
      <c r="F34" s="16">
        <f>'ALL VARS'!AP34</f>
        <v>-1.5349094250893449E-2</v>
      </c>
      <c r="G34" s="16">
        <f>'ALL VARS'!J34</f>
        <v>48.352000000000004</v>
      </c>
    </row>
    <row r="35" spans="1:7" x14ac:dyDescent="0.25">
      <c r="A35" s="24">
        <f>'ALL VARS'!A35</f>
        <v>43934</v>
      </c>
      <c r="B35" s="16">
        <f>'ALL VARS'!F35</f>
        <v>1.2965422809946055E-2</v>
      </c>
      <c r="C35" s="16">
        <f>'ALL VARS'!G35</f>
        <v>-6.4023280464834062E-3</v>
      </c>
      <c r="D35" s="16">
        <f>'ALL VARS'!H35</f>
        <v>1.729890853793448E-2</v>
      </c>
      <c r="E35" s="16">
        <f>'ALL VARS'!AN35</f>
        <v>2.2879510431230682E-2</v>
      </c>
      <c r="F35" s="16">
        <f>'ALL VARS'!AP35</f>
        <v>0.12754163152603937</v>
      </c>
      <c r="G35" s="16">
        <f>'ALL VARS'!J35</f>
        <v>50.789000299999998</v>
      </c>
    </row>
    <row r="36" spans="1:7" x14ac:dyDescent="0.25">
      <c r="A36" s="24">
        <f>'ALL VARS'!A36</f>
        <v>43930</v>
      </c>
      <c r="B36" s="16">
        <f>'ALL VARS'!F36</f>
        <v>-6.4023280464834062E-3</v>
      </c>
      <c r="C36" s="16">
        <f>'ALL VARS'!G36</f>
        <v>1.729890853793448E-2</v>
      </c>
      <c r="D36" s="16">
        <f>'ALL VARS'!H36</f>
        <v>2.2888078899761091E-2</v>
      </c>
      <c r="E36" s="16">
        <f>'ALL VARS'!AN36</f>
        <v>-6.1818944325704164E-3</v>
      </c>
      <c r="F36" s="16">
        <f>'ALL VARS'!AP36</f>
        <v>-4.641051981965643E-2</v>
      </c>
      <c r="G36" s="16">
        <f>'ALL VARS'!J36</f>
        <v>52.722000499999993</v>
      </c>
    </row>
    <row r="37" spans="1:7" x14ac:dyDescent="0.25">
      <c r="A37" s="24">
        <f>'ALL VARS'!A37</f>
        <v>43929</v>
      </c>
      <c r="B37" s="16">
        <f>'ALL VARS'!F37</f>
        <v>1.729890853793448E-2</v>
      </c>
      <c r="C37" s="16">
        <f>'ALL VARS'!G37</f>
        <v>2.2888078899761091E-2</v>
      </c>
      <c r="D37" s="16">
        <f>'ALL VARS'!H37</f>
        <v>1.5743313464585205E-3</v>
      </c>
      <c r="E37" s="16">
        <f>'ALL VARS'!AN37</f>
        <v>1.754303456471628E-2</v>
      </c>
      <c r="F37" s="16">
        <f>'ALL VARS'!AP37</f>
        <v>0.16784283909882217</v>
      </c>
      <c r="G37" s="16">
        <f>'ALL VARS'!J37</f>
        <v>54.782000800000006</v>
      </c>
    </row>
    <row r="38" spans="1:7" x14ac:dyDescent="0.25">
      <c r="A38" s="24">
        <f>'ALL VARS'!A38</f>
        <v>43928</v>
      </c>
      <c r="B38" s="16">
        <f>'ALL VARS'!F38</f>
        <v>2.2888078899761091E-2</v>
      </c>
      <c r="C38" s="16">
        <f>'ALL VARS'!G38</f>
        <v>1.5743313464585205E-3</v>
      </c>
      <c r="D38" s="16">
        <f>'ALL VARS'!H38</f>
        <v>5.0578545857092143E-2</v>
      </c>
      <c r="E38" s="16">
        <f>'ALL VARS'!AN38</f>
        <v>-2.1440254072444168E-2</v>
      </c>
      <c r="F38" s="16">
        <f>'ALL VARS'!AP38</f>
        <v>-0.23722550864148353</v>
      </c>
      <c r="G38" s="16">
        <f>'ALL VARS'!J38</f>
        <v>56.279000499999995</v>
      </c>
    </row>
    <row r="39" spans="1:7" x14ac:dyDescent="0.25">
      <c r="A39" s="24">
        <f>'ALL VARS'!A39</f>
        <v>43927</v>
      </c>
      <c r="B39" s="16">
        <f>'ALL VARS'!F39</f>
        <v>1.5743313464585205E-3</v>
      </c>
      <c r="C39" s="16">
        <f>'ALL VARS'!G39</f>
        <v>5.0578545857092143E-2</v>
      </c>
      <c r="D39" s="16">
        <f>'ALL VARS'!H39</f>
        <v>-1.2177617796472343E-2</v>
      </c>
      <c r="E39" s="16">
        <f>'ALL VARS'!AN39</f>
        <v>-7.1727615209948624E-3</v>
      </c>
      <c r="F39" s="16">
        <f>'ALL VARS'!AP39</f>
        <v>-9.109042243217888E-2</v>
      </c>
      <c r="G39" s="16">
        <f>'ALL VARS'!J39</f>
        <v>57.914000299999998</v>
      </c>
    </row>
    <row r="40" spans="1:7" x14ac:dyDescent="0.25">
      <c r="A40" s="24">
        <f>'ALL VARS'!A40</f>
        <v>43924</v>
      </c>
      <c r="B40" s="16">
        <f>'ALL VARS'!F40</f>
        <v>5.0578545857092143E-2</v>
      </c>
      <c r="C40" s="16">
        <f>'ALL VARS'!G40</f>
        <v>-1.2177617796472343E-2</v>
      </c>
      <c r="D40" s="16">
        <f>'ALL VARS'!H40</f>
        <v>1.7194200807451526E-2</v>
      </c>
      <c r="E40" s="16">
        <f>'ALL VARS'!AN40</f>
        <v>-2.4249151290442516E-3</v>
      </c>
      <c r="F40" s="16">
        <f>'ALL VARS'!AP40</f>
        <v>-3.5460725743766186E-2</v>
      </c>
      <c r="G40" s="16">
        <f>'ALL VARS'!J40</f>
        <v>59.8380005</v>
      </c>
    </row>
    <row r="41" spans="1:7" x14ac:dyDescent="0.25">
      <c r="A41" s="24">
        <f>'ALL VARS'!A41</f>
        <v>43923</v>
      </c>
      <c r="B41" s="16">
        <f>'ALL VARS'!F41</f>
        <v>-1.2177617796472343E-2</v>
      </c>
      <c r="C41" s="16">
        <f>'ALL VARS'!G41</f>
        <v>1.7194200807451526E-2</v>
      </c>
      <c r="D41" s="16">
        <f>'ALL VARS'!H41</f>
        <v>-3.7551904604495374E-2</v>
      </c>
      <c r="E41" s="16">
        <f>'ALL VARS'!AN41</f>
        <v>-7.7534703539617722E-2</v>
      </c>
      <c r="F41" s="16">
        <f>'ALL VARS'!AP41</f>
        <v>-1.2973487668434693</v>
      </c>
      <c r="G41" s="16">
        <f>'ALL VARS'!J41</f>
        <v>61.947000500000001</v>
      </c>
    </row>
    <row r="42" spans="1:7" x14ac:dyDescent="0.25">
      <c r="A42" s="24">
        <f>'ALL VARS'!A42</f>
        <v>43922</v>
      </c>
      <c r="B42" s="16">
        <f>'ALL VARS'!F42</f>
        <v>1.7194200807451526E-2</v>
      </c>
      <c r="C42" s="16">
        <f>'ALL VARS'!G42</f>
        <v>-3.7551904604495374E-2</v>
      </c>
      <c r="D42" s="16">
        <f>'ALL VARS'!H42</f>
        <v>2.6099613068988042E-2</v>
      </c>
      <c r="E42" s="16">
        <f>'ALL VARS'!AN42</f>
        <v>-4.1269149245518721E-2</v>
      </c>
      <c r="F42" s="16">
        <f>'ALL VARS'!AP42</f>
        <v>-0.77055655226305975</v>
      </c>
      <c r="G42" s="16">
        <f>'ALL VARS'!J42</f>
        <v>63.886000100000004</v>
      </c>
    </row>
    <row r="43" spans="1:7" x14ac:dyDescent="0.25">
      <c r="A43" s="24">
        <f>'ALL VARS'!A43</f>
        <v>43921</v>
      </c>
      <c r="B43" s="16">
        <f>'ALL VARS'!F43</f>
        <v>-3.7551904604495374E-2</v>
      </c>
      <c r="C43" s="16">
        <f>'ALL VARS'!G43</f>
        <v>2.6099613068988042E-2</v>
      </c>
      <c r="D43" s="16">
        <f>'ALL VARS'!H43</f>
        <v>2.7648809446036929E-2</v>
      </c>
      <c r="E43" s="16">
        <f>'ALL VARS'!AN43</f>
        <v>1.5602937225845893E-3</v>
      </c>
      <c r="F43" s="16">
        <f>'ALL VARS'!AP43</f>
        <v>3.2623387858235049E-2</v>
      </c>
      <c r="G43" s="16">
        <f>'ALL VARS'!J43</f>
        <v>66.123000399999995</v>
      </c>
    </row>
    <row r="44" spans="1:7" x14ac:dyDescent="0.25">
      <c r="A44" s="24">
        <f>'ALL VARS'!A44</f>
        <v>43920</v>
      </c>
      <c r="B44" s="16">
        <f>'ALL VARS'!F44</f>
        <v>2.6099613068988042E-2</v>
      </c>
      <c r="C44" s="16">
        <f>'ALL VARS'!G44</f>
        <v>2.7648809446036929E-2</v>
      </c>
      <c r="D44" s="16">
        <f>'ALL VARS'!H44</f>
        <v>-5.1117326046437227E-2</v>
      </c>
      <c r="E44" s="16">
        <f>'ALL VARS'!AN44</f>
        <v>-1.6716745046733018E-2</v>
      </c>
      <c r="F44" s="16">
        <f>'ALL VARS'!AP44</f>
        <v>-0.39233350387567273</v>
      </c>
      <c r="G44" s="16">
        <f>'ALL VARS'!J44</f>
        <v>68.684000400000002</v>
      </c>
    </row>
    <row r="45" spans="1:7" x14ac:dyDescent="0.25">
      <c r="A45" s="24">
        <f>'ALL VARS'!A45</f>
        <v>43917</v>
      </c>
      <c r="B45" s="16">
        <f>'ALL VARS'!F45</f>
        <v>2.7648809446036929E-2</v>
      </c>
      <c r="C45" s="16">
        <f>'ALL VARS'!G45</f>
        <v>-5.1117326046437227E-2</v>
      </c>
      <c r="D45" s="16">
        <f>'ALL VARS'!H45</f>
        <v>1.7657086927428463E-2</v>
      </c>
      <c r="E45" s="16">
        <f>'ALL VARS'!AN45</f>
        <v>1.1969880910909085E-2</v>
      </c>
      <c r="F45" s="16">
        <f>'ALL VARS'!AP45</f>
        <v>0.27169823994428427</v>
      </c>
      <c r="G45" s="16">
        <f>'ALL VARS'!J45</f>
        <v>67.91300050000001</v>
      </c>
    </row>
    <row r="46" spans="1:7" x14ac:dyDescent="0.25">
      <c r="A46" s="24">
        <f>'ALL VARS'!A46</f>
        <v>43916</v>
      </c>
      <c r="B46" s="16">
        <f>'ALL VARS'!F46</f>
        <v>-5.1117326046437227E-2</v>
      </c>
      <c r="C46" s="16">
        <f>'ALL VARS'!G46</f>
        <v>1.7657086927428463E-2</v>
      </c>
      <c r="D46" s="16">
        <f>'ALL VARS'!H46</f>
        <v>4.5191001874909938E-2</v>
      </c>
      <c r="E46" s="16">
        <f>'ALL VARS'!AN46</f>
        <v>-4.4780295580904822E-2</v>
      </c>
      <c r="F46" s="16">
        <f>'ALL VARS'!AP46</f>
        <v>-1.0812422501657608</v>
      </c>
      <c r="G46" s="16">
        <f>'ALL VARS'!J46</f>
        <v>69.360000600000006</v>
      </c>
    </row>
    <row r="47" spans="1:7" x14ac:dyDescent="0.25">
      <c r="A47" s="24">
        <f>'ALL VARS'!A47</f>
        <v>43915</v>
      </c>
      <c r="B47" s="16">
        <f>'ALL VARS'!F47</f>
        <v>1.7657086927428463E-2</v>
      </c>
      <c r="C47" s="16">
        <f>'ALL VARS'!G47</f>
        <v>4.5191001874909938E-2</v>
      </c>
      <c r="D47" s="16">
        <f>'ALL VARS'!H47</f>
        <v>0.11957070036068938</v>
      </c>
      <c r="E47" s="16">
        <f>'ALL VARS'!AN47</f>
        <v>-4.2337292064454357E-2</v>
      </c>
      <c r="F47" s="16">
        <f>'ALL VARS'!AP47</f>
        <v>-0.97970575502377577</v>
      </c>
      <c r="G47" s="16">
        <f>'ALL VARS'!J47</f>
        <v>68.355000700000005</v>
      </c>
    </row>
    <row r="48" spans="1:7" x14ac:dyDescent="0.25">
      <c r="A48" s="24">
        <f>'ALL VARS'!A48</f>
        <v>43914</v>
      </c>
      <c r="B48" s="16">
        <f>'ALL VARS'!F48</f>
        <v>4.5191001874909938E-2</v>
      </c>
      <c r="C48" s="16">
        <f>'ALL VARS'!G48</f>
        <v>0.11957070036068938</v>
      </c>
      <c r="D48" s="16">
        <f>'ALL VARS'!H48</f>
        <v>-5.2591151998453836E-2</v>
      </c>
      <c r="E48" s="16">
        <f>'ALL VARS'!AN48</f>
        <v>1.0839097112257997E-2</v>
      </c>
      <c r="F48" s="16">
        <f>'ALL VARS'!AP48</f>
        <v>0.2352462551431676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CEC7-A1BF-4B67-8117-AD82F03511F8}">
  <sheetPr codeName="Feuil11"/>
  <dimension ref="A1:Q48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VARS'!AR1</f>
        <v>Sent_t_+_1_k, k=6</v>
      </c>
      <c r="F1" s="16" t="str">
        <f>'ALL VARS'!AT1</f>
        <v>Sent_t_+_1_k, k=6 * (VIX_10_t  minus VIX_bar_10)</v>
      </c>
      <c r="G1" s="16" t="str">
        <f>'ALL VARS'!J1</f>
        <v>VIX_10_t</v>
      </c>
    </row>
    <row r="2" spans="1:14" x14ac:dyDescent="0.25">
      <c r="A2" s="24">
        <f>'ALL VARS'!A2</f>
        <v>43980</v>
      </c>
      <c r="B2" s="16">
        <f>'ALL VARS'!F2</f>
        <v>2.3093919546915233E-2</v>
      </c>
      <c r="C2" s="16">
        <f>'ALL VARS'!G2</f>
        <v>-4.5798180601685388E-3</v>
      </c>
      <c r="D2" s="16">
        <f>'ALL VARS'!H2</f>
        <v>-6.0894480094293875E-4</v>
      </c>
      <c r="E2" s="16">
        <f>'ALL VARS'!AR2</f>
        <v>-1.0995213328620782E-2</v>
      </c>
      <c r="F2" s="16">
        <f>'ALL VARS'!AT2</f>
        <v>0.17363100819111082</v>
      </c>
      <c r="G2" s="16">
        <f>'ALL VARS'!J2</f>
        <v>29.423000200000001</v>
      </c>
      <c r="I2" s="18" t="s">
        <v>39</v>
      </c>
    </row>
    <row r="3" spans="1:14" ht="15.75" thickBot="1" x14ac:dyDescent="0.3">
      <c r="A3" s="24">
        <f>'ALL VARS'!A3</f>
        <v>43979</v>
      </c>
      <c r="B3" s="16">
        <f>'ALL VARS'!F3</f>
        <v>-4.5798180601685388E-3</v>
      </c>
      <c r="C3" s="16">
        <f>'ALL VARS'!G3</f>
        <v>-6.0894480094293875E-4</v>
      </c>
      <c r="D3" s="16">
        <f>'ALL VARS'!H3</f>
        <v>8.1792696244475296E-3</v>
      </c>
      <c r="E3" s="16">
        <f>'ALL VARS'!AR3</f>
        <v>-3.794859758094106E-2</v>
      </c>
      <c r="F3" s="16">
        <f>'ALL VARS'!AT3</f>
        <v>0.57387800519291055</v>
      </c>
      <c r="G3" s="16">
        <f>'ALL VARS'!J3</f>
        <v>30.092000099999996</v>
      </c>
    </row>
    <row r="4" spans="1:14" x14ac:dyDescent="0.25">
      <c r="A4" s="24">
        <f>'ALL VARS'!A4</f>
        <v>43978</v>
      </c>
      <c r="B4" s="16">
        <f>'ALL VARS'!F4</f>
        <v>-6.0894480094293875E-4</v>
      </c>
      <c r="C4" s="16">
        <f>'ALL VARS'!G4</f>
        <v>8.1792696244475296E-3</v>
      </c>
      <c r="D4" s="16">
        <f>'ALL VARS'!H4</f>
        <v>4.8223739412853626E-3</v>
      </c>
      <c r="E4" s="16">
        <f>'ALL VARS'!AR4</f>
        <v>1.3921325823791918E-4</v>
      </c>
      <c r="F4" s="16">
        <f>'ALL VARS'!AT4</f>
        <v>-2.0298001526898456E-3</v>
      </c>
      <c r="G4" s="16">
        <f>'ALL VARS'!J4</f>
        <v>30.634000099999998</v>
      </c>
      <c r="I4" s="26" t="s">
        <v>40</v>
      </c>
      <c r="J4" s="26"/>
    </row>
    <row r="5" spans="1:14" x14ac:dyDescent="0.25">
      <c r="A5" s="24">
        <f>'ALL VARS'!A5</f>
        <v>43977</v>
      </c>
      <c r="B5" s="16">
        <f>'ALL VARS'!F5</f>
        <v>8.1792696244475296E-3</v>
      </c>
      <c r="C5" s="16">
        <f>'ALL VARS'!G5</f>
        <v>4.8223739412853626E-3</v>
      </c>
      <c r="D5" s="16">
        <f>'ALL VARS'!H5</f>
        <v>1.0849210535487055E-2</v>
      </c>
      <c r="E5" s="16">
        <f>'ALL VARS'!AR5</f>
        <v>-6.9139850899143054E-2</v>
      </c>
      <c r="F5" s="16">
        <f>'ALL VARS'!AT5</f>
        <v>1.0111363657895727</v>
      </c>
      <c r="G5" s="16">
        <f>'ALL VARS'!J5</f>
        <v>30.590000099999997</v>
      </c>
      <c r="I5" s="18" t="s">
        <v>41</v>
      </c>
      <c r="J5" s="18">
        <v>0.56673011059921286</v>
      </c>
    </row>
    <row r="6" spans="1:14" x14ac:dyDescent="0.25">
      <c r="A6" s="24">
        <f>'ALL VARS'!A6</f>
        <v>43976</v>
      </c>
      <c r="B6" s="16">
        <f>'ALL VARS'!F6</f>
        <v>4.8223739412853626E-3</v>
      </c>
      <c r="C6" s="16">
        <f>'ALL VARS'!G6</f>
        <v>1.0849210535487055E-2</v>
      </c>
      <c r="D6" s="16">
        <f>'ALL VARS'!H6</f>
        <v>1.9280759189597432E-3</v>
      </c>
      <c r="E6" s="16">
        <f>'ALL VARS'!AR6</f>
        <v>1.7890084463399868E-2</v>
      </c>
      <c r="F6" s="16">
        <f>'ALL VARS'!AT6</f>
        <v>-0.26179471046800212</v>
      </c>
      <c r="G6" s="16">
        <f>'ALL VARS'!J6</f>
        <v>30.581000099999997</v>
      </c>
      <c r="I6" s="18" t="s">
        <v>42</v>
      </c>
      <c r="J6" s="18">
        <v>0.321183018259796</v>
      </c>
    </row>
    <row r="7" spans="1:14" x14ac:dyDescent="0.25">
      <c r="A7" s="24">
        <f>'ALL VARS'!A7</f>
        <v>43973</v>
      </c>
      <c r="B7" s="16">
        <f>'ALL VARS'!F7</f>
        <v>1.0849210535487055E-2</v>
      </c>
      <c r="C7" s="16">
        <f>'ALL VARS'!G7</f>
        <v>1.9280759189597432E-3</v>
      </c>
      <c r="D7" s="16">
        <f>'ALL VARS'!H7</f>
        <v>-7.5144837132717695E-3</v>
      </c>
      <c r="E7" s="16">
        <f>'ALL VARS'!AR7</f>
        <v>-1.196396563690969E-2</v>
      </c>
      <c r="F7" s="16">
        <f>'ALL VARS'!AT7</f>
        <v>0.1751824734856593</v>
      </c>
      <c r="G7" s="16">
        <f>'ALL VARS'!J7</f>
        <v>30.572000099999997</v>
      </c>
      <c r="I7" s="18" t="s">
        <v>42</v>
      </c>
      <c r="J7" s="18">
        <v>0.2327242580940623</v>
      </c>
    </row>
    <row r="8" spans="1:14" x14ac:dyDescent="0.25">
      <c r="A8" s="24">
        <f>'ALL VARS'!A8</f>
        <v>43972</v>
      </c>
      <c r="B8" s="16">
        <f>'ALL VARS'!F8</f>
        <v>1.9280759189597432E-3</v>
      </c>
      <c r="C8" s="16">
        <f>'ALL VARS'!G8</f>
        <v>-7.5144837132717695E-3</v>
      </c>
      <c r="D8" s="16">
        <f>'ALL VARS'!H8</f>
        <v>7.5307923146686901E-3</v>
      </c>
      <c r="E8" s="16">
        <f>'ALL VARS'!AR8</f>
        <v>1.6900038817622122E-2</v>
      </c>
      <c r="F8" s="16">
        <f>'ALL VARS'!AT8</f>
        <v>-0.24423106162040462</v>
      </c>
      <c r="G8" s="16">
        <f>'ALL VARS'!J8</f>
        <v>30.763000099999999</v>
      </c>
      <c r="I8" s="18" t="s">
        <v>43</v>
      </c>
      <c r="J8" s="18">
        <v>1.7843977459649784E-2</v>
      </c>
    </row>
    <row r="9" spans="1:14" ht="15.75" thickBot="1" x14ac:dyDescent="0.3">
      <c r="A9" s="24">
        <f>'ALL VARS'!A9</f>
        <v>43971</v>
      </c>
      <c r="B9" s="16">
        <f>'ALL VARS'!F9</f>
        <v>-7.5144837132717695E-3</v>
      </c>
      <c r="C9" s="16">
        <f>'ALL VARS'!G9</f>
        <v>7.5307923146686901E-3</v>
      </c>
      <c r="D9" s="16">
        <f>'ALL VARS'!H9</f>
        <v>1.6845500851389788E-2</v>
      </c>
      <c r="E9" s="16">
        <f>'ALL VARS'!AR9</f>
        <v>1.5146466565282085E-3</v>
      </c>
      <c r="F9" s="16">
        <f>'ALL VARS'!AT9</f>
        <v>-2.0960451409443678E-2</v>
      </c>
      <c r="G9" s="16">
        <f>'ALL VARS'!J9</f>
        <v>31.375999999999998</v>
      </c>
      <c r="I9" s="28" t="s">
        <v>44</v>
      </c>
      <c r="J9" s="28">
        <v>47</v>
      </c>
    </row>
    <row r="10" spans="1:14" x14ac:dyDescent="0.25">
      <c r="A10" s="24">
        <f>'ALL VARS'!A10</f>
        <v>43970</v>
      </c>
      <c r="B10" s="16">
        <f>'ALL VARS'!F10</f>
        <v>7.5307923146686901E-3</v>
      </c>
      <c r="C10" s="16">
        <f>'ALL VARS'!G10</f>
        <v>1.6845500851389788E-2</v>
      </c>
      <c r="D10" s="16">
        <f>'ALL VARS'!H10</f>
        <v>8.9044014875318926E-3</v>
      </c>
      <c r="E10" s="16">
        <f>'ALL VARS'!AR10</f>
        <v>0.29459082105573497</v>
      </c>
      <c r="F10" s="16">
        <f>'ALL VARS'!AT10</f>
        <v>-3.9859637597466118</v>
      </c>
      <c r="G10" s="16">
        <f>'ALL VARS'!J10</f>
        <v>31.683999999999997</v>
      </c>
    </row>
    <row r="11" spans="1:14" ht="15.75" thickBot="1" x14ac:dyDescent="0.3">
      <c r="A11" s="24">
        <f>'ALL VARS'!A11</f>
        <v>43966</v>
      </c>
      <c r="B11" s="16">
        <f>'ALL VARS'!F11</f>
        <v>1.6845500851389788E-2</v>
      </c>
      <c r="C11" s="16">
        <f>'ALL VARS'!G11</f>
        <v>8.9044014875318926E-3</v>
      </c>
      <c r="D11" s="16">
        <f>'ALL VARS'!H11</f>
        <v>4.4817694802564231E-4</v>
      </c>
      <c r="E11" s="16">
        <f>'ALL VARS'!AR11</f>
        <v>8.3452897586769031E-3</v>
      </c>
      <c r="F11" s="16">
        <f>'ALL VARS'!AT11</f>
        <v>-0.10292670479431808</v>
      </c>
      <c r="G11" s="16">
        <f>'ALL VARS'!J11</f>
        <v>32.881000200000003</v>
      </c>
      <c r="I11" s="18" t="s">
        <v>45</v>
      </c>
    </row>
    <row r="12" spans="1:14" x14ac:dyDescent="0.25">
      <c r="A12" s="24">
        <f>'ALL VARS'!A12</f>
        <v>43965</v>
      </c>
      <c r="B12" s="16">
        <f>'ALL VARS'!F12</f>
        <v>8.9044014875318926E-3</v>
      </c>
      <c r="C12" s="16">
        <f>'ALL VARS'!G12</f>
        <v>4.4817694802564231E-4</v>
      </c>
      <c r="D12" s="16">
        <f>'ALL VARS'!H12</f>
        <v>-2.5401176991557837E-2</v>
      </c>
      <c r="E12" s="16">
        <f>'ALL VARS'!AR12</f>
        <v>-4.4681785963683565E-2</v>
      </c>
      <c r="F12" s="16">
        <f>'ALL VARS'!AT12</f>
        <v>0.54420220150333332</v>
      </c>
      <c r="G12" s="16">
        <f>'ALL VARS'!J12</f>
        <v>33.0350003</v>
      </c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A13" s="24">
        <f>'ALL VARS'!A13</f>
        <v>43964</v>
      </c>
      <c r="B13" s="16">
        <f>'ALL VARS'!F13</f>
        <v>4.4817694802564231E-4</v>
      </c>
      <c r="C13" s="16">
        <f>'ALL VARS'!G13</f>
        <v>-2.5401176991557837E-2</v>
      </c>
      <c r="D13" s="16">
        <f>'ALL VARS'!H13</f>
        <v>-1.4698871572495898E-2</v>
      </c>
      <c r="E13" s="16">
        <f>'ALL VARS'!AR13</f>
        <v>7.8871721243973542E-2</v>
      </c>
      <c r="F13" s="16">
        <f>'ALL VARS'!AT13</f>
        <v>-0.99256185539855757</v>
      </c>
      <c r="G13" s="16">
        <f>'ALL VARS'!J13</f>
        <v>32.630000399999993</v>
      </c>
      <c r="I13" s="18" t="s">
        <v>46</v>
      </c>
      <c r="J13" s="18">
        <v>5</v>
      </c>
      <c r="K13" s="18">
        <v>6.3275050282848161E-3</v>
      </c>
      <c r="L13" s="18">
        <v>1.2655010056569632E-3</v>
      </c>
      <c r="M13" s="18">
        <v>3.9744694460440551</v>
      </c>
      <c r="N13" s="18">
        <v>4.9600633645224155E-3</v>
      </c>
    </row>
    <row r="14" spans="1:14" x14ac:dyDescent="0.25">
      <c r="A14" s="24">
        <f>'ALL VARS'!A14</f>
        <v>43963</v>
      </c>
      <c r="B14" s="16">
        <f>'ALL VARS'!F14</f>
        <v>-2.5401176991557837E-2</v>
      </c>
      <c r="C14" s="16">
        <f>'ALL VARS'!G14</f>
        <v>-1.4698871572495898E-2</v>
      </c>
      <c r="D14" s="16">
        <f>'ALL VARS'!H14</f>
        <v>9.1270288220883112E-3</v>
      </c>
      <c r="E14" s="16">
        <f>'ALL VARS'!AR14</f>
        <v>4.8716392446393718E-2</v>
      </c>
      <c r="F14" s="16">
        <f>'ALL VARS'!AT14</f>
        <v>-0.61048989645833474</v>
      </c>
      <c r="G14" s="16">
        <f>'ALL VARS'!J14</f>
        <v>32.683000299999996</v>
      </c>
      <c r="I14" s="18" t="s">
        <v>47</v>
      </c>
      <c r="J14" s="18">
        <v>42</v>
      </c>
      <c r="K14" s="18">
        <v>1.3373116326380559E-2</v>
      </c>
      <c r="L14" s="18">
        <v>3.1840753158048952E-4</v>
      </c>
    </row>
    <row r="15" spans="1:14" ht="15.75" thickBot="1" x14ac:dyDescent="0.3">
      <c r="A15" s="24">
        <f>'ALL VARS'!A15</f>
        <v>43962</v>
      </c>
      <c r="B15" s="16">
        <f>'ALL VARS'!F15</f>
        <v>-1.4698871572495898E-2</v>
      </c>
      <c r="C15" s="16">
        <f>'ALL VARS'!G15</f>
        <v>9.1270288220883112E-3</v>
      </c>
      <c r="D15" s="16">
        <f>'ALL VARS'!H15</f>
        <v>8.9592894728179693E-3</v>
      </c>
      <c r="E15" s="16">
        <f>'ALL VARS'!AR15</f>
        <v>-2.6454948922483507E-3</v>
      </c>
      <c r="F15" s="16">
        <f>'ALL VARS'!AT15</f>
        <v>3.1638818952229898E-2</v>
      </c>
      <c r="G15" s="16">
        <f>'ALL VARS'!J15</f>
        <v>33.2550004</v>
      </c>
      <c r="I15" s="28" t="s">
        <v>48</v>
      </c>
      <c r="J15" s="28">
        <v>47</v>
      </c>
      <c r="K15" s="28">
        <v>1.9700621354665375E-2</v>
      </c>
      <c r="L15" s="28"/>
      <c r="M15" s="28"/>
      <c r="N15" s="28"/>
    </row>
    <row r="16" spans="1:14" ht="15.75" thickBot="1" x14ac:dyDescent="0.3">
      <c r="A16" s="24">
        <f>'ALL VARS'!A16</f>
        <v>43959</v>
      </c>
      <c r="B16" s="16">
        <f>'ALL VARS'!F16</f>
        <v>9.1270288220883112E-3</v>
      </c>
      <c r="C16" s="16">
        <f>'ALL VARS'!G16</f>
        <v>8.9592894728179693E-3</v>
      </c>
      <c r="D16" s="16">
        <f>'ALL VARS'!H16</f>
        <v>2.0228309928424119E-4</v>
      </c>
      <c r="E16" s="16">
        <f>'ALL VARS'!AR16</f>
        <v>1.3179888306233662E-2</v>
      </c>
      <c r="F16" s="16">
        <f>'ALL VARS'!AT16</f>
        <v>-0.14714697652696565</v>
      </c>
      <c r="G16" s="16">
        <f>'ALL VARS'!J16</f>
        <v>34.050000400000002</v>
      </c>
    </row>
    <row r="17" spans="1:17" x14ac:dyDescent="0.25">
      <c r="A17" s="24">
        <f>'ALL VARS'!A17</f>
        <v>43958</v>
      </c>
      <c r="B17" s="16">
        <f>'ALL VARS'!F17</f>
        <v>8.9592894728179693E-3</v>
      </c>
      <c r="C17" s="16">
        <f>'ALL VARS'!G17</f>
        <v>2.0228309928424119E-4</v>
      </c>
      <c r="D17" s="16">
        <f>'ALL VARS'!H17</f>
        <v>1.2895694256002256E-3</v>
      </c>
      <c r="E17" s="16">
        <f>'ALL VARS'!AR17</f>
        <v>1.8026310506875309E-2</v>
      </c>
      <c r="F17" s="16">
        <f>'ALL VARS'!AT17</f>
        <v>-0.18333674628944599</v>
      </c>
      <c r="G17" s="16">
        <f>'ALL VARS'!J17</f>
        <v>35.044000400000002</v>
      </c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1:17" x14ac:dyDescent="0.25">
      <c r="A18" s="24">
        <f>'ALL VARS'!A18</f>
        <v>43957</v>
      </c>
      <c r="B18" s="16">
        <f>'ALL VARS'!F18</f>
        <v>2.0228309928424119E-4</v>
      </c>
      <c r="C18" s="16">
        <f>'ALL VARS'!G18</f>
        <v>1.2895694256002256E-3</v>
      </c>
      <c r="D18" s="16">
        <f>'ALL VARS'!H18</f>
        <v>4.5167588335029351E-3</v>
      </c>
      <c r="E18" s="16">
        <f>'ALL VARS'!AR18</f>
        <v>-4.7954920898685659E-2</v>
      </c>
      <c r="F18" s="16">
        <f>'ALL VARS'!AT18</f>
        <v>0.45003336346359346</v>
      </c>
      <c r="G18" s="16">
        <f>'ALL VARS'!J18</f>
        <v>35.830000499999997</v>
      </c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4">
        <f>'ALL VARS'!A19</f>
        <v>43956</v>
      </c>
      <c r="B19" s="16">
        <f>'ALL VARS'!F19</f>
        <v>1.2895694256002256E-3</v>
      </c>
      <c r="C19" s="16">
        <f>'ALL VARS'!G19</f>
        <v>4.5167588335029351E-3</v>
      </c>
      <c r="D19" s="16">
        <f>'ALL VARS'!H19</f>
        <v>8.5292501975474666E-3</v>
      </c>
      <c r="E19" s="16">
        <f>'ALL VARS'!AR19</f>
        <v>-5.3088061077177914E-3</v>
      </c>
      <c r="F19" s="16">
        <f>'ALL VARS'!AT19</f>
        <v>4.3556145441012536E-2</v>
      </c>
      <c r="G19" s="16">
        <f>'ALL VARS'!J19</f>
        <v>37.010000400000003</v>
      </c>
      <c r="I19" s="18" t="s">
        <v>36</v>
      </c>
      <c r="J19" s="18">
        <v>-1.1097959625029569E-2</v>
      </c>
      <c r="K19" s="18">
        <v>0.10597829688303517</v>
      </c>
      <c r="L19" s="18">
        <v>-0.10471917318390225</v>
      </c>
      <c r="M19" s="18">
        <v>0.91709715331846109</v>
      </c>
      <c r="N19" s="18">
        <v>-0.22497082146054401</v>
      </c>
      <c r="O19" s="18">
        <v>0.20277490221048486</v>
      </c>
      <c r="P19" s="18">
        <v>-0.22497082146054401</v>
      </c>
      <c r="Q19" s="18">
        <v>0.20277490221048486</v>
      </c>
    </row>
    <row r="20" spans="1:17" x14ac:dyDescent="0.25">
      <c r="A20" s="24">
        <f>'ALL VARS'!A20</f>
        <v>43955</v>
      </c>
      <c r="B20" s="16">
        <f>'ALL VARS'!F20</f>
        <v>4.5167588335029351E-3</v>
      </c>
      <c r="C20" s="16">
        <f>'ALL VARS'!G20</f>
        <v>8.5292501975474666E-3</v>
      </c>
      <c r="D20" s="16">
        <f>'ALL VARS'!H20</f>
        <v>-1.0852015661224153E-2</v>
      </c>
      <c r="E20" s="16">
        <f>'ALL VARS'!AR20</f>
        <v>3.609258504372076E-3</v>
      </c>
      <c r="F20" s="16">
        <f>'ALL VARS'!AT20</f>
        <v>-2.6775314944037697E-2</v>
      </c>
      <c r="G20" s="16">
        <f>'ALL VARS'!J20</f>
        <v>37.796000499999998</v>
      </c>
      <c r="I20" s="18" t="s">
        <v>37</v>
      </c>
      <c r="J20" s="18">
        <v>-0.17572199148593315</v>
      </c>
      <c r="K20" s="18">
        <v>9.9387781865707098E-2</v>
      </c>
      <c r="L20" s="18">
        <v>-1.7680442020868212</v>
      </c>
      <c r="M20" s="18">
        <v>8.4317270452016091E-2</v>
      </c>
      <c r="N20" s="18">
        <v>-0.37629465555282759</v>
      </c>
      <c r="O20" s="18">
        <v>2.4850672580961297E-2</v>
      </c>
      <c r="P20" s="18">
        <v>-0.37629465555282759</v>
      </c>
      <c r="Q20" s="18">
        <v>2.4850672580961297E-2</v>
      </c>
    </row>
    <row r="21" spans="1:17" x14ac:dyDescent="0.25">
      <c r="A21" s="24">
        <f>'ALL VARS'!A21</f>
        <v>43952</v>
      </c>
      <c r="B21" s="16">
        <f>'ALL VARS'!F21</f>
        <v>8.5292501975474666E-3</v>
      </c>
      <c r="C21" s="16">
        <f>'ALL VARS'!G21</f>
        <v>-1.0852015661224153E-2</v>
      </c>
      <c r="D21" s="16">
        <f>'ALL VARS'!H21</f>
        <v>-2.9379858648651246E-2</v>
      </c>
      <c r="E21" s="16">
        <f>'ALL VARS'!AR21</f>
        <v>-2.2304570133900411E-2</v>
      </c>
      <c r="F21" s="16">
        <f>'ALL VARS'!AT21</f>
        <v>0.16332539801600701</v>
      </c>
      <c r="G21" s="16">
        <f>'ALL VARS'!J21</f>
        <v>37.892000799999991</v>
      </c>
      <c r="I21" s="18" t="s">
        <v>15</v>
      </c>
      <c r="J21" s="18">
        <v>0.11044260745449713</v>
      </c>
      <c r="K21" s="18">
        <v>4.1793050986961407E-2</v>
      </c>
      <c r="L21" s="18">
        <v>2.6426069608785685</v>
      </c>
      <c r="M21" s="18">
        <v>1.1511367771728237E-2</v>
      </c>
      <c r="N21" s="18">
        <v>2.6100815952751918E-2</v>
      </c>
      <c r="O21" s="18">
        <v>0.19478439895624233</v>
      </c>
      <c r="P21" s="18">
        <v>2.6100815952751918E-2</v>
      </c>
      <c r="Q21" s="18">
        <v>0.19478439895624233</v>
      </c>
    </row>
    <row r="22" spans="1:17" x14ac:dyDescent="0.25">
      <c r="A22" s="24">
        <f>'ALL VARS'!A22</f>
        <v>43951</v>
      </c>
      <c r="B22" s="16">
        <f>'ALL VARS'!F22</f>
        <v>-1.0852015661224153E-2</v>
      </c>
      <c r="C22" s="16">
        <f>'ALL VARS'!G22</f>
        <v>-2.9379858648651246E-2</v>
      </c>
      <c r="D22" s="16">
        <f>'ALL VARS'!H22</f>
        <v>2.904386379946032E-2</v>
      </c>
      <c r="E22" s="16">
        <f>'ALL VARS'!AR22</f>
        <v>-7.90261940704437E-2</v>
      </c>
      <c r="F22" s="16">
        <f>'ALL VARS'!AT22</f>
        <v>0.53157035144138753</v>
      </c>
      <c r="G22" s="16">
        <f>'ALL VARS'!J22</f>
        <v>38.488000700000001</v>
      </c>
      <c r="I22" s="18" t="s">
        <v>83</v>
      </c>
      <c r="J22" s="18">
        <v>8.8008600894763419E-3</v>
      </c>
      <c r="K22" s="18">
        <v>2.9256819779315728E-3</v>
      </c>
      <c r="L22" s="18">
        <v>3.0081396938769331</v>
      </c>
      <c r="M22" s="18">
        <v>4.4279359417263011E-3</v>
      </c>
      <c r="N22" s="18">
        <v>2.8965948215469543E-3</v>
      </c>
      <c r="O22" s="18">
        <v>1.4705125357405729E-2</v>
      </c>
      <c r="P22" s="18">
        <v>2.8965948215469543E-3</v>
      </c>
      <c r="Q22" s="18">
        <v>1.4705125357405729E-2</v>
      </c>
    </row>
    <row r="23" spans="1:17" ht="15.75" thickBot="1" x14ac:dyDescent="0.3">
      <c r="A23" s="24">
        <f>'ALL VARS'!A23</f>
        <v>43950</v>
      </c>
      <c r="B23" s="16">
        <f>'ALL VARS'!F23</f>
        <v>-2.9379858648651246E-2</v>
      </c>
      <c r="C23" s="16">
        <f>'ALL VARS'!G23</f>
        <v>2.904386379946032E-2</v>
      </c>
      <c r="D23" s="16">
        <f>'ALL VARS'!H23</f>
        <v>1.0667882350970269E-2</v>
      </c>
      <c r="E23" s="16">
        <f>'ALL VARS'!AR23</f>
        <v>-2.2600957416418328E-2</v>
      </c>
      <c r="F23" s="16">
        <f>'ALL VARS'!AT23</f>
        <v>0.13030600788951222</v>
      </c>
      <c r="G23" s="16">
        <f>'ALL VARS'!J23</f>
        <v>39.449000699999999</v>
      </c>
      <c r="I23" s="28" t="s">
        <v>4</v>
      </c>
      <c r="J23" s="28">
        <v>2.2880648722051322E-4</v>
      </c>
      <c r="K23" s="28">
        <v>6.6914501895305118E-5</v>
      </c>
      <c r="L23" s="28">
        <v>3.4193856449608697</v>
      </c>
      <c r="M23" s="28">
        <v>1.4077838891837589E-3</v>
      </c>
      <c r="N23" s="28">
        <v>9.3767555292387727E-5</v>
      </c>
      <c r="O23" s="28">
        <v>3.6384541914863871E-4</v>
      </c>
      <c r="P23" s="28">
        <v>9.3767555292387727E-5</v>
      </c>
      <c r="Q23" s="28">
        <v>3.6384541914863871E-4</v>
      </c>
    </row>
    <row r="24" spans="1:17" x14ac:dyDescent="0.25">
      <c r="A24" s="24">
        <f>'ALL VARS'!A24</f>
        <v>43949</v>
      </c>
      <c r="B24" s="16">
        <f>'ALL VARS'!F24</f>
        <v>2.904386379946032E-2</v>
      </c>
      <c r="C24" s="16">
        <f>'ALL VARS'!G24</f>
        <v>1.0667882350970269E-2</v>
      </c>
      <c r="D24" s="16">
        <f>'ALL VARS'!H24</f>
        <v>1.5373998778727917E-2</v>
      </c>
      <c r="E24" s="16">
        <f>'ALL VARS'!AR24</f>
        <v>8.122242888256425E-4</v>
      </c>
      <c r="F24" s="16">
        <f>'ALL VARS'!AT24</f>
        <v>-4.3425640755123621E-3</v>
      </c>
      <c r="G24" s="16">
        <f>'ALL VARS'!J24</f>
        <v>39.868000500000008</v>
      </c>
    </row>
    <row r="25" spans="1:17" x14ac:dyDescent="0.25">
      <c r="A25" s="24">
        <f>'ALL VARS'!A25</f>
        <v>43948</v>
      </c>
      <c r="B25" s="16">
        <f>'ALL VARS'!F25</f>
        <v>1.0667882350970269E-2</v>
      </c>
      <c r="C25" s="16">
        <f>'ALL VARS'!G25</f>
        <v>1.5373998778727917E-2</v>
      </c>
      <c r="D25" s="16">
        <f>'ALL VARS'!H25</f>
        <v>1.1879839917270655E-2</v>
      </c>
      <c r="E25" s="16">
        <f>'ALL VARS'!AR25</f>
        <v>-2.3628627349207838E-3</v>
      </c>
      <c r="F25" s="16">
        <f>'ALL VARS'!AT25</f>
        <v>1.0771130603491375E-2</v>
      </c>
      <c r="G25" s="16">
        <f>'ALL VARS'!J25</f>
        <v>40.656000200000001</v>
      </c>
    </row>
    <row r="26" spans="1:17" x14ac:dyDescent="0.25">
      <c r="A26" s="24">
        <f>'ALL VARS'!A26</f>
        <v>43945</v>
      </c>
      <c r="B26" s="16">
        <f>'ALL VARS'!F26</f>
        <v>1.5373998778727917E-2</v>
      </c>
      <c r="C26" s="16">
        <f>'ALL VARS'!G26</f>
        <v>1.1879839917270655E-2</v>
      </c>
      <c r="D26" s="16">
        <f>'ALL VARS'!H26</f>
        <v>-2.5965891780394849E-3</v>
      </c>
      <c r="E26" s="16">
        <f>'ALL VARS'!AR26</f>
        <v>-0.13413561915042096</v>
      </c>
      <c r="F26" s="16">
        <f>'ALL VARS'!AT26</f>
        <v>0.53446458360802551</v>
      </c>
      <c r="G26" s="16">
        <f>'ALL VARS'!J26</f>
        <v>41.230000000000004</v>
      </c>
    </row>
    <row r="27" spans="1:17" x14ac:dyDescent="0.25">
      <c r="A27" s="24">
        <f>'ALL VARS'!A27</f>
        <v>43944</v>
      </c>
      <c r="B27" s="16">
        <f>'ALL VARS'!F27</f>
        <v>1.1879839917270655E-2</v>
      </c>
      <c r="C27" s="16">
        <f>'ALL VARS'!G27</f>
        <v>-2.5965891780394849E-3</v>
      </c>
      <c r="D27" s="16">
        <f>'ALL VARS'!H27</f>
        <v>2.4971169199914333E-2</v>
      </c>
      <c r="E27" s="16">
        <f>'ALL VARS'!AR27</f>
        <v>-2.0094052010291336E-3</v>
      </c>
      <c r="F27" s="16">
        <f>'ALL VARS'!AT27</f>
        <v>7.6106409145683127E-3</v>
      </c>
      <c r="G27" s="16">
        <f>'ALL VARS'!J27</f>
        <v>41.42699970000001</v>
      </c>
    </row>
    <row r="28" spans="1:17" x14ac:dyDescent="0.25">
      <c r="A28" s="24">
        <f>'ALL VARS'!A28</f>
        <v>43943</v>
      </c>
      <c r="B28" s="16">
        <f>'ALL VARS'!F28</f>
        <v>-2.5965891780394849E-3</v>
      </c>
      <c r="C28" s="16">
        <f>'ALL VARS'!G28</f>
        <v>2.4971169199914333E-2</v>
      </c>
      <c r="D28" s="16">
        <f>'ALL VARS'!H28</f>
        <v>-3.1150323670921017E-2</v>
      </c>
      <c r="E28" s="16">
        <f>'ALL VARS'!AR28</f>
        <v>-4.9725657794808205E-2</v>
      </c>
      <c r="F28" s="16">
        <f>'ALL VARS'!AT28</f>
        <v>0.16486587659264093</v>
      </c>
      <c r="G28" s="16">
        <f>'ALL VARS'!J28</f>
        <v>41.898999799999999</v>
      </c>
    </row>
    <row r="29" spans="1:17" x14ac:dyDescent="0.25">
      <c r="A29" s="24">
        <f>'ALL VARS'!A29</f>
        <v>43942</v>
      </c>
      <c r="B29" s="16">
        <f>'ALL VARS'!F29</f>
        <v>2.4971169199914333E-2</v>
      </c>
      <c r="C29" s="16">
        <f>'ALL VARS'!G29</f>
        <v>-3.1150323670921017E-2</v>
      </c>
      <c r="D29" s="16">
        <f>'ALL VARS'!H29</f>
        <v>1.9776887879946956E-3</v>
      </c>
      <c r="E29" s="16">
        <f>'ALL VARS'!AR29</f>
        <v>9.3626009210135536E-4</v>
      </c>
      <c r="F29" s="16">
        <f>'ALL VARS'!AT29</f>
        <v>-3.1200951964090633E-3</v>
      </c>
      <c r="G29" s="16">
        <f>'ALL VARS'!J29</f>
        <v>41.881999999999998</v>
      </c>
    </row>
    <row r="30" spans="1:17" x14ac:dyDescent="0.25">
      <c r="A30" s="24">
        <f>'ALL VARS'!A30</f>
        <v>43941</v>
      </c>
      <c r="B30" s="16">
        <f>'ALL VARS'!F30</f>
        <v>-3.1150323670921017E-2</v>
      </c>
      <c r="C30" s="16">
        <f>'ALL VARS'!G30</f>
        <v>1.9776887879946956E-3</v>
      </c>
      <c r="D30" s="16">
        <f>'ALL VARS'!H30</f>
        <v>3.3138402111040632E-2</v>
      </c>
      <c r="E30" s="16">
        <f>'ALL VARS'!AR30</f>
        <v>9.4002607497799728E-4</v>
      </c>
      <c r="F30" s="16">
        <f>'ALL VARS'!AT30</f>
        <v>-2.8534579060315308E-3</v>
      </c>
      <c r="G30" s="16">
        <f>'ALL VARS'!J30</f>
        <v>42.178999699999999</v>
      </c>
    </row>
    <row r="31" spans="1:17" x14ac:dyDescent="0.25">
      <c r="A31" s="24">
        <f>'ALL VARS'!A31</f>
        <v>43938</v>
      </c>
      <c r="B31" s="16">
        <f>'ALL VARS'!F31</f>
        <v>1.9776887879946956E-3</v>
      </c>
      <c r="C31" s="16">
        <f>'ALL VARS'!G31</f>
        <v>3.3138402111040632E-2</v>
      </c>
      <c r="D31" s="16">
        <f>'ALL VARS'!H31</f>
        <v>-4.2482631253185207E-3</v>
      </c>
      <c r="E31" s="16">
        <f>'ALL VARS'!AR31</f>
        <v>4.1156119388505157E-2</v>
      </c>
      <c r="F31" s="16">
        <f>'ALL VARS'!AT31</f>
        <v>-7.2414583624837589E-2</v>
      </c>
      <c r="G31" s="16">
        <f>'ALL VARS'!J31</f>
        <v>43.4549995</v>
      </c>
    </row>
    <row r="32" spans="1:17" x14ac:dyDescent="0.25">
      <c r="A32" s="24">
        <f>'ALL VARS'!A32</f>
        <v>43937</v>
      </c>
      <c r="B32" s="16">
        <f>'ALL VARS'!F32</f>
        <v>3.3138402111040632E-2</v>
      </c>
      <c r="C32" s="16">
        <f>'ALL VARS'!G32</f>
        <v>-4.2482631253185207E-3</v>
      </c>
      <c r="D32" s="16">
        <f>'ALL VARS'!H32</f>
        <v>-2.1026256366684357E-2</v>
      </c>
      <c r="E32" s="16">
        <f>'ALL VARS'!AR32</f>
        <v>-2.0038085440039833E-4</v>
      </c>
      <c r="F32" s="16">
        <f>'ALL VARS'!AT32</f>
        <v>1.2926471539301056E-5</v>
      </c>
      <c r="G32" s="16">
        <f>'ALL VARS'!J32</f>
        <v>45.149999499999993</v>
      </c>
    </row>
    <row r="33" spans="1:7" x14ac:dyDescent="0.25">
      <c r="A33" s="24">
        <f>'ALL VARS'!A33</f>
        <v>43936</v>
      </c>
      <c r="B33" s="16">
        <f>'ALL VARS'!F33</f>
        <v>-4.2482631253185207E-3</v>
      </c>
      <c r="C33" s="16">
        <f>'ALL VARS'!G33</f>
        <v>-2.1026256366684357E-2</v>
      </c>
      <c r="D33" s="16">
        <f>'ALL VARS'!H33</f>
        <v>1.2965422809946055E-2</v>
      </c>
      <c r="E33" s="16">
        <f>'ALL VARS'!AR33</f>
        <v>-3.3576868270774659E-3</v>
      </c>
      <c r="F33" s="16">
        <f>'ALL VARS'!AT33</f>
        <v>-4.0476598606603922E-3</v>
      </c>
      <c r="G33" s="16">
        <f>'ALL VARS'!J33</f>
        <v>46.419999600000004</v>
      </c>
    </row>
    <row r="34" spans="1:7" x14ac:dyDescent="0.25">
      <c r="A34" s="24">
        <f>'ALL VARS'!A34</f>
        <v>43935</v>
      </c>
      <c r="B34" s="16">
        <f>'ALL VARS'!F34</f>
        <v>-2.1026256366684357E-2</v>
      </c>
      <c r="C34" s="16">
        <f>'ALL VARS'!G34</f>
        <v>1.2965422809946055E-2</v>
      </c>
      <c r="D34" s="16">
        <f>'ALL VARS'!H34</f>
        <v>-6.4023280464834062E-3</v>
      </c>
      <c r="E34" s="16">
        <f>'ALL VARS'!AR34</f>
        <v>-6.8141290110918559E-2</v>
      </c>
      <c r="F34" s="16">
        <f>'ALL VARS'!AT34</f>
        <v>-0.21379268349502922</v>
      </c>
      <c r="G34" s="16">
        <f>'ALL VARS'!J34</f>
        <v>48.352000000000004</v>
      </c>
    </row>
    <row r="35" spans="1:7" x14ac:dyDescent="0.25">
      <c r="A35" s="24">
        <f>'ALL VARS'!A35</f>
        <v>43934</v>
      </c>
      <c r="B35" s="16">
        <f>'ALL VARS'!F35</f>
        <v>1.2965422809946055E-2</v>
      </c>
      <c r="C35" s="16">
        <f>'ALL VARS'!G35</f>
        <v>-6.4023280464834062E-3</v>
      </c>
      <c r="D35" s="16">
        <f>'ALL VARS'!H35</f>
        <v>1.729890853793448E-2</v>
      </c>
      <c r="E35" s="16">
        <f>'ALL VARS'!AR35</f>
        <v>1.5354289175923748E-2</v>
      </c>
      <c r="F35" s="16">
        <f>'ALL VARS'!AT35</f>
        <v>8.5592351213372719E-2</v>
      </c>
      <c r="G35" s="16">
        <f>'ALL VARS'!J35</f>
        <v>50.789000299999998</v>
      </c>
    </row>
    <row r="36" spans="1:7" x14ac:dyDescent="0.25">
      <c r="A36" s="24">
        <f>'ALL VARS'!A36</f>
        <v>43930</v>
      </c>
      <c r="B36" s="16">
        <f>'ALL VARS'!F36</f>
        <v>-6.4023280464834062E-3</v>
      </c>
      <c r="C36" s="16">
        <f>'ALL VARS'!G36</f>
        <v>1.729890853793448E-2</v>
      </c>
      <c r="D36" s="16">
        <f>'ALL VARS'!H36</f>
        <v>2.2888078899761091E-2</v>
      </c>
      <c r="E36" s="16">
        <f>'ALL VARS'!AR36</f>
        <v>-5.3111181019270426E-2</v>
      </c>
      <c r="F36" s="16">
        <f>'ALL VARS'!AT36</f>
        <v>-0.39873173931171513</v>
      </c>
      <c r="G36" s="16">
        <f>'ALL VARS'!J36</f>
        <v>52.722000499999993</v>
      </c>
    </row>
    <row r="37" spans="1:7" x14ac:dyDescent="0.25">
      <c r="A37" s="24">
        <f>'ALL VARS'!A37</f>
        <v>43929</v>
      </c>
      <c r="B37" s="16">
        <f>'ALL VARS'!F37</f>
        <v>1.729890853793448E-2</v>
      </c>
      <c r="C37" s="16">
        <f>'ALL VARS'!G37</f>
        <v>2.2888078899761091E-2</v>
      </c>
      <c r="D37" s="16">
        <f>'ALL VARS'!H37</f>
        <v>1.5743313464585205E-3</v>
      </c>
      <c r="E37" s="16">
        <f>'ALL VARS'!AR37</f>
        <v>1.1151989711088302E-2</v>
      </c>
      <c r="F37" s="16">
        <f>'ALL VARS'!AT37</f>
        <v>0.10669656995800293</v>
      </c>
      <c r="G37" s="16">
        <f>'ALL VARS'!J37</f>
        <v>54.782000800000006</v>
      </c>
    </row>
    <row r="38" spans="1:7" x14ac:dyDescent="0.25">
      <c r="A38" s="24">
        <f>'ALL VARS'!A38</f>
        <v>43928</v>
      </c>
      <c r="B38" s="16">
        <f>'ALL VARS'!F38</f>
        <v>2.2888078899761091E-2</v>
      </c>
      <c r="C38" s="16">
        <f>'ALL VARS'!G38</f>
        <v>1.5743313464585205E-3</v>
      </c>
      <c r="D38" s="16">
        <f>'ALL VARS'!H38</f>
        <v>5.0578545857092143E-2</v>
      </c>
      <c r="E38" s="16">
        <f>'ALL VARS'!AR38</f>
        <v>-1.346516961481333E-2</v>
      </c>
      <c r="F38" s="16">
        <f>'ALL VARS'!AT38</f>
        <v>-0.14898525456017583</v>
      </c>
      <c r="G38" s="16">
        <f>'ALL VARS'!J38</f>
        <v>56.279000499999995</v>
      </c>
    </row>
    <row r="39" spans="1:7" x14ac:dyDescent="0.25">
      <c r="A39" s="24">
        <f>'ALL VARS'!A39</f>
        <v>43927</v>
      </c>
      <c r="B39" s="16">
        <f>'ALL VARS'!F39</f>
        <v>1.5743313464585205E-3</v>
      </c>
      <c r="C39" s="16">
        <f>'ALL VARS'!G39</f>
        <v>5.0578545857092143E-2</v>
      </c>
      <c r="D39" s="16">
        <f>'ALL VARS'!H39</f>
        <v>-1.2177617796472343E-2</v>
      </c>
      <c r="E39" s="16">
        <f>'ALL VARS'!AR39</f>
        <v>-7.915768142660988E-2</v>
      </c>
      <c r="F39" s="16">
        <f>'ALL VARS'!AT39</f>
        <v>-1.0052622854944209</v>
      </c>
      <c r="G39" s="16">
        <f>'ALL VARS'!J39</f>
        <v>57.914000299999998</v>
      </c>
    </row>
    <row r="40" spans="1:7" x14ac:dyDescent="0.25">
      <c r="A40" s="24">
        <f>'ALL VARS'!A40</f>
        <v>43924</v>
      </c>
      <c r="B40" s="16">
        <f>'ALL VARS'!F40</f>
        <v>5.0578545857092143E-2</v>
      </c>
      <c r="C40" s="16">
        <f>'ALL VARS'!G40</f>
        <v>-1.2177617796472343E-2</v>
      </c>
      <c r="D40" s="16">
        <f>'ALL VARS'!H40</f>
        <v>1.7194200807451526E-2</v>
      </c>
      <c r="E40" s="16">
        <f>'ALL VARS'!AR40</f>
        <v>-4.5692722481173947E-4</v>
      </c>
      <c r="F40" s="16">
        <f>'ALL VARS'!AT40</f>
        <v>-6.6818713817400604E-3</v>
      </c>
      <c r="G40" s="16">
        <f>'ALL VARS'!J40</f>
        <v>59.8380005</v>
      </c>
    </row>
    <row r="41" spans="1:7" x14ac:dyDescent="0.25">
      <c r="A41" s="24">
        <f>'ALL VARS'!A41</f>
        <v>43923</v>
      </c>
      <c r="B41" s="16">
        <f>'ALL VARS'!F41</f>
        <v>-1.2177617796472343E-2</v>
      </c>
      <c r="C41" s="16">
        <f>'ALL VARS'!G41</f>
        <v>1.7194200807451526E-2</v>
      </c>
      <c r="D41" s="16">
        <f>'ALL VARS'!H41</f>
        <v>-3.7551904604495374E-2</v>
      </c>
      <c r="E41" s="16">
        <f>'ALL VARS'!AR41</f>
        <v>-0.1742250864856805</v>
      </c>
      <c r="F41" s="16">
        <f>'ALL VARS'!AT41</f>
        <v>-2.9152197762631546</v>
      </c>
      <c r="G41" s="16">
        <f>'ALL VARS'!J41</f>
        <v>61.947000500000001</v>
      </c>
    </row>
    <row r="42" spans="1:7" x14ac:dyDescent="0.25">
      <c r="A42" s="24">
        <f>'ALL VARS'!A42</f>
        <v>43922</v>
      </c>
      <c r="B42" s="16">
        <f>'ALL VARS'!F42</f>
        <v>1.7194200807451526E-2</v>
      </c>
      <c r="C42" s="16">
        <f>'ALL VARS'!G42</f>
        <v>-3.7551904604495374E-2</v>
      </c>
      <c r="D42" s="16">
        <f>'ALL VARS'!H42</f>
        <v>2.6099613068988042E-2</v>
      </c>
      <c r="E42" s="16">
        <f>'ALL VARS'!AR42</f>
        <v>-5.072805751931835E-3</v>
      </c>
      <c r="F42" s="16">
        <f>'ALL VARS'!AT42</f>
        <v>-9.4716847378026964E-2</v>
      </c>
      <c r="G42" s="16">
        <f>'ALL VARS'!J42</f>
        <v>63.886000100000004</v>
      </c>
    </row>
    <row r="43" spans="1:7" x14ac:dyDescent="0.25">
      <c r="A43" s="24">
        <f>'ALL VARS'!A43</f>
        <v>43921</v>
      </c>
      <c r="B43" s="16">
        <f>'ALL VARS'!F43</f>
        <v>-3.7551904604495374E-2</v>
      </c>
      <c r="C43" s="16">
        <f>'ALL VARS'!G43</f>
        <v>2.6099613068988042E-2</v>
      </c>
      <c r="D43" s="16">
        <f>'ALL VARS'!H43</f>
        <v>2.7648809446036929E-2</v>
      </c>
      <c r="E43" s="16">
        <f>'ALL VARS'!AR43</f>
        <v>1.5602072386281156E-3</v>
      </c>
      <c r="F43" s="16">
        <f>'ALL VARS'!AT43</f>
        <v>3.2621579609176096E-2</v>
      </c>
      <c r="G43" s="16">
        <f>'ALL VARS'!J43</f>
        <v>66.123000399999995</v>
      </c>
    </row>
    <row r="44" spans="1:7" x14ac:dyDescent="0.25">
      <c r="A44" s="24">
        <f>'ALL VARS'!A44</f>
        <v>43920</v>
      </c>
      <c r="B44" s="16">
        <f>'ALL VARS'!F44</f>
        <v>2.6099613068988042E-2</v>
      </c>
      <c r="C44" s="16">
        <f>'ALL VARS'!G44</f>
        <v>2.7648809446036929E-2</v>
      </c>
      <c r="D44" s="16">
        <f>'ALL VARS'!H44</f>
        <v>-5.1117326046437227E-2</v>
      </c>
      <c r="E44" s="16">
        <f>'ALL VARS'!AR44</f>
        <v>-7.2400700865069977E-4</v>
      </c>
      <c r="F44" s="16">
        <f>'ALL VARS'!AT44</f>
        <v>-1.6992076252905844E-2</v>
      </c>
      <c r="G44" s="16">
        <f>'ALL VARS'!J44</f>
        <v>68.684000400000002</v>
      </c>
    </row>
    <row r="45" spans="1:7" x14ac:dyDescent="0.25">
      <c r="A45" s="24">
        <f>'ALL VARS'!A45</f>
        <v>43917</v>
      </c>
      <c r="B45" s="16">
        <f>'ALL VARS'!F45</f>
        <v>2.7648809446036929E-2</v>
      </c>
      <c r="C45" s="16">
        <f>'ALL VARS'!G45</f>
        <v>-5.1117326046437227E-2</v>
      </c>
      <c r="D45" s="16">
        <f>'ALL VARS'!H45</f>
        <v>1.7657086927428463E-2</v>
      </c>
      <c r="E45" s="16">
        <f>'ALL VARS'!AR45</f>
        <v>1.2189264441783614E-3</v>
      </c>
      <c r="F45" s="16">
        <f>'ALL VARS'!AT45</f>
        <v>2.7667791515200067E-2</v>
      </c>
      <c r="G45" s="16">
        <f>'ALL VARS'!J45</f>
        <v>67.91300050000001</v>
      </c>
    </row>
    <row r="46" spans="1:7" x14ac:dyDescent="0.25">
      <c r="A46" s="24">
        <f>'ALL VARS'!A46</f>
        <v>43916</v>
      </c>
      <c r="B46" s="16">
        <f>'ALL VARS'!F46</f>
        <v>-5.1117326046437227E-2</v>
      </c>
      <c r="C46" s="16">
        <f>'ALL VARS'!G46</f>
        <v>1.7657086927428463E-2</v>
      </c>
      <c r="D46" s="16">
        <f>'ALL VARS'!H46</f>
        <v>4.5191001874909938E-2</v>
      </c>
      <c r="E46" s="16">
        <f>'ALL VARS'!AR46</f>
        <v>-0.14958995009030499</v>
      </c>
      <c r="F46" s="16">
        <f>'ALL VARS'!AT46</f>
        <v>-3.6119228812503756</v>
      </c>
      <c r="G46" s="16">
        <f>'ALL VARS'!J46</f>
        <v>69.360000600000006</v>
      </c>
    </row>
    <row r="47" spans="1:7" x14ac:dyDescent="0.25">
      <c r="A47" s="24">
        <f>'ALL VARS'!A47</f>
        <v>43915</v>
      </c>
      <c r="B47" s="16">
        <f>'ALL VARS'!F47</f>
        <v>1.7657086927428463E-2</v>
      </c>
      <c r="C47" s="16">
        <f>'ALL VARS'!G47</f>
        <v>4.5191001874909938E-2</v>
      </c>
      <c r="D47" s="16">
        <f>'ALL VARS'!H47</f>
        <v>0.11957070036068938</v>
      </c>
      <c r="E47" s="16">
        <f>'ALL VARS'!AR47</f>
        <v>-5.0855593038487256E-3</v>
      </c>
      <c r="F47" s="16">
        <f>'ALL VARS'!AT47</f>
        <v>-0.11768234278919311</v>
      </c>
      <c r="G47" s="16">
        <f>'ALL VARS'!J47</f>
        <v>68.355000700000005</v>
      </c>
    </row>
    <row r="48" spans="1:7" x14ac:dyDescent="0.25">
      <c r="A48" s="24">
        <f>'ALL VARS'!A48</f>
        <v>43914</v>
      </c>
      <c r="B48" s="16">
        <f>'ALL VARS'!F48</f>
        <v>4.5191001874909938E-2</v>
      </c>
      <c r="C48" s="16">
        <f>'ALL VARS'!G48</f>
        <v>0.11957070036068938</v>
      </c>
      <c r="D48" s="16">
        <f>'ALL VARS'!H48</f>
        <v>-5.2591151998453836E-2</v>
      </c>
      <c r="E48" s="16">
        <f>'ALL VARS'!AR48</f>
        <v>3.7028936507562753E-3</v>
      </c>
      <c r="F48" s="16">
        <f>'ALL VARS'!AT48</f>
        <v>8.0365721933490508E-2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766-5992-4D29-B0BB-C00BF35D1D73}">
  <sheetPr codeName="Feuil12"/>
  <dimension ref="A1:Q48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VARS'!AV1</f>
        <v>Sent_t_+_1_k, k=7</v>
      </c>
      <c r="F1" s="16" t="str">
        <f>'ALL VARS'!AX1</f>
        <v>Sent_t_+_1_k, k=7 * (VIX_10_t  minus VIX_bar_10)</v>
      </c>
      <c r="G1" s="16" t="str">
        <f>'ALL VARS'!J1</f>
        <v>VIX_10_t</v>
      </c>
    </row>
    <row r="2" spans="1:14" x14ac:dyDescent="0.25">
      <c r="A2" s="24">
        <f>'ALL VARS'!A2</f>
        <v>43980</v>
      </c>
      <c r="B2" s="16">
        <f>'ALL VARS'!F2</f>
        <v>2.3093919546915233E-2</v>
      </c>
      <c r="C2" s="16">
        <f>'ALL VARS'!G2</f>
        <v>-4.5798180601685388E-3</v>
      </c>
      <c r="D2" s="16">
        <f>'ALL VARS'!H2</f>
        <v>-6.0894480094293875E-4</v>
      </c>
      <c r="E2" s="16">
        <f>'ALL VARS'!AV2</f>
        <v>-1.8403209256075696E-2</v>
      </c>
      <c r="F2" s="16">
        <f>'ALL VARS'!AX2</f>
        <v>0.29061444117385093</v>
      </c>
      <c r="G2" s="16">
        <f>'ALL VARS'!J2</f>
        <v>29.423000200000001</v>
      </c>
      <c r="I2" s="18" t="s">
        <v>39</v>
      </c>
    </row>
    <row r="3" spans="1:14" ht="15.75" thickBot="1" x14ac:dyDescent="0.3">
      <c r="A3" s="24">
        <f>'ALL VARS'!A3</f>
        <v>43979</v>
      </c>
      <c r="B3" s="16">
        <f>'ALL VARS'!F3</f>
        <v>-4.5798180601685388E-3</v>
      </c>
      <c r="C3" s="16">
        <f>'ALL VARS'!G3</f>
        <v>-6.0894480094293875E-4</v>
      </c>
      <c r="D3" s="16">
        <f>'ALL VARS'!H3</f>
        <v>8.1792696244475296E-3</v>
      </c>
      <c r="E3" s="16">
        <f>'ALL VARS'!AV3</f>
        <v>-2.7594732918593681E-2</v>
      </c>
      <c r="F3" s="16">
        <f>'ALL VARS'!AX3</f>
        <v>0.41730159454184973</v>
      </c>
      <c r="G3" s="16">
        <f>'ALL VARS'!J3</f>
        <v>30.092000099999996</v>
      </c>
    </row>
    <row r="4" spans="1:14" x14ac:dyDescent="0.25">
      <c r="A4" s="24">
        <f>'ALL VARS'!A4</f>
        <v>43978</v>
      </c>
      <c r="B4" s="16">
        <f>'ALL VARS'!F4</f>
        <v>-6.0894480094293875E-4</v>
      </c>
      <c r="C4" s="16">
        <f>'ALL VARS'!G4</f>
        <v>8.1792696244475296E-3</v>
      </c>
      <c r="D4" s="16">
        <f>'ALL VARS'!H4</f>
        <v>4.8223739412853626E-3</v>
      </c>
      <c r="E4" s="16">
        <f>'ALL VARS'!AV4</f>
        <v>1.8791680861907644E-3</v>
      </c>
      <c r="F4" s="16">
        <f>'ALL VARS'!AX4</f>
        <v>-2.7399227031674647E-2</v>
      </c>
      <c r="G4" s="16">
        <f>'ALL VARS'!J4</f>
        <v>30.634000099999998</v>
      </c>
      <c r="I4" s="26" t="s">
        <v>40</v>
      </c>
      <c r="J4" s="26"/>
    </row>
    <row r="5" spans="1:14" x14ac:dyDescent="0.25">
      <c r="A5" s="24">
        <f>'ALL VARS'!A5</f>
        <v>43977</v>
      </c>
      <c r="B5" s="16">
        <f>'ALL VARS'!F5</f>
        <v>8.1792696244475296E-3</v>
      </c>
      <c r="C5" s="16">
        <f>'ALL VARS'!G5</f>
        <v>4.8223739412853626E-3</v>
      </c>
      <c r="D5" s="16">
        <f>'ALL VARS'!H5</f>
        <v>1.0849210535487055E-2</v>
      </c>
      <c r="E5" s="16">
        <f>'ALL VARS'!AV5</f>
        <v>-7.1014753252992016E-2</v>
      </c>
      <c r="F5" s="16">
        <f>'ALL VARS'!AX5</f>
        <v>1.0385558919763822</v>
      </c>
      <c r="G5" s="16">
        <f>'ALL VARS'!J5</f>
        <v>30.590000099999997</v>
      </c>
      <c r="I5" s="18" t="s">
        <v>41</v>
      </c>
      <c r="J5" s="18">
        <v>0.43143364674404477</v>
      </c>
    </row>
    <row r="6" spans="1:14" x14ac:dyDescent="0.25">
      <c r="A6" s="24">
        <f>'ALL VARS'!A6</f>
        <v>43976</v>
      </c>
      <c r="B6" s="16">
        <f>'ALL VARS'!F6</f>
        <v>4.8223739412853626E-3</v>
      </c>
      <c r="C6" s="16">
        <f>'ALL VARS'!G6</f>
        <v>1.0849210535487055E-2</v>
      </c>
      <c r="D6" s="16">
        <f>'ALL VARS'!H6</f>
        <v>1.9280759189597432E-3</v>
      </c>
      <c r="E6" s="16">
        <f>'ALL VARS'!AV6</f>
        <v>6.0613439519532374E-2</v>
      </c>
      <c r="F6" s="16">
        <f>'ALL VARS'!AX6</f>
        <v>-0.88698730751940214</v>
      </c>
      <c r="G6" s="16">
        <f>'ALL VARS'!J6</f>
        <v>30.581000099999997</v>
      </c>
      <c r="I6" s="18" t="s">
        <v>42</v>
      </c>
      <c r="J6" s="18">
        <v>0.1861349915428652</v>
      </c>
    </row>
    <row r="7" spans="1:14" x14ac:dyDescent="0.25">
      <c r="A7" s="24">
        <f>'ALL VARS'!A7</f>
        <v>43973</v>
      </c>
      <c r="B7" s="16">
        <f>'ALL VARS'!F7</f>
        <v>1.0849210535487055E-2</v>
      </c>
      <c r="C7" s="16">
        <f>'ALL VARS'!G7</f>
        <v>1.9280759189597432E-3</v>
      </c>
      <c r="D7" s="16">
        <f>'ALL VARS'!H7</f>
        <v>-7.5144837132717695E-3</v>
      </c>
      <c r="E7" s="16">
        <f>'ALL VARS'!AV7</f>
        <v>-0.22142565327130143</v>
      </c>
      <c r="F7" s="16">
        <f>'ALL VARS'!AX7</f>
        <v>3.2422271018210682</v>
      </c>
      <c r="G7" s="16">
        <f>'ALL VARS'!J7</f>
        <v>30.572000099999997</v>
      </c>
      <c r="I7" s="18" t="s">
        <v>42</v>
      </c>
      <c r="J7" s="18">
        <v>8.4814514546947592E-2</v>
      </c>
    </row>
    <row r="8" spans="1:14" x14ac:dyDescent="0.25">
      <c r="A8" s="24">
        <f>'ALL VARS'!A8</f>
        <v>43972</v>
      </c>
      <c r="B8" s="16">
        <f>'ALL VARS'!F8</f>
        <v>1.9280759189597432E-3</v>
      </c>
      <c r="C8" s="16">
        <f>'ALL VARS'!G8</f>
        <v>-7.5144837132717695E-3</v>
      </c>
      <c r="D8" s="16">
        <f>'ALL VARS'!H8</f>
        <v>7.5307923146686901E-3</v>
      </c>
      <c r="E8" s="16">
        <f>'ALL VARS'!AV8</f>
        <v>1.7788015681860843E-2</v>
      </c>
      <c r="F8" s="16">
        <f>'ALL VARS'!AX8</f>
        <v>-0.25706366718940737</v>
      </c>
      <c r="G8" s="16">
        <f>'ALL VARS'!J8</f>
        <v>30.763000099999999</v>
      </c>
      <c r="I8" s="18" t="s">
        <v>43</v>
      </c>
      <c r="J8" s="18">
        <v>1.9538512862832844E-2</v>
      </c>
    </row>
    <row r="9" spans="1:14" ht="15.75" thickBot="1" x14ac:dyDescent="0.3">
      <c r="A9" s="24">
        <f>'ALL VARS'!A9</f>
        <v>43971</v>
      </c>
      <c r="B9" s="16">
        <f>'ALL VARS'!F9</f>
        <v>-7.5144837132717695E-3</v>
      </c>
      <c r="C9" s="16">
        <f>'ALL VARS'!G9</f>
        <v>7.5307923146686901E-3</v>
      </c>
      <c r="D9" s="16">
        <f>'ALL VARS'!H9</f>
        <v>1.6845500851389788E-2</v>
      </c>
      <c r="E9" s="16">
        <f>'ALL VARS'!AV9</f>
        <v>6.131797597706537E-2</v>
      </c>
      <c r="F9" s="16">
        <f>'ALL VARS'!AX9</f>
        <v>-0.8485493632810045</v>
      </c>
      <c r="G9" s="16">
        <f>'ALL VARS'!J9</f>
        <v>31.375999999999998</v>
      </c>
      <c r="I9" s="28" t="s">
        <v>44</v>
      </c>
      <c r="J9" s="28">
        <v>47</v>
      </c>
    </row>
    <row r="10" spans="1:14" x14ac:dyDescent="0.25">
      <c r="A10" s="24">
        <f>'ALL VARS'!A10</f>
        <v>43970</v>
      </c>
      <c r="B10" s="16">
        <f>'ALL VARS'!F10</f>
        <v>7.5307923146686901E-3</v>
      </c>
      <c r="C10" s="16">
        <f>'ALL VARS'!G10</f>
        <v>1.6845500851389788E-2</v>
      </c>
      <c r="D10" s="16">
        <f>'ALL VARS'!H10</f>
        <v>8.9044014875318926E-3</v>
      </c>
      <c r="E10" s="16">
        <f>'ALL VARS'!AV10</f>
        <v>8.7610368130071857E-3</v>
      </c>
      <c r="F10" s="16">
        <f>'ALL VARS'!AX10</f>
        <v>-0.11854128757068673</v>
      </c>
      <c r="G10" s="16">
        <f>'ALL VARS'!J10</f>
        <v>31.683999999999997</v>
      </c>
    </row>
    <row r="11" spans="1:14" ht="15.75" thickBot="1" x14ac:dyDescent="0.3">
      <c r="A11" s="24">
        <f>'ALL VARS'!A11</f>
        <v>43966</v>
      </c>
      <c r="B11" s="16">
        <f>'ALL VARS'!F11</f>
        <v>1.6845500851389788E-2</v>
      </c>
      <c r="C11" s="16">
        <f>'ALL VARS'!G11</f>
        <v>8.9044014875318926E-3</v>
      </c>
      <c r="D11" s="16">
        <f>'ALL VARS'!H11</f>
        <v>4.4817694802564231E-4</v>
      </c>
      <c r="E11" s="16">
        <f>'ALL VARS'!AV11</f>
        <v>0.20764727004212868</v>
      </c>
      <c r="F11" s="16">
        <f>'ALL VARS'!AX11</f>
        <v>-2.5610194352749116</v>
      </c>
      <c r="G11" s="16">
        <f>'ALL VARS'!J11</f>
        <v>32.881000200000003</v>
      </c>
      <c r="I11" s="18" t="s">
        <v>45</v>
      </c>
    </row>
    <row r="12" spans="1:14" x14ac:dyDescent="0.25">
      <c r="A12" s="24">
        <f>'ALL VARS'!A12</f>
        <v>43965</v>
      </c>
      <c r="B12" s="16">
        <f>'ALL VARS'!F12</f>
        <v>8.9044014875318926E-3</v>
      </c>
      <c r="C12" s="16">
        <f>'ALL VARS'!G12</f>
        <v>4.4817694802564231E-4</v>
      </c>
      <c r="D12" s="16">
        <f>'ALL VARS'!H12</f>
        <v>-2.5401176991557837E-2</v>
      </c>
      <c r="E12" s="16">
        <f>'ALL VARS'!AV12</f>
        <v>-4.4738487644284834E-2</v>
      </c>
      <c r="F12" s="16">
        <f>'ALL VARS'!AX12</f>
        <v>0.54489280011631691</v>
      </c>
      <c r="G12" s="16">
        <f>'ALL VARS'!J12</f>
        <v>33.0350003</v>
      </c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A13" s="24">
        <f>'ALL VARS'!A13</f>
        <v>43964</v>
      </c>
      <c r="B13" s="16">
        <f>'ALL VARS'!F13</f>
        <v>4.4817694802564231E-4</v>
      </c>
      <c r="C13" s="16">
        <f>'ALL VARS'!G13</f>
        <v>-2.5401176991557837E-2</v>
      </c>
      <c r="D13" s="16">
        <f>'ALL VARS'!H13</f>
        <v>-1.4698871572495898E-2</v>
      </c>
      <c r="E13" s="16">
        <f>'ALL VARS'!AV13</f>
        <v>5.2180886369083751E-3</v>
      </c>
      <c r="F13" s="16">
        <f>'ALL VARS'!AX13</f>
        <v>-6.5667081399971947E-2</v>
      </c>
      <c r="G13" s="16">
        <f>'ALL VARS'!J13</f>
        <v>32.630000399999993</v>
      </c>
      <c r="I13" s="18" t="s">
        <v>46</v>
      </c>
      <c r="J13" s="18">
        <v>5</v>
      </c>
      <c r="K13" s="18">
        <v>3.6669749892398289E-3</v>
      </c>
      <c r="L13" s="18">
        <v>7.3339499784796577E-4</v>
      </c>
      <c r="M13" s="18">
        <v>1.9211219461616855</v>
      </c>
      <c r="N13" s="18">
        <v>0.11164543718695913</v>
      </c>
    </row>
    <row r="14" spans="1:14" x14ac:dyDescent="0.25">
      <c r="A14" s="24">
        <f>'ALL VARS'!A14</f>
        <v>43963</v>
      </c>
      <c r="B14" s="16">
        <f>'ALL VARS'!F14</f>
        <v>-2.5401176991557837E-2</v>
      </c>
      <c r="C14" s="16">
        <f>'ALL VARS'!G14</f>
        <v>-1.4698871572495898E-2</v>
      </c>
      <c r="D14" s="16">
        <f>'ALL VARS'!H14</f>
        <v>9.1270288220883112E-3</v>
      </c>
      <c r="E14" s="16">
        <f>'ALL VARS'!AV14</f>
        <v>5.0658548950672337E-2</v>
      </c>
      <c r="F14" s="16">
        <f>'ALL VARS'!AX14</f>
        <v>-0.6348280476157222</v>
      </c>
      <c r="G14" s="16">
        <f>'ALL VARS'!J14</f>
        <v>32.683000299999996</v>
      </c>
      <c r="I14" s="18" t="s">
        <v>47</v>
      </c>
      <c r="J14" s="18">
        <v>42</v>
      </c>
      <c r="K14" s="18">
        <v>1.6033646365425546E-2</v>
      </c>
      <c r="L14" s="18">
        <v>3.8175348489108445E-4</v>
      </c>
    </row>
    <row r="15" spans="1:14" ht="15.75" thickBot="1" x14ac:dyDescent="0.3">
      <c r="A15" s="24">
        <f>'ALL VARS'!A15</f>
        <v>43962</v>
      </c>
      <c r="B15" s="16">
        <f>'ALL VARS'!F15</f>
        <v>-1.4698871572495898E-2</v>
      </c>
      <c r="C15" s="16">
        <f>'ALL VARS'!G15</f>
        <v>9.1270288220883112E-3</v>
      </c>
      <c r="D15" s="16">
        <f>'ALL VARS'!H15</f>
        <v>8.9592894728179693E-3</v>
      </c>
      <c r="E15" s="16">
        <f>'ALL VARS'!AV15</f>
        <v>-3.9836174196673346E-2</v>
      </c>
      <c r="F15" s="16">
        <f>'ALL VARS'!AX15</f>
        <v>0.47642106845531601</v>
      </c>
      <c r="G15" s="16">
        <f>'ALL VARS'!J15</f>
        <v>33.2550004</v>
      </c>
      <c r="I15" s="28" t="s">
        <v>48</v>
      </c>
      <c r="J15" s="28">
        <v>47</v>
      </c>
      <c r="K15" s="28">
        <v>1.9700621354665375E-2</v>
      </c>
      <c r="L15" s="28"/>
      <c r="M15" s="28"/>
      <c r="N15" s="28"/>
    </row>
    <row r="16" spans="1:14" ht="15.75" thickBot="1" x14ac:dyDescent="0.3">
      <c r="A16" s="24">
        <f>'ALL VARS'!A16</f>
        <v>43959</v>
      </c>
      <c r="B16" s="16">
        <f>'ALL VARS'!F16</f>
        <v>9.1270288220883112E-3</v>
      </c>
      <c r="C16" s="16">
        <f>'ALL VARS'!G16</f>
        <v>8.9592894728179693E-3</v>
      </c>
      <c r="D16" s="16">
        <f>'ALL VARS'!H16</f>
        <v>2.0228309928424119E-4</v>
      </c>
      <c r="E16" s="16">
        <f>'ALL VARS'!AV16</f>
        <v>1.5917473632021156E-3</v>
      </c>
      <c r="F16" s="16">
        <f>'ALL VARS'!AX16</f>
        <v>-1.777107714783761E-2</v>
      </c>
      <c r="G16" s="16">
        <f>'ALL VARS'!J16</f>
        <v>34.050000400000002</v>
      </c>
    </row>
    <row r="17" spans="1:17" x14ac:dyDescent="0.25">
      <c r="A17" s="24">
        <f>'ALL VARS'!A17</f>
        <v>43958</v>
      </c>
      <c r="B17" s="16">
        <f>'ALL VARS'!F17</f>
        <v>8.9592894728179693E-3</v>
      </c>
      <c r="C17" s="16">
        <f>'ALL VARS'!G17</f>
        <v>2.0228309928424119E-4</v>
      </c>
      <c r="D17" s="16">
        <f>'ALL VARS'!H17</f>
        <v>1.2895694256002256E-3</v>
      </c>
      <c r="E17" s="16">
        <f>'ALL VARS'!AV17</f>
        <v>4.2871073565977254E-3</v>
      </c>
      <c r="F17" s="16">
        <f>'ALL VARS'!AX17</f>
        <v>-4.3602062299570234E-2</v>
      </c>
      <c r="G17" s="16">
        <f>'ALL VARS'!J17</f>
        <v>35.044000400000002</v>
      </c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1:17" x14ac:dyDescent="0.25">
      <c r="A18" s="24">
        <f>'ALL VARS'!A18</f>
        <v>43957</v>
      </c>
      <c r="B18" s="16">
        <f>'ALL VARS'!F18</f>
        <v>2.0228309928424119E-4</v>
      </c>
      <c r="C18" s="16">
        <f>'ALL VARS'!G18</f>
        <v>1.2895694256002256E-3</v>
      </c>
      <c r="D18" s="16">
        <f>'ALL VARS'!H18</f>
        <v>4.5167588335029351E-3</v>
      </c>
      <c r="E18" s="16">
        <f>'ALL VARS'!AV18</f>
        <v>-4.7807699933113644E-2</v>
      </c>
      <c r="F18" s="16">
        <f>'ALL VARS'!AX18</f>
        <v>0.44865176705873844</v>
      </c>
      <c r="G18" s="16">
        <f>'ALL VARS'!J18</f>
        <v>35.830000499999997</v>
      </c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4">
        <f>'ALL VARS'!A19</f>
        <v>43956</v>
      </c>
      <c r="B19" s="16">
        <f>'ALL VARS'!F19</f>
        <v>1.2895694256002256E-3</v>
      </c>
      <c r="C19" s="16">
        <f>'ALL VARS'!G19</f>
        <v>4.5167588335029351E-3</v>
      </c>
      <c r="D19" s="16">
        <f>'ALL VARS'!H19</f>
        <v>8.5292501975474666E-3</v>
      </c>
      <c r="E19" s="16">
        <f>'ALL VARS'!AV19</f>
        <v>-3.4099239780294166E-3</v>
      </c>
      <c r="F19" s="16">
        <f>'ALL VARS'!AX19</f>
        <v>2.7976750650947034E-2</v>
      </c>
      <c r="G19" s="16">
        <f>'ALL VARS'!J19</f>
        <v>37.010000400000003</v>
      </c>
      <c r="I19" s="18" t="s">
        <v>36</v>
      </c>
      <c r="J19" s="18">
        <v>-2.1400444736299935E-2</v>
      </c>
      <c r="K19" s="18">
        <v>0.11609611939019554</v>
      </c>
      <c r="L19" s="18">
        <v>-0.18433385068086289</v>
      </c>
      <c r="M19" s="18">
        <v>0.85463872745707259</v>
      </c>
      <c r="N19" s="18">
        <v>-0.25569189904587936</v>
      </c>
      <c r="O19" s="18">
        <v>0.2128910095732795</v>
      </c>
      <c r="P19" s="18">
        <v>-0.25569189904587936</v>
      </c>
      <c r="Q19" s="18">
        <v>0.2128910095732795</v>
      </c>
    </row>
    <row r="20" spans="1:17" x14ac:dyDescent="0.25">
      <c r="A20" s="24">
        <f>'ALL VARS'!A20</f>
        <v>43955</v>
      </c>
      <c r="B20" s="16">
        <f>'ALL VARS'!F20</f>
        <v>4.5167588335029351E-3</v>
      </c>
      <c r="C20" s="16">
        <f>'ALL VARS'!G20</f>
        <v>8.5292501975474666E-3</v>
      </c>
      <c r="D20" s="16">
        <f>'ALL VARS'!H20</f>
        <v>-1.0852015661224153E-2</v>
      </c>
      <c r="E20" s="16">
        <f>'ALL VARS'!AV20</f>
        <v>2.633635457388734E-2</v>
      </c>
      <c r="F20" s="16">
        <f>'ALL VARS'!AX20</f>
        <v>-0.19537647063502944</v>
      </c>
      <c r="G20" s="16">
        <f>'ALL VARS'!J20</f>
        <v>37.796000499999998</v>
      </c>
      <c r="I20" s="18" t="s">
        <v>37</v>
      </c>
      <c r="J20" s="18">
        <v>-0.1004651905155084</v>
      </c>
      <c r="K20" s="18">
        <v>0.11446641725636773</v>
      </c>
      <c r="L20" s="18">
        <v>-0.87768266818816276</v>
      </c>
      <c r="M20" s="18">
        <v>0.38510917126183564</v>
      </c>
      <c r="N20" s="18">
        <v>-0.33146777276776573</v>
      </c>
      <c r="O20" s="18">
        <v>0.13053739173674897</v>
      </c>
      <c r="P20" s="18">
        <v>-0.33146777276776573</v>
      </c>
      <c r="Q20" s="18">
        <v>0.13053739173674897</v>
      </c>
    </row>
    <row r="21" spans="1:17" x14ac:dyDescent="0.25">
      <c r="A21" s="24">
        <f>'ALL VARS'!A21</f>
        <v>43952</v>
      </c>
      <c r="B21" s="16">
        <f>'ALL VARS'!F21</f>
        <v>8.5292501975474666E-3</v>
      </c>
      <c r="C21" s="16">
        <f>'ALL VARS'!G21</f>
        <v>-1.0852015661224153E-2</v>
      </c>
      <c r="D21" s="16">
        <f>'ALL VARS'!H21</f>
        <v>-2.9379858648651246E-2</v>
      </c>
      <c r="E21" s="16">
        <f>'ALL VARS'!AV21</f>
        <v>-3.4533926186746367E-3</v>
      </c>
      <c r="F21" s="16">
        <f>'ALL VARS'!AX21</f>
        <v>2.5287495816533102E-2</v>
      </c>
      <c r="G21" s="16">
        <f>'ALL VARS'!J21</f>
        <v>37.892000799999991</v>
      </c>
      <c r="I21" s="18" t="s">
        <v>16</v>
      </c>
      <c r="J21" s="18">
        <v>7.0615196417166029E-2</v>
      </c>
      <c r="K21" s="18">
        <v>4.6233664165574076E-2</v>
      </c>
      <c r="L21" s="18">
        <v>1.5273545303326104</v>
      </c>
      <c r="M21" s="18">
        <v>0.13416950433661803</v>
      </c>
      <c r="N21" s="18">
        <v>-2.2688115289631869E-2</v>
      </c>
      <c r="O21" s="18">
        <v>0.16391850812396391</v>
      </c>
      <c r="P21" s="18">
        <v>-2.2688115289631869E-2</v>
      </c>
      <c r="Q21" s="18">
        <v>0.16391850812396391</v>
      </c>
    </row>
    <row r="22" spans="1:17" x14ac:dyDescent="0.25">
      <c r="A22" s="24">
        <f>'ALL VARS'!A22</f>
        <v>43951</v>
      </c>
      <c r="B22" s="16">
        <f>'ALL VARS'!F22</f>
        <v>-1.0852015661224153E-2</v>
      </c>
      <c r="C22" s="16">
        <f>'ALL VARS'!G22</f>
        <v>-2.9379858648651246E-2</v>
      </c>
      <c r="D22" s="16">
        <f>'ALL VARS'!H22</f>
        <v>2.904386379946032E-2</v>
      </c>
      <c r="E22" s="16">
        <f>'ALL VARS'!AV22</f>
        <v>-2.4350827829411996E-3</v>
      </c>
      <c r="F22" s="16">
        <f>'ALL VARS'!AX22</f>
        <v>1.6379604584817607E-2</v>
      </c>
      <c r="G22" s="16">
        <f>'ALL VARS'!J22</f>
        <v>38.488000700000001</v>
      </c>
      <c r="I22" s="18" t="s">
        <v>84</v>
      </c>
      <c r="J22" s="18">
        <v>6.5558176660950448E-3</v>
      </c>
      <c r="K22" s="18">
        <v>3.6370306802829835E-3</v>
      </c>
      <c r="L22" s="18">
        <v>1.8025192093196645</v>
      </c>
      <c r="M22" s="18">
        <v>7.8642795454175449E-2</v>
      </c>
      <c r="N22" s="18">
        <v>-7.8400740237336963E-4</v>
      </c>
      <c r="O22" s="18">
        <v>1.3895642734563458E-2</v>
      </c>
      <c r="P22" s="18">
        <v>-7.8400740237336963E-4</v>
      </c>
      <c r="Q22" s="18">
        <v>1.3895642734563458E-2</v>
      </c>
    </row>
    <row r="23" spans="1:17" ht="15.75" thickBot="1" x14ac:dyDescent="0.3">
      <c r="A23" s="24">
        <f>'ALL VARS'!A23</f>
        <v>43950</v>
      </c>
      <c r="B23" s="16">
        <f>'ALL VARS'!F23</f>
        <v>-2.9379858648651246E-2</v>
      </c>
      <c r="C23" s="16">
        <f>'ALL VARS'!G23</f>
        <v>2.904386379946032E-2</v>
      </c>
      <c r="D23" s="16">
        <f>'ALL VARS'!H23</f>
        <v>1.0667882350970269E-2</v>
      </c>
      <c r="E23" s="16">
        <f>'ALL VARS'!AV23</f>
        <v>-1.0334566524224502E-2</v>
      </c>
      <c r="F23" s="16">
        <f>'ALL VARS'!AX23</f>
        <v>5.9584029217364776E-2</v>
      </c>
      <c r="G23" s="16">
        <f>'ALL VARS'!J23</f>
        <v>39.449000699999999</v>
      </c>
      <c r="I23" s="28" t="s">
        <v>4</v>
      </c>
      <c r="J23" s="28">
        <v>1.9242195325517553E-4</v>
      </c>
      <c r="K23" s="28">
        <v>7.3281845278568093E-5</v>
      </c>
      <c r="L23" s="28">
        <v>2.6257793116933286</v>
      </c>
      <c r="M23" s="28">
        <v>1.2009888524179465E-2</v>
      </c>
      <c r="N23" s="28">
        <v>4.4533202149724913E-5</v>
      </c>
      <c r="O23" s="28">
        <v>3.4031070436062617E-4</v>
      </c>
      <c r="P23" s="28">
        <v>4.4533202149724913E-5</v>
      </c>
      <c r="Q23" s="28">
        <v>3.4031070436062617E-4</v>
      </c>
    </row>
    <row r="24" spans="1:17" x14ac:dyDescent="0.25">
      <c r="A24" s="24">
        <f>'ALL VARS'!A24</f>
        <v>43949</v>
      </c>
      <c r="B24" s="16">
        <f>'ALL VARS'!F24</f>
        <v>2.904386379946032E-2</v>
      </c>
      <c r="C24" s="16">
        <f>'ALL VARS'!G24</f>
        <v>1.0667882350970269E-2</v>
      </c>
      <c r="D24" s="16">
        <f>'ALL VARS'!H24</f>
        <v>1.5373998778727917E-2</v>
      </c>
      <c r="E24" s="16">
        <f>'ALL VARS'!AV24</f>
        <v>2.998102294521794E-3</v>
      </c>
      <c r="F24" s="16">
        <f>'ALL VARS'!AX24</f>
        <v>-1.6029379443608792E-2</v>
      </c>
      <c r="G24" s="16">
        <f>'ALL VARS'!J24</f>
        <v>39.868000500000008</v>
      </c>
    </row>
    <row r="25" spans="1:17" x14ac:dyDescent="0.25">
      <c r="A25" s="24">
        <f>'ALL VARS'!A25</f>
        <v>43948</v>
      </c>
      <c r="B25" s="16">
        <f>'ALL VARS'!F25</f>
        <v>1.0667882350970269E-2</v>
      </c>
      <c r="C25" s="16">
        <f>'ALL VARS'!G25</f>
        <v>1.5373998778727917E-2</v>
      </c>
      <c r="D25" s="16">
        <f>'ALL VARS'!H25</f>
        <v>1.1879839917270655E-2</v>
      </c>
      <c r="E25" s="16">
        <f>'ALL VARS'!AV25</f>
        <v>-4.6071523721334766E-2</v>
      </c>
      <c r="F25" s="16">
        <f>'ALL VARS'!AX25</f>
        <v>0.21001744695972976</v>
      </c>
      <c r="G25" s="16">
        <f>'ALL VARS'!J25</f>
        <v>40.656000200000001</v>
      </c>
    </row>
    <row r="26" spans="1:17" x14ac:dyDescent="0.25">
      <c r="A26" s="24">
        <f>'ALL VARS'!A26</f>
        <v>43945</v>
      </c>
      <c r="B26" s="16">
        <f>'ALL VARS'!F26</f>
        <v>1.5373998778727917E-2</v>
      </c>
      <c r="C26" s="16">
        <f>'ALL VARS'!G26</f>
        <v>1.1879839917270655E-2</v>
      </c>
      <c r="D26" s="16">
        <f>'ALL VARS'!H26</f>
        <v>-2.5965891780394849E-3</v>
      </c>
      <c r="E26" s="16">
        <f>'ALL VARS'!AV26</f>
        <v>-0.1995542343921578</v>
      </c>
      <c r="F26" s="16">
        <f>'ALL VARS'!AX26</f>
        <v>0.79512564572441691</v>
      </c>
      <c r="G26" s="16">
        <f>'ALL VARS'!J26</f>
        <v>41.230000000000004</v>
      </c>
    </row>
    <row r="27" spans="1:17" x14ac:dyDescent="0.25">
      <c r="A27" s="24">
        <f>'ALL VARS'!A27</f>
        <v>43944</v>
      </c>
      <c r="B27" s="16">
        <f>'ALL VARS'!F27</f>
        <v>1.1879839917270655E-2</v>
      </c>
      <c r="C27" s="16">
        <f>'ALL VARS'!G27</f>
        <v>-2.5965891780394849E-3</v>
      </c>
      <c r="D27" s="16">
        <f>'ALL VARS'!H27</f>
        <v>2.4971169199914333E-2</v>
      </c>
      <c r="E27" s="16">
        <f>'ALL VARS'!AV27</f>
        <v>-2.493548067182477E-3</v>
      </c>
      <c r="F27" s="16">
        <f>'ALL VARS'!AX27</f>
        <v>9.4443365294477246E-3</v>
      </c>
      <c r="G27" s="16">
        <f>'ALL VARS'!J27</f>
        <v>41.42699970000001</v>
      </c>
    </row>
    <row r="28" spans="1:17" x14ac:dyDescent="0.25">
      <c r="A28" s="24">
        <f>'ALL VARS'!A28</f>
        <v>43943</v>
      </c>
      <c r="B28" s="16">
        <f>'ALL VARS'!F28</f>
        <v>-2.5965891780394849E-3</v>
      </c>
      <c r="C28" s="16">
        <f>'ALL VARS'!G28</f>
        <v>2.4971169199914333E-2</v>
      </c>
      <c r="D28" s="16">
        <f>'ALL VARS'!H28</f>
        <v>-3.1150323670921017E-2</v>
      </c>
      <c r="E28" s="16">
        <f>'ALL VARS'!AV28</f>
        <v>-0.11971727008879195</v>
      </c>
      <c r="F28" s="16">
        <f>'ALL VARS'!AX28</f>
        <v>0.39692371205851362</v>
      </c>
      <c r="G28" s="16">
        <f>'ALL VARS'!J28</f>
        <v>41.898999799999999</v>
      </c>
    </row>
    <row r="29" spans="1:17" x14ac:dyDescent="0.25">
      <c r="A29" s="24">
        <f>'ALL VARS'!A29</f>
        <v>43942</v>
      </c>
      <c r="B29" s="16">
        <f>'ALL VARS'!F29</f>
        <v>2.4971169199914333E-2</v>
      </c>
      <c r="C29" s="16">
        <f>'ALL VARS'!G29</f>
        <v>-3.1150323670921017E-2</v>
      </c>
      <c r="D29" s="16">
        <f>'ALL VARS'!H29</f>
        <v>1.9776887879946956E-3</v>
      </c>
      <c r="E29" s="16">
        <f>'ALL VARS'!AV29</f>
        <v>9.7533360602356078E-3</v>
      </c>
      <c r="F29" s="16">
        <f>'ALL VARS'!AX29</f>
        <v>-3.2503080337648371E-2</v>
      </c>
      <c r="G29" s="16">
        <f>'ALL VARS'!J29</f>
        <v>41.881999999999998</v>
      </c>
    </row>
    <row r="30" spans="1:17" x14ac:dyDescent="0.25">
      <c r="A30" s="24">
        <f>'ALL VARS'!A30</f>
        <v>43941</v>
      </c>
      <c r="B30" s="16">
        <f>'ALL VARS'!F30</f>
        <v>-3.1150323670921017E-2</v>
      </c>
      <c r="C30" s="16">
        <f>'ALL VARS'!G30</f>
        <v>1.9776887879946956E-3</v>
      </c>
      <c r="D30" s="16">
        <f>'ALL VARS'!H30</f>
        <v>3.3138402111040632E-2</v>
      </c>
      <c r="E30" s="16">
        <f>'ALL VARS'!AV30</f>
        <v>2.7321142378851016E-2</v>
      </c>
      <c r="F30" s="16">
        <f>'ALL VARS'!AX30</f>
        <v>-8.2933582161080266E-2</v>
      </c>
      <c r="G30" s="16">
        <f>'ALL VARS'!J30</f>
        <v>42.178999699999999</v>
      </c>
    </row>
    <row r="31" spans="1:17" x14ac:dyDescent="0.25">
      <c r="A31" s="24">
        <f>'ALL VARS'!A31</f>
        <v>43938</v>
      </c>
      <c r="B31" s="16">
        <f>'ALL VARS'!F31</f>
        <v>1.9776887879946956E-3</v>
      </c>
      <c r="C31" s="16">
        <f>'ALL VARS'!G31</f>
        <v>3.3138402111040632E-2</v>
      </c>
      <c r="D31" s="16">
        <f>'ALL VARS'!H31</f>
        <v>-4.2482631253185207E-3</v>
      </c>
      <c r="E31" s="16">
        <f>'ALL VARS'!AV31</f>
        <v>4.8962695649570925E-2</v>
      </c>
      <c r="F31" s="16">
        <f>'ALL VARS'!AX31</f>
        <v>-8.6150328828223058E-2</v>
      </c>
      <c r="G31" s="16">
        <f>'ALL VARS'!J31</f>
        <v>43.4549995</v>
      </c>
    </row>
    <row r="32" spans="1:17" x14ac:dyDescent="0.25">
      <c r="A32" s="24">
        <f>'ALL VARS'!A32</f>
        <v>43937</v>
      </c>
      <c r="B32" s="16">
        <f>'ALL VARS'!F32</f>
        <v>3.3138402111040632E-2</v>
      </c>
      <c r="C32" s="16">
        <f>'ALL VARS'!G32</f>
        <v>-4.2482631253185207E-3</v>
      </c>
      <c r="D32" s="16">
        <f>'ALL VARS'!H32</f>
        <v>-2.1026256366684357E-2</v>
      </c>
      <c r="E32" s="16">
        <f>'ALL VARS'!AV32</f>
        <v>-2.3785872900414697E-3</v>
      </c>
      <c r="F32" s="16">
        <f>'ALL VARS'!AX32</f>
        <v>1.5344151017056032E-4</v>
      </c>
      <c r="G32" s="16">
        <f>'ALL VARS'!J32</f>
        <v>45.149999499999993</v>
      </c>
    </row>
    <row r="33" spans="1:7" x14ac:dyDescent="0.25">
      <c r="A33" s="24">
        <f>'ALL VARS'!A33</f>
        <v>43936</v>
      </c>
      <c r="B33" s="16">
        <f>'ALL VARS'!F33</f>
        <v>-4.2482631253185207E-3</v>
      </c>
      <c r="C33" s="16">
        <f>'ALL VARS'!G33</f>
        <v>-2.1026256366684357E-2</v>
      </c>
      <c r="D33" s="16">
        <f>'ALL VARS'!H33</f>
        <v>1.2965422809946055E-2</v>
      </c>
      <c r="E33" s="16">
        <f>'ALL VARS'!AV33</f>
        <v>-5.643426022473759E-3</v>
      </c>
      <c r="F33" s="16">
        <f>'ALL VARS'!AX33</f>
        <v>-6.803096942681712E-3</v>
      </c>
      <c r="G33" s="16">
        <f>'ALL VARS'!J33</f>
        <v>46.419999600000004</v>
      </c>
    </row>
    <row r="34" spans="1:7" x14ac:dyDescent="0.25">
      <c r="A34" s="24">
        <f>'ALL VARS'!A34</f>
        <v>43935</v>
      </c>
      <c r="B34" s="16">
        <f>'ALL VARS'!F34</f>
        <v>-2.1026256366684357E-2</v>
      </c>
      <c r="C34" s="16">
        <f>'ALL VARS'!G34</f>
        <v>1.2965422809946055E-2</v>
      </c>
      <c r="D34" s="16">
        <f>'ALL VARS'!H34</f>
        <v>-6.4023280464834062E-3</v>
      </c>
      <c r="E34" s="16">
        <f>'ALL VARS'!AV34</f>
        <v>-9.3825945811898862E-2</v>
      </c>
      <c r="F34" s="16">
        <f>'ALL VARS'!AX34</f>
        <v>-0.29437805923446803</v>
      </c>
      <c r="G34" s="16">
        <f>'ALL VARS'!J34</f>
        <v>48.352000000000004</v>
      </c>
    </row>
    <row r="35" spans="1:7" x14ac:dyDescent="0.25">
      <c r="A35" s="24">
        <f>'ALL VARS'!A35</f>
        <v>43934</v>
      </c>
      <c r="B35" s="16">
        <f>'ALL VARS'!F35</f>
        <v>1.2965422809946055E-2</v>
      </c>
      <c r="C35" s="16">
        <f>'ALL VARS'!G35</f>
        <v>-6.4023280464834062E-3</v>
      </c>
      <c r="D35" s="16">
        <f>'ALL VARS'!H35</f>
        <v>1.729890853793448E-2</v>
      </c>
      <c r="E35" s="16">
        <f>'ALL VARS'!AV35</f>
        <v>1.5354369866903977E-2</v>
      </c>
      <c r="F35" s="16">
        <f>'ALL VARS'!AX35</f>
        <v>8.5592801024538853E-2</v>
      </c>
      <c r="G35" s="16">
        <f>'ALL VARS'!J35</f>
        <v>50.789000299999998</v>
      </c>
    </row>
    <row r="36" spans="1:7" x14ac:dyDescent="0.25">
      <c r="A36" s="24">
        <f>'ALL VARS'!A36</f>
        <v>43930</v>
      </c>
      <c r="B36" s="16">
        <f>'ALL VARS'!F36</f>
        <v>-6.4023280464834062E-3</v>
      </c>
      <c r="C36" s="16">
        <f>'ALL VARS'!G36</f>
        <v>1.729890853793448E-2</v>
      </c>
      <c r="D36" s="16">
        <f>'ALL VARS'!H36</f>
        <v>2.2888078899761091E-2</v>
      </c>
      <c r="E36" s="16">
        <f>'ALL VARS'!AV36</f>
        <v>-0.10047556734432933</v>
      </c>
      <c r="F36" s="16">
        <f>'ALL VARS'!AX36</f>
        <v>-0.75431946638504876</v>
      </c>
      <c r="G36" s="16">
        <f>'ALL VARS'!J36</f>
        <v>52.722000499999993</v>
      </c>
    </row>
    <row r="37" spans="1:7" x14ac:dyDescent="0.25">
      <c r="A37" s="24">
        <f>'ALL VARS'!A37</f>
        <v>43929</v>
      </c>
      <c r="B37" s="16">
        <f>'ALL VARS'!F37</f>
        <v>1.729890853793448E-2</v>
      </c>
      <c r="C37" s="16">
        <f>'ALL VARS'!G37</f>
        <v>2.2888078899761091E-2</v>
      </c>
      <c r="D37" s="16">
        <f>'ALL VARS'!H37</f>
        <v>1.5743313464585205E-3</v>
      </c>
      <c r="E37" s="16">
        <f>'ALL VARS'!AV37</f>
        <v>1.3367409267039266E-2</v>
      </c>
      <c r="F37" s="16">
        <f>'ALL VARS'!AX37</f>
        <v>0.12789257836202989</v>
      </c>
      <c r="G37" s="16">
        <f>'ALL VARS'!J37</f>
        <v>54.782000800000006</v>
      </c>
    </row>
    <row r="38" spans="1:7" x14ac:dyDescent="0.25">
      <c r="A38" s="24">
        <f>'ALL VARS'!A38</f>
        <v>43928</v>
      </c>
      <c r="B38" s="16">
        <f>'ALL VARS'!F38</f>
        <v>2.2888078899761091E-2</v>
      </c>
      <c r="C38" s="16">
        <f>'ALL VARS'!G38</f>
        <v>1.5743313464585205E-3</v>
      </c>
      <c r="D38" s="16">
        <f>'ALL VARS'!H38</f>
        <v>5.0578545857092143E-2</v>
      </c>
      <c r="E38" s="16">
        <f>'ALL VARS'!AV38</f>
        <v>-1.9137176105298935E-2</v>
      </c>
      <c r="F38" s="16">
        <f>'ALL VARS'!AX38</f>
        <v>-0.21174312208249169</v>
      </c>
      <c r="G38" s="16">
        <f>'ALL VARS'!J38</f>
        <v>56.279000499999995</v>
      </c>
    </row>
    <row r="39" spans="1:7" x14ac:dyDescent="0.25">
      <c r="A39" s="24">
        <f>'ALL VARS'!A39</f>
        <v>43927</v>
      </c>
      <c r="B39" s="16">
        <f>'ALL VARS'!F39</f>
        <v>1.5743313464585205E-3</v>
      </c>
      <c r="C39" s="16">
        <f>'ALL VARS'!G39</f>
        <v>5.0578545857092143E-2</v>
      </c>
      <c r="D39" s="16">
        <f>'ALL VARS'!H39</f>
        <v>-1.2177617796472343E-2</v>
      </c>
      <c r="E39" s="16">
        <f>'ALL VARS'!AV39</f>
        <v>-7.1728361990186446E-3</v>
      </c>
      <c r="F39" s="16">
        <f>'ALL VARS'!AX39</f>
        <v>-9.1091370805091151E-2</v>
      </c>
      <c r="G39" s="16">
        <f>'ALL VARS'!J39</f>
        <v>57.914000299999998</v>
      </c>
    </row>
    <row r="40" spans="1:7" x14ac:dyDescent="0.25">
      <c r="A40" s="24">
        <f>'ALL VARS'!A40</f>
        <v>43924</v>
      </c>
      <c r="B40" s="16">
        <f>'ALL VARS'!F40</f>
        <v>5.0578545857092143E-2</v>
      </c>
      <c r="C40" s="16">
        <f>'ALL VARS'!G40</f>
        <v>-1.2177617796472343E-2</v>
      </c>
      <c r="D40" s="16">
        <f>'ALL VARS'!H40</f>
        <v>1.7194200807451526E-2</v>
      </c>
      <c r="E40" s="16">
        <f>'ALL VARS'!AV40</f>
        <v>-2.4249379151290128E-3</v>
      </c>
      <c r="F40" s="16">
        <f>'ALL VARS'!AX40</f>
        <v>-3.5461058955882689E-2</v>
      </c>
      <c r="G40" s="16">
        <f>'ALL VARS'!J40</f>
        <v>59.8380005</v>
      </c>
    </row>
    <row r="41" spans="1:7" x14ac:dyDescent="0.25">
      <c r="A41" s="24">
        <f>'ALL VARS'!A41</f>
        <v>43923</v>
      </c>
      <c r="B41" s="16">
        <f>'ALL VARS'!F41</f>
        <v>-1.2177617796472343E-2</v>
      </c>
      <c r="C41" s="16">
        <f>'ALL VARS'!G41</f>
        <v>1.7194200807451526E-2</v>
      </c>
      <c r="D41" s="16">
        <f>'ALL VARS'!H41</f>
        <v>-3.7551904604495374E-2</v>
      </c>
      <c r="E41" s="16">
        <f>'ALL VARS'!AV41</f>
        <v>-0.12044132644667442</v>
      </c>
      <c r="F41" s="16">
        <f>'ALL VARS'!AX41</f>
        <v>-2.0152834693273038</v>
      </c>
      <c r="G41" s="16">
        <f>'ALL VARS'!J41</f>
        <v>61.947000500000001</v>
      </c>
    </row>
    <row r="42" spans="1:7" x14ac:dyDescent="0.25">
      <c r="A42" s="24">
        <f>'ALL VARS'!A42</f>
        <v>43922</v>
      </c>
      <c r="B42" s="16">
        <f>'ALL VARS'!F42</f>
        <v>1.7194200807451526E-2</v>
      </c>
      <c r="C42" s="16">
        <f>'ALL VARS'!G42</f>
        <v>-3.7551904604495374E-2</v>
      </c>
      <c r="D42" s="16">
        <f>'ALL VARS'!H42</f>
        <v>2.6099613068988042E-2</v>
      </c>
      <c r="E42" s="16">
        <f>'ALL VARS'!AV42</f>
        <v>-6.2890214855230164E-2</v>
      </c>
      <c r="F42" s="16">
        <f>'ALL VARS'!AX42</f>
        <v>-1.1742540860638502</v>
      </c>
      <c r="G42" s="16">
        <f>'ALL VARS'!J42</f>
        <v>63.886000100000004</v>
      </c>
    </row>
    <row r="43" spans="1:7" x14ac:dyDescent="0.25">
      <c r="A43" s="24">
        <f>'ALL VARS'!A43</f>
        <v>43921</v>
      </c>
      <c r="B43" s="16">
        <f>'ALL VARS'!F43</f>
        <v>-3.7551904604495374E-2</v>
      </c>
      <c r="C43" s="16">
        <f>'ALL VARS'!G43</f>
        <v>2.6099613068988042E-2</v>
      </c>
      <c r="D43" s="16">
        <f>'ALL VARS'!H43</f>
        <v>2.7648809446036929E-2</v>
      </c>
      <c r="E43" s="16">
        <f>'ALL VARS'!AV43</f>
        <v>1.5601000342658093E-2</v>
      </c>
      <c r="F43" s="16">
        <f>'ALL VARS'!AX43</f>
        <v>0.32619338127690278</v>
      </c>
      <c r="G43" s="16">
        <f>'ALL VARS'!J43</f>
        <v>66.123000399999995</v>
      </c>
    </row>
    <row r="44" spans="1:7" x14ac:dyDescent="0.25">
      <c r="A44" s="24">
        <f>'ALL VARS'!A44</f>
        <v>43920</v>
      </c>
      <c r="B44" s="16">
        <f>'ALL VARS'!F44</f>
        <v>2.6099613068988042E-2</v>
      </c>
      <c r="C44" s="16">
        <f>'ALL VARS'!G44</f>
        <v>2.7648809446036929E-2</v>
      </c>
      <c r="D44" s="16">
        <f>'ALL VARS'!H44</f>
        <v>-5.1117326046437227E-2</v>
      </c>
      <c r="E44" s="16">
        <f>'ALL VARS'!AV44</f>
        <v>-1.6716709220067533E-2</v>
      </c>
      <c r="F44" s="16">
        <f>'ALL VARS'!AX44</f>
        <v>-0.39233266304205572</v>
      </c>
      <c r="G44" s="16">
        <f>'ALL VARS'!J44</f>
        <v>68.684000400000002</v>
      </c>
    </row>
    <row r="45" spans="1:7" x14ac:dyDescent="0.25">
      <c r="A45" s="24">
        <f>'ALL VARS'!A45</f>
        <v>43917</v>
      </c>
      <c r="B45" s="16">
        <f>'ALL VARS'!F45</f>
        <v>2.7648809446036929E-2</v>
      </c>
      <c r="C45" s="16">
        <f>'ALL VARS'!G45</f>
        <v>-5.1117326046437227E-2</v>
      </c>
      <c r="D45" s="16">
        <f>'ALL VARS'!H45</f>
        <v>1.7657086927428463E-2</v>
      </c>
      <c r="E45" s="16">
        <f>'ALL VARS'!AV45</f>
        <v>1.555485781773594E-2</v>
      </c>
      <c r="F45" s="16">
        <f>'ALL VARS'!AX45</f>
        <v>0.35307180774127456</v>
      </c>
      <c r="G45" s="16">
        <f>'ALL VARS'!J45</f>
        <v>67.91300050000001</v>
      </c>
    </row>
    <row r="46" spans="1:7" x14ac:dyDescent="0.25">
      <c r="A46" s="24">
        <f>'ALL VARS'!A46</f>
        <v>43916</v>
      </c>
      <c r="B46" s="16">
        <f>'ALL VARS'!F46</f>
        <v>-5.1117326046437227E-2</v>
      </c>
      <c r="C46" s="16">
        <f>'ALL VARS'!G46</f>
        <v>1.7657086927428463E-2</v>
      </c>
      <c r="D46" s="16">
        <f>'ALL VARS'!H46</f>
        <v>4.5191001874909938E-2</v>
      </c>
      <c r="E46" s="16">
        <f>'ALL VARS'!AV46</f>
        <v>-0.10756176353482122</v>
      </c>
      <c r="F46" s="16">
        <f>'ALL VARS'!AX46</f>
        <v>-2.5971316564015772</v>
      </c>
      <c r="G46" s="16">
        <f>'ALL VARS'!J46</f>
        <v>69.360000600000006</v>
      </c>
    </row>
    <row r="47" spans="1:7" x14ac:dyDescent="0.25">
      <c r="A47" s="24">
        <f>'ALL VARS'!A47</f>
        <v>43915</v>
      </c>
      <c r="B47" s="16">
        <f>'ALL VARS'!F47</f>
        <v>1.7657086927428463E-2</v>
      </c>
      <c r="C47" s="16">
        <f>'ALL VARS'!G47</f>
        <v>4.5191001874909938E-2</v>
      </c>
      <c r="D47" s="16">
        <f>'ALL VARS'!H47</f>
        <v>0.11957070036068938</v>
      </c>
      <c r="E47" s="16">
        <f>'ALL VARS'!AV47</f>
        <v>-8.6363244862785862E-2</v>
      </c>
      <c r="F47" s="16">
        <f>'ALL VARS'!AX47</f>
        <v>-1.998487949720251</v>
      </c>
      <c r="G47" s="16">
        <f>'ALL VARS'!J47</f>
        <v>68.355000700000005</v>
      </c>
    </row>
    <row r="48" spans="1:7" x14ac:dyDescent="0.25">
      <c r="A48" s="24">
        <f>'ALL VARS'!A48</f>
        <v>43914</v>
      </c>
      <c r="B48" s="16">
        <f>'ALL VARS'!F48</f>
        <v>4.5191001874909938E-2</v>
      </c>
      <c r="C48" s="16">
        <f>'ALL VARS'!G48</f>
        <v>0.11957070036068938</v>
      </c>
      <c r="D48" s="16">
        <f>'ALL VARS'!H48</f>
        <v>-5.2591151998453836E-2</v>
      </c>
      <c r="E48" s="16">
        <f>'ALL VARS'!AV48</f>
        <v>2.3359486540013113E-2</v>
      </c>
      <c r="F48" s="16">
        <f>'ALL VARS'!AX48</f>
        <v>0.50698242424553286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7-5BD5-4D29-A9D9-8622EC487158}">
  <sheetPr codeName="Feuil13"/>
  <dimension ref="A1:Q48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VARS'!AZ1</f>
        <v>Sent_t_+_1_k, k=8</v>
      </c>
      <c r="F1" s="16" t="str">
        <f>'ALL VARS'!BB1</f>
        <v>Sent_t_+_1_k, k=8 * (VIX_10_t  minus VIX_bar_10)</v>
      </c>
      <c r="G1" s="16" t="str">
        <f>'ALL VARS'!J1</f>
        <v>VIX_10_t</v>
      </c>
    </row>
    <row r="2" spans="1:14" x14ac:dyDescent="0.25">
      <c r="A2" s="24">
        <f>'ALL VARS'!A2</f>
        <v>43980</v>
      </c>
      <c r="B2" s="16">
        <f>'ALL VARS'!F2</f>
        <v>2.3093919546915233E-2</v>
      </c>
      <c r="C2" s="16">
        <f>'ALL VARS'!G2</f>
        <v>-4.5798180601685388E-3</v>
      </c>
      <c r="D2" s="16">
        <f>'ALL VARS'!H2</f>
        <v>-6.0894480094293875E-4</v>
      </c>
      <c r="E2" s="16">
        <f>'ALL VARS'!AZ2</f>
        <v>-1.3136615279900534E-2</v>
      </c>
      <c r="F2" s="16">
        <f>'ALL VARS'!BB2</f>
        <v>0.20744697597913692</v>
      </c>
      <c r="G2" s="16">
        <f>'ALL VARS'!J2</f>
        <v>29.423000200000001</v>
      </c>
      <c r="I2" s="18" t="s">
        <v>39</v>
      </c>
    </row>
    <row r="3" spans="1:14" ht="15.75" thickBot="1" x14ac:dyDescent="0.3">
      <c r="A3" s="24">
        <f>'ALL VARS'!A3</f>
        <v>43979</v>
      </c>
      <c r="B3" s="16">
        <f>'ALL VARS'!F3</f>
        <v>-4.5798180601685388E-3</v>
      </c>
      <c r="C3" s="16">
        <f>'ALL VARS'!G3</f>
        <v>-6.0894480094293875E-4</v>
      </c>
      <c r="D3" s="16">
        <f>'ALL VARS'!H3</f>
        <v>8.1792696244475296E-3</v>
      </c>
      <c r="E3" s="16">
        <f>'ALL VARS'!AZ3</f>
        <v>-3.9793148523069597E-3</v>
      </c>
      <c r="F3" s="16">
        <f>'ALL VARS'!BB3</f>
        <v>6.0177224325764118E-2</v>
      </c>
      <c r="G3" s="16">
        <f>'ALL VARS'!J3</f>
        <v>30.092000099999996</v>
      </c>
    </row>
    <row r="4" spans="1:14" x14ac:dyDescent="0.25">
      <c r="A4" s="24">
        <f>'ALL VARS'!A4</f>
        <v>43978</v>
      </c>
      <c r="B4" s="16">
        <f>'ALL VARS'!F4</f>
        <v>-6.0894480094293875E-4</v>
      </c>
      <c r="C4" s="16">
        <f>'ALL VARS'!G4</f>
        <v>8.1792696244475296E-3</v>
      </c>
      <c r="D4" s="16">
        <f>'ALL VARS'!H4</f>
        <v>4.8223739412853626E-3</v>
      </c>
      <c r="E4" s="16">
        <f>'ALL VARS'!AZ4</f>
        <v>1.5311548504140444E-3</v>
      </c>
      <c r="F4" s="16">
        <f>'ALL VARS'!BB4</f>
        <v>-2.2325016945229995E-2</v>
      </c>
      <c r="G4" s="16">
        <f>'ALL VARS'!J4</f>
        <v>30.634000099999998</v>
      </c>
      <c r="I4" s="26" t="s">
        <v>40</v>
      </c>
      <c r="J4" s="26"/>
    </row>
    <row r="5" spans="1:14" x14ac:dyDescent="0.25">
      <c r="A5" s="24">
        <f>'ALL VARS'!A5</f>
        <v>43977</v>
      </c>
      <c r="B5" s="16">
        <f>'ALL VARS'!F5</f>
        <v>8.1792696244475296E-3</v>
      </c>
      <c r="C5" s="16">
        <f>'ALL VARS'!G5</f>
        <v>4.8223739412853626E-3</v>
      </c>
      <c r="D5" s="16">
        <f>'ALL VARS'!H5</f>
        <v>1.0849210535487055E-2</v>
      </c>
      <c r="E5" s="16">
        <f>'ALL VARS'!AZ5</f>
        <v>-3.5602382730395791E-3</v>
      </c>
      <c r="F5" s="16">
        <f>'ALL VARS'!BB5</f>
        <v>5.2066736360156116E-2</v>
      </c>
      <c r="G5" s="16">
        <f>'ALL VARS'!J5</f>
        <v>30.590000099999997</v>
      </c>
      <c r="I5" s="18" t="s">
        <v>41</v>
      </c>
      <c r="J5" s="18">
        <v>0.32971187676857522</v>
      </c>
    </row>
    <row r="6" spans="1:14" x14ac:dyDescent="0.25">
      <c r="A6" s="24">
        <f>'ALL VARS'!A6</f>
        <v>43976</v>
      </c>
      <c r="B6" s="16">
        <f>'ALL VARS'!F6</f>
        <v>4.8223739412853626E-3</v>
      </c>
      <c r="C6" s="16">
        <f>'ALL VARS'!G6</f>
        <v>1.0849210535487055E-2</v>
      </c>
      <c r="D6" s="16">
        <f>'ALL VARS'!H6</f>
        <v>1.9280759189597432E-3</v>
      </c>
      <c r="E6" s="16">
        <f>'ALL VARS'!AZ6</f>
        <v>2.2715361108688798E-3</v>
      </c>
      <c r="F6" s="16">
        <f>'ALL VARS'!BB6</f>
        <v>-3.324054392695229E-2</v>
      </c>
      <c r="G6" s="16">
        <f>'ALL VARS'!J6</f>
        <v>30.581000099999997</v>
      </c>
      <c r="I6" s="18" t="s">
        <v>42</v>
      </c>
      <c r="J6" s="18">
        <v>0.10870992168225613</v>
      </c>
    </row>
    <row r="7" spans="1:14" x14ac:dyDescent="0.25">
      <c r="A7" s="24">
        <f>'ALL VARS'!A7</f>
        <v>43973</v>
      </c>
      <c r="B7" s="16">
        <f>'ALL VARS'!F7</f>
        <v>1.0849210535487055E-2</v>
      </c>
      <c r="C7" s="16">
        <f>'ALL VARS'!G7</f>
        <v>1.9280759189597432E-3</v>
      </c>
      <c r="D7" s="16">
        <f>'ALL VARS'!H7</f>
        <v>-7.5144837132717695E-3</v>
      </c>
      <c r="E7" s="16">
        <f>'ALL VARS'!AZ7</f>
        <v>-0.21926329805601888</v>
      </c>
      <c r="F7" s="16">
        <f>'ALL VARS'!BB7</f>
        <v>3.2105647963059831</v>
      </c>
      <c r="G7" s="16">
        <f>'ALL VARS'!J7</f>
        <v>30.572000099999997</v>
      </c>
      <c r="I7" s="18" t="s">
        <v>42</v>
      </c>
      <c r="J7" s="18">
        <v>1.5628509137668867E-5</v>
      </c>
    </row>
    <row r="8" spans="1:14" x14ac:dyDescent="0.25">
      <c r="A8" s="24">
        <f>'ALL VARS'!A8</f>
        <v>43972</v>
      </c>
      <c r="B8" s="16">
        <f>'ALL VARS'!F8</f>
        <v>1.9280759189597432E-3</v>
      </c>
      <c r="C8" s="16">
        <f>'ALL VARS'!G8</f>
        <v>-7.5144837132717695E-3</v>
      </c>
      <c r="D8" s="16">
        <f>'ALL VARS'!H8</f>
        <v>7.5307923146686901E-3</v>
      </c>
      <c r="E8" s="16">
        <f>'ALL VARS'!AZ8</f>
        <v>9.4282772560790821E-3</v>
      </c>
      <c r="F8" s="16">
        <f>'ALL VARS'!BB8</f>
        <v>-0.13625283281022088</v>
      </c>
      <c r="G8" s="16">
        <f>'ALL VARS'!J8</f>
        <v>30.763000099999999</v>
      </c>
      <c r="I8" s="18" t="s">
        <v>43</v>
      </c>
      <c r="J8" s="18">
        <v>2.0446776640893047E-2</v>
      </c>
    </row>
    <row r="9" spans="1:14" ht="15.75" thickBot="1" x14ac:dyDescent="0.3">
      <c r="A9" s="24">
        <f>'ALL VARS'!A9</f>
        <v>43971</v>
      </c>
      <c r="B9" s="16">
        <f>'ALL VARS'!F9</f>
        <v>-7.5144837132717695E-3</v>
      </c>
      <c r="C9" s="16">
        <f>'ALL VARS'!G9</f>
        <v>7.5307923146686901E-3</v>
      </c>
      <c r="D9" s="16">
        <f>'ALL VARS'!H9</f>
        <v>1.6845500851389788E-2</v>
      </c>
      <c r="E9" s="16">
        <f>'ALL VARS'!AZ9</f>
        <v>1.5144979162469395E-3</v>
      </c>
      <c r="F9" s="16">
        <f>'ALL VARS'!BB9</f>
        <v>-2.0958393065720591E-2</v>
      </c>
      <c r="G9" s="16">
        <f>'ALL VARS'!J9</f>
        <v>31.375999999999998</v>
      </c>
      <c r="I9" s="28" t="s">
        <v>44</v>
      </c>
      <c r="J9" s="28">
        <v>47</v>
      </c>
    </row>
    <row r="10" spans="1:14" x14ac:dyDescent="0.25">
      <c r="A10" s="24">
        <f>'ALL VARS'!A10</f>
        <v>43970</v>
      </c>
      <c r="B10" s="16">
        <f>'ALL VARS'!F10</f>
        <v>7.5307923146686901E-3</v>
      </c>
      <c r="C10" s="16">
        <f>'ALL VARS'!G10</f>
        <v>1.6845500851389788E-2</v>
      </c>
      <c r="D10" s="16">
        <f>'ALL VARS'!H10</f>
        <v>8.9044014875318926E-3</v>
      </c>
      <c r="E10" s="16">
        <f>'ALL VARS'!AZ10</f>
        <v>8.7596785349484309E-3</v>
      </c>
      <c r="F10" s="16">
        <f>'ALL VARS'!BB10</f>
        <v>-0.11852290937716918</v>
      </c>
      <c r="G10" s="16">
        <f>'ALL VARS'!J10</f>
        <v>31.683999999999997</v>
      </c>
    </row>
    <row r="11" spans="1:14" ht="15.75" thickBot="1" x14ac:dyDescent="0.3">
      <c r="A11" s="24">
        <f>'ALL VARS'!A11</f>
        <v>43966</v>
      </c>
      <c r="B11" s="16">
        <f>'ALL VARS'!F11</f>
        <v>1.6845500851389788E-2</v>
      </c>
      <c r="C11" s="16">
        <f>'ALL VARS'!G11</f>
        <v>8.9044014875318926E-3</v>
      </c>
      <c r="D11" s="16">
        <f>'ALL VARS'!H11</f>
        <v>4.4817694802564231E-4</v>
      </c>
      <c r="E11" s="16">
        <f>'ALL VARS'!AZ11</f>
        <v>8.3453181082705809E-3</v>
      </c>
      <c r="F11" s="16">
        <f>'ALL VARS'!BB11</f>
        <v>-0.10292705444428157</v>
      </c>
      <c r="G11" s="16">
        <f>'ALL VARS'!J11</f>
        <v>32.881000200000003</v>
      </c>
      <c r="I11" s="18" t="s">
        <v>45</v>
      </c>
    </row>
    <row r="12" spans="1:14" x14ac:dyDescent="0.25">
      <c r="A12" s="24">
        <f>'ALL VARS'!A12</f>
        <v>43965</v>
      </c>
      <c r="B12" s="16">
        <f>'ALL VARS'!F12</f>
        <v>8.9044014875318926E-3</v>
      </c>
      <c r="C12" s="16">
        <f>'ALL VARS'!G12</f>
        <v>4.4817694802564231E-4</v>
      </c>
      <c r="D12" s="16">
        <f>'ALL VARS'!H12</f>
        <v>-2.5401176991557837E-2</v>
      </c>
      <c r="E12" s="16">
        <f>'ALL VARS'!AZ12</f>
        <v>-2.8202952723899617E-2</v>
      </c>
      <c r="F12" s="16">
        <f>'ALL VARS'!BB12</f>
        <v>0.3434981084622542</v>
      </c>
      <c r="G12" s="16">
        <f>'ALL VARS'!J12</f>
        <v>33.0350003</v>
      </c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A13" s="24">
        <f>'ALL VARS'!A13</f>
        <v>43964</v>
      </c>
      <c r="B13" s="16">
        <f>'ALL VARS'!F13</f>
        <v>4.4817694802564231E-4</v>
      </c>
      <c r="C13" s="16">
        <f>'ALL VARS'!G13</f>
        <v>-2.5401176991557837E-2</v>
      </c>
      <c r="D13" s="16">
        <f>'ALL VARS'!H13</f>
        <v>-1.4698871572495898E-2</v>
      </c>
      <c r="E13" s="16">
        <f>'ALL VARS'!AZ13</f>
        <v>5.2182124916950066E-3</v>
      </c>
      <c r="F13" s="16">
        <f>'ALL VARS'!BB13</f>
        <v>-6.5668640051601196E-2</v>
      </c>
      <c r="G13" s="16">
        <f>'ALL VARS'!J13</f>
        <v>32.630000399999993</v>
      </c>
      <c r="I13" s="18" t="s">
        <v>46</v>
      </c>
      <c r="J13" s="18">
        <v>5</v>
      </c>
      <c r="K13" s="18">
        <v>2.1416530045574554E-3</v>
      </c>
      <c r="L13" s="18">
        <v>4.2833060091149107E-4</v>
      </c>
      <c r="M13" s="18">
        <v>1.0245411279058463</v>
      </c>
      <c r="N13" s="18">
        <v>0.41594021751520721</v>
      </c>
    </row>
    <row r="14" spans="1:14" x14ac:dyDescent="0.25">
      <c r="A14" s="24">
        <f>'ALL VARS'!A14</f>
        <v>43963</v>
      </c>
      <c r="B14" s="16">
        <f>'ALL VARS'!F14</f>
        <v>-2.5401176991557837E-2</v>
      </c>
      <c r="C14" s="16">
        <f>'ALL VARS'!G14</f>
        <v>-1.4698871572495898E-2</v>
      </c>
      <c r="D14" s="16">
        <f>'ALL VARS'!H14</f>
        <v>9.1270288220883112E-3</v>
      </c>
      <c r="E14" s="16">
        <f>'ALL VARS'!AZ14</f>
        <v>2.1353989241585667E-3</v>
      </c>
      <c r="F14" s="16">
        <f>'ALL VARS'!BB14</f>
        <v>-2.6759770226034176E-2</v>
      </c>
      <c r="G14" s="16">
        <f>'ALL VARS'!J14</f>
        <v>32.683000299999996</v>
      </c>
      <c r="I14" s="18" t="s">
        <v>47</v>
      </c>
      <c r="J14" s="18">
        <v>42</v>
      </c>
      <c r="K14" s="18">
        <v>1.755896835010792E-2</v>
      </c>
      <c r="L14" s="18">
        <v>4.1807067500256951E-4</v>
      </c>
    </row>
    <row r="15" spans="1:14" ht="15.75" thickBot="1" x14ac:dyDescent="0.3">
      <c r="A15" s="24">
        <f>'ALL VARS'!A15</f>
        <v>43962</v>
      </c>
      <c r="B15" s="16">
        <f>'ALL VARS'!F15</f>
        <v>-1.4698871572495898E-2</v>
      </c>
      <c r="C15" s="16">
        <f>'ALL VARS'!G15</f>
        <v>9.1270288220883112E-3</v>
      </c>
      <c r="D15" s="16">
        <f>'ALL VARS'!H15</f>
        <v>8.9592894728179693E-3</v>
      </c>
      <c r="E15" s="16">
        <f>'ALL VARS'!AZ15</f>
        <v>-3.5856215812900882E-2</v>
      </c>
      <c r="F15" s="16">
        <f>'ALL VARS'!BB15</f>
        <v>0.42882272188108816</v>
      </c>
      <c r="G15" s="16">
        <f>'ALL VARS'!J15</f>
        <v>33.2550004</v>
      </c>
      <c r="I15" s="28" t="s">
        <v>48</v>
      </c>
      <c r="J15" s="28">
        <v>47</v>
      </c>
      <c r="K15" s="28">
        <v>1.9700621354665375E-2</v>
      </c>
      <c r="L15" s="28"/>
      <c r="M15" s="28"/>
      <c r="N15" s="28"/>
    </row>
    <row r="16" spans="1:14" ht="15.75" thickBot="1" x14ac:dyDescent="0.3">
      <c r="A16" s="24">
        <f>'ALL VARS'!A16</f>
        <v>43959</v>
      </c>
      <c r="B16" s="16">
        <f>'ALL VARS'!F16</f>
        <v>9.1270288220883112E-3</v>
      </c>
      <c r="C16" s="16">
        <f>'ALL VARS'!G16</f>
        <v>8.9592894728179693E-3</v>
      </c>
      <c r="D16" s="16">
        <f>'ALL VARS'!H16</f>
        <v>2.0228309928424119E-4</v>
      </c>
      <c r="E16" s="16">
        <f>'ALL VARS'!AZ16</f>
        <v>1.5913647093750702E-3</v>
      </c>
      <c r="F16" s="16">
        <f>'ALL VARS'!BB16</f>
        <v>-1.7766805005889365E-2</v>
      </c>
      <c r="G16" s="16">
        <f>'ALL VARS'!J16</f>
        <v>34.050000400000002</v>
      </c>
    </row>
    <row r="17" spans="1:17" x14ac:dyDescent="0.25">
      <c r="A17" s="24">
        <f>'ALL VARS'!A17</f>
        <v>43958</v>
      </c>
      <c r="B17" s="16">
        <f>'ALL VARS'!F17</f>
        <v>8.9592894728179693E-3</v>
      </c>
      <c r="C17" s="16">
        <f>'ALL VARS'!G17</f>
        <v>2.0228309928424119E-4</v>
      </c>
      <c r="D17" s="16">
        <f>'ALL VARS'!H17</f>
        <v>1.2895694256002256E-3</v>
      </c>
      <c r="E17" s="16">
        <f>'ALL VARS'!AZ17</f>
        <v>5.7524593295812776E-2</v>
      </c>
      <c r="F17" s="16">
        <f>'ALL VARS'!BB17</f>
        <v>-0.58505437163392715</v>
      </c>
      <c r="G17" s="16">
        <f>'ALL VARS'!J17</f>
        <v>35.044000400000002</v>
      </c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1:17" x14ac:dyDescent="0.25">
      <c r="A18" s="24">
        <f>'ALL VARS'!A18</f>
        <v>43957</v>
      </c>
      <c r="B18" s="16">
        <f>'ALL VARS'!F18</f>
        <v>2.0228309928424119E-4</v>
      </c>
      <c r="C18" s="16">
        <f>'ALL VARS'!G18</f>
        <v>1.2895694256002256E-3</v>
      </c>
      <c r="D18" s="16">
        <f>'ALL VARS'!H18</f>
        <v>4.5167588335029351E-3</v>
      </c>
      <c r="E18" s="16">
        <f>'ALL VARS'!AZ18</f>
        <v>-3.5818343514204738E-3</v>
      </c>
      <c r="F18" s="16">
        <f>'ALL VARS'!BB18</f>
        <v>3.3613754966768689E-2</v>
      </c>
      <c r="G18" s="16">
        <f>'ALL VARS'!J18</f>
        <v>35.830000499999997</v>
      </c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4">
        <f>'ALL VARS'!A19</f>
        <v>43956</v>
      </c>
      <c r="B19" s="16">
        <f>'ALL VARS'!F19</f>
        <v>1.2895694256002256E-3</v>
      </c>
      <c r="C19" s="16">
        <f>'ALL VARS'!G19</f>
        <v>4.5167588335029351E-3</v>
      </c>
      <c r="D19" s="16">
        <f>'ALL VARS'!H19</f>
        <v>8.5292501975474666E-3</v>
      </c>
      <c r="E19" s="16">
        <f>'ALL VARS'!AZ19</f>
        <v>-1.7740851763834208E-3</v>
      </c>
      <c r="F19" s="16">
        <f>'ALL VARS'!BB19</f>
        <v>1.4555497111669678E-2</v>
      </c>
      <c r="G19" s="16">
        <f>'ALL VARS'!J19</f>
        <v>37.010000400000003</v>
      </c>
      <c r="I19" s="18" t="s">
        <v>36</v>
      </c>
      <c r="J19" s="18">
        <v>-4.4585921956309019E-2</v>
      </c>
      <c r="K19" s="18">
        <v>0.1211012512291452</v>
      </c>
      <c r="L19" s="18">
        <v>-0.36817061346413749</v>
      </c>
      <c r="M19" s="18">
        <v>0.71459517742881196</v>
      </c>
      <c r="N19" s="18">
        <v>-0.28897814125026677</v>
      </c>
      <c r="O19" s="18">
        <v>0.19980629733764876</v>
      </c>
      <c r="P19" s="18">
        <v>-0.28897814125026677</v>
      </c>
      <c r="Q19" s="18">
        <v>0.19980629733764876</v>
      </c>
    </row>
    <row r="20" spans="1:17" x14ac:dyDescent="0.25">
      <c r="A20" s="24">
        <f>'ALL VARS'!A20</f>
        <v>43955</v>
      </c>
      <c r="B20" s="16">
        <f>'ALL VARS'!F20</f>
        <v>4.5167588335029351E-3</v>
      </c>
      <c r="C20" s="16">
        <f>'ALL VARS'!G20</f>
        <v>8.5292501975474666E-3</v>
      </c>
      <c r="D20" s="16">
        <f>'ALL VARS'!H20</f>
        <v>-1.0852015661224153E-2</v>
      </c>
      <c r="E20" s="16">
        <f>'ALL VARS'!AZ20</f>
        <v>4.6652164569905376E-2</v>
      </c>
      <c r="F20" s="16">
        <f>'ALL VARS'!BB20</f>
        <v>-0.34608948006000784</v>
      </c>
      <c r="G20" s="16">
        <f>'ALL VARS'!J20</f>
        <v>37.796000499999998</v>
      </c>
      <c r="I20" s="18" t="s">
        <v>37</v>
      </c>
      <c r="J20" s="18">
        <v>-0.16967825126075073</v>
      </c>
      <c r="K20" s="18">
        <v>0.11760054456927149</v>
      </c>
      <c r="L20" s="18">
        <v>-1.442835591299523</v>
      </c>
      <c r="M20" s="18">
        <v>0.15648380707631079</v>
      </c>
      <c r="N20" s="18">
        <v>-0.40700575849748272</v>
      </c>
      <c r="O20" s="18">
        <v>6.764925597598126E-2</v>
      </c>
      <c r="P20" s="18">
        <v>-0.40700575849748272</v>
      </c>
      <c r="Q20" s="18">
        <v>6.764925597598126E-2</v>
      </c>
    </row>
    <row r="21" spans="1:17" x14ac:dyDescent="0.25">
      <c r="A21" s="24">
        <f>'ALL VARS'!A21</f>
        <v>43952</v>
      </c>
      <c r="B21" s="16">
        <f>'ALL VARS'!F21</f>
        <v>8.5292501975474666E-3</v>
      </c>
      <c r="C21" s="16">
        <f>'ALL VARS'!G21</f>
        <v>-1.0852015661224153E-2</v>
      </c>
      <c r="D21" s="16">
        <f>'ALL VARS'!H21</f>
        <v>-2.9379858648651246E-2</v>
      </c>
      <c r="E21" s="16">
        <f>'ALL VARS'!AZ21</f>
        <v>-3.0383161021022721E-2</v>
      </c>
      <c r="F21" s="16">
        <f>'ALL VARS'!BB21</f>
        <v>0.22248094614478897</v>
      </c>
      <c r="G21" s="16">
        <f>'ALL VARS'!J21</f>
        <v>37.892000799999991</v>
      </c>
      <c r="I21" s="18" t="s">
        <v>17</v>
      </c>
      <c r="J21" s="18">
        <v>5.1294849424829651E-3</v>
      </c>
      <c r="K21" s="18">
        <v>7.510653675497421E-2</v>
      </c>
      <c r="L21" s="18">
        <v>6.8296118608387912E-2</v>
      </c>
      <c r="M21" s="18">
        <v>0.94587402814168142</v>
      </c>
      <c r="N21" s="18">
        <v>-0.14644164264479159</v>
      </c>
      <c r="O21" s="18">
        <v>0.15670061252975753</v>
      </c>
      <c r="P21" s="18">
        <v>-0.14644164264479159</v>
      </c>
      <c r="Q21" s="18">
        <v>0.15670061252975753</v>
      </c>
    </row>
    <row r="22" spans="1:17" x14ac:dyDescent="0.25">
      <c r="A22" s="24">
        <f>'ALL VARS'!A22</f>
        <v>43951</v>
      </c>
      <c r="B22" s="16">
        <f>'ALL VARS'!F22</f>
        <v>-1.0852015661224153E-2</v>
      </c>
      <c r="C22" s="16">
        <f>'ALL VARS'!G22</f>
        <v>-2.9379858648651246E-2</v>
      </c>
      <c r="D22" s="16">
        <f>'ALL VARS'!H22</f>
        <v>2.904386379946032E-2</v>
      </c>
      <c r="E22" s="16">
        <f>'ALL VARS'!AZ22</f>
        <v>-2.1266942193614767E-2</v>
      </c>
      <c r="F22" s="16">
        <f>'ALL VARS'!BB22</f>
        <v>0.14305226347945271</v>
      </c>
      <c r="G22" s="16">
        <f>'ALL VARS'!J22</f>
        <v>38.488000700000001</v>
      </c>
      <c r="I22" s="18" t="s">
        <v>85</v>
      </c>
      <c r="J22" s="18">
        <v>-5.1646773670296204E-4</v>
      </c>
      <c r="K22" s="18">
        <v>5.0090400915123725E-3</v>
      </c>
      <c r="L22" s="18">
        <v>-0.10310712776647504</v>
      </c>
      <c r="M22" s="18">
        <v>0.91836869963156009</v>
      </c>
      <c r="N22" s="18">
        <v>-1.0625119894068115E-2</v>
      </c>
      <c r="O22" s="18">
        <v>9.592184420662191E-3</v>
      </c>
      <c r="P22" s="18">
        <v>-1.0625119894068115E-2</v>
      </c>
      <c r="Q22" s="18">
        <v>9.592184420662191E-3</v>
      </c>
    </row>
    <row r="23" spans="1:17" ht="15.75" thickBot="1" x14ac:dyDescent="0.3">
      <c r="A23" s="24">
        <f>'ALL VARS'!A23</f>
        <v>43950</v>
      </c>
      <c r="B23" s="16">
        <f>'ALL VARS'!F23</f>
        <v>-2.9379858648651246E-2</v>
      </c>
      <c r="C23" s="16">
        <f>'ALL VARS'!G23</f>
        <v>2.904386379946032E-2</v>
      </c>
      <c r="D23" s="16">
        <f>'ALL VARS'!H23</f>
        <v>1.0667882350970269E-2</v>
      </c>
      <c r="E23" s="16">
        <f>'ALL VARS'!AZ23</f>
        <v>-2.4755316678171657E-2</v>
      </c>
      <c r="F23" s="16">
        <f>'ALL VARS'!BB23</f>
        <v>0.14272698412456947</v>
      </c>
      <c r="G23" s="16">
        <f>'ALL VARS'!J23</f>
        <v>39.449000699999999</v>
      </c>
      <c r="I23" s="28" t="s">
        <v>4</v>
      </c>
      <c r="J23" s="28">
        <v>1.4541923406178513E-4</v>
      </c>
      <c r="K23" s="28">
        <v>7.6229763602141877E-5</v>
      </c>
      <c r="L23" s="28">
        <v>1.9076437757403617</v>
      </c>
      <c r="M23" s="28">
        <v>6.3290342342237252E-2</v>
      </c>
      <c r="N23" s="28">
        <v>-8.4186570738729589E-6</v>
      </c>
      <c r="O23" s="28">
        <v>2.9925712519744322E-4</v>
      </c>
      <c r="P23" s="28">
        <v>-8.4186570738729589E-6</v>
      </c>
      <c r="Q23" s="28">
        <v>2.9925712519744322E-4</v>
      </c>
    </row>
    <row r="24" spans="1:17" x14ac:dyDescent="0.25">
      <c r="A24" s="24">
        <f>'ALL VARS'!A24</f>
        <v>43949</v>
      </c>
      <c r="B24" s="16">
        <f>'ALL VARS'!F24</f>
        <v>2.904386379946032E-2</v>
      </c>
      <c r="C24" s="16">
        <f>'ALL VARS'!G24</f>
        <v>1.0667882350970269E-2</v>
      </c>
      <c r="D24" s="16">
        <f>'ALL VARS'!H24</f>
        <v>1.5373998778727917E-2</v>
      </c>
      <c r="E24" s="16">
        <f>'ALL VARS'!AZ24</f>
        <v>8.9372420664605916E-5</v>
      </c>
      <c r="F24" s="16">
        <f>'ALL VARS'!BB24</f>
        <v>-4.7783040800323764E-4</v>
      </c>
      <c r="G24" s="16">
        <f>'ALL VARS'!J24</f>
        <v>39.868000500000008</v>
      </c>
    </row>
    <row r="25" spans="1:17" x14ac:dyDescent="0.25">
      <c r="A25" s="24">
        <f>'ALL VARS'!A25</f>
        <v>43948</v>
      </c>
      <c r="B25" s="16">
        <f>'ALL VARS'!F25</f>
        <v>1.0667882350970269E-2</v>
      </c>
      <c r="C25" s="16">
        <f>'ALL VARS'!G25</f>
        <v>1.5373998778727917E-2</v>
      </c>
      <c r="D25" s="16">
        <f>'ALL VARS'!H25</f>
        <v>1.1879839917270655E-2</v>
      </c>
      <c r="E25" s="16">
        <f>'ALL VARS'!AZ25</f>
        <v>-2.6762421446872998E-2</v>
      </c>
      <c r="F25" s="16">
        <f>'ALL VARS'!BB25</f>
        <v>0.12199673405049143</v>
      </c>
      <c r="G25" s="16">
        <f>'ALL VARS'!J25</f>
        <v>40.656000200000001</v>
      </c>
    </row>
    <row r="26" spans="1:17" x14ac:dyDescent="0.25">
      <c r="A26" s="24">
        <f>'ALL VARS'!A26</f>
        <v>43945</v>
      </c>
      <c r="B26" s="16">
        <f>'ALL VARS'!F26</f>
        <v>1.5373998778727917E-2</v>
      </c>
      <c r="C26" s="16">
        <f>'ALL VARS'!G26</f>
        <v>1.1879839917270655E-2</v>
      </c>
      <c r="D26" s="16">
        <f>'ALL VARS'!H26</f>
        <v>-2.5965891780394849E-3</v>
      </c>
      <c r="E26" s="16">
        <f>'ALL VARS'!AZ26</f>
        <v>-6.3262697982867152E-3</v>
      </c>
      <c r="F26" s="16">
        <f>'ALL VARS'!BB26</f>
        <v>2.5207079036491147E-2</v>
      </c>
      <c r="G26" s="16">
        <f>'ALL VARS'!J26</f>
        <v>41.230000000000004</v>
      </c>
    </row>
    <row r="27" spans="1:17" x14ac:dyDescent="0.25">
      <c r="A27" s="24">
        <f>'ALL VARS'!A27</f>
        <v>43944</v>
      </c>
      <c r="B27" s="16">
        <f>'ALL VARS'!F27</f>
        <v>1.1879839917270655E-2</v>
      </c>
      <c r="C27" s="16">
        <f>'ALL VARS'!G27</f>
        <v>-2.5965891780394849E-3</v>
      </c>
      <c r="D27" s="16">
        <f>'ALL VARS'!H27</f>
        <v>2.4971169199914333E-2</v>
      </c>
      <c r="E27" s="16">
        <f>'ALL VARS'!AZ27</f>
        <v>-3.5751277338171845E-3</v>
      </c>
      <c r="F27" s="16">
        <f>'ALL VARS'!BB27</f>
        <v>1.3540829590697603E-2</v>
      </c>
      <c r="G27" s="16">
        <f>'ALL VARS'!J27</f>
        <v>41.42699970000001</v>
      </c>
    </row>
    <row r="28" spans="1:17" x14ac:dyDescent="0.25">
      <c r="A28" s="24">
        <f>'ALL VARS'!A28</f>
        <v>43943</v>
      </c>
      <c r="B28" s="16">
        <f>'ALL VARS'!F28</f>
        <v>-2.5965891780394849E-3</v>
      </c>
      <c r="C28" s="16">
        <f>'ALL VARS'!G28</f>
        <v>2.4971169199914333E-2</v>
      </c>
      <c r="D28" s="16">
        <f>'ALL VARS'!H28</f>
        <v>-3.1150323670921017E-2</v>
      </c>
      <c r="E28" s="16">
        <f>'ALL VARS'!AZ28</f>
        <v>-7.1160182191305141E-2</v>
      </c>
      <c r="F28" s="16">
        <f>'ALL VARS'!BB28</f>
        <v>0.23593223972768582</v>
      </c>
      <c r="G28" s="16">
        <f>'ALL VARS'!J28</f>
        <v>41.898999799999999</v>
      </c>
    </row>
    <row r="29" spans="1:17" x14ac:dyDescent="0.25">
      <c r="A29" s="24">
        <f>'ALL VARS'!A29</f>
        <v>43942</v>
      </c>
      <c r="B29" s="16">
        <f>'ALL VARS'!F29</f>
        <v>2.4971169199914333E-2</v>
      </c>
      <c r="C29" s="16">
        <f>'ALL VARS'!G29</f>
        <v>-3.1150323670921017E-2</v>
      </c>
      <c r="D29" s="16">
        <f>'ALL VARS'!H29</f>
        <v>1.9776887879946956E-3</v>
      </c>
      <c r="E29" s="16">
        <f>'ALL VARS'!AZ29</f>
        <v>5.8401204160221654E-3</v>
      </c>
      <c r="F29" s="16">
        <f>'ALL VARS'!BB29</f>
        <v>-1.9462253929444055E-2</v>
      </c>
      <c r="G29" s="16">
        <f>'ALL VARS'!J29</f>
        <v>41.881999999999998</v>
      </c>
    </row>
    <row r="30" spans="1:17" x14ac:dyDescent="0.25">
      <c r="A30" s="24">
        <f>'ALL VARS'!A30</f>
        <v>43941</v>
      </c>
      <c r="B30" s="16">
        <f>'ALL VARS'!F30</f>
        <v>-3.1150323670921017E-2</v>
      </c>
      <c r="C30" s="16">
        <f>'ALL VARS'!G30</f>
        <v>1.9776887879946956E-3</v>
      </c>
      <c r="D30" s="16">
        <f>'ALL VARS'!H30</f>
        <v>3.3138402111040632E-2</v>
      </c>
      <c r="E30" s="16">
        <f>'ALL VARS'!AZ30</f>
        <v>9.3997355234824015E-4</v>
      </c>
      <c r="F30" s="16">
        <f>'ALL VARS'!BB30</f>
        <v>-2.8532984730997055E-3</v>
      </c>
      <c r="G30" s="16">
        <f>'ALL VARS'!J30</f>
        <v>42.178999699999999</v>
      </c>
    </row>
    <row r="31" spans="1:17" x14ac:dyDescent="0.25">
      <c r="A31" s="24">
        <f>'ALL VARS'!A31</f>
        <v>43938</v>
      </c>
      <c r="B31" s="16">
        <f>'ALL VARS'!F31</f>
        <v>1.9776887879946956E-3</v>
      </c>
      <c r="C31" s="16">
        <f>'ALL VARS'!G31</f>
        <v>3.3138402111040632E-2</v>
      </c>
      <c r="D31" s="16">
        <f>'ALL VARS'!H31</f>
        <v>-4.2482631253185207E-3</v>
      </c>
      <c r="E31" s="16">
        <f>'ALL VARS'!AZ31</f>
        <v>5.5845793814444837E-3</v>
      </c>
      <c r="F31" s="16">
        <f>'ALL VARS'!BB31</f>
        <v>-9.8261205535355965E-3</v>
      </c>
      <c r="G31" s="16">
        <f>'ALL VARS'!J31</f>
        <v>43.4549995</v>
      </c>
    </row>
    <row r="32" spans="1:17" x14ac:dyDescent="0.25">
      <c r="A32" s="24">
        <f>'ALL VARS'!A32</f>
        <v>43937</v>
      </c>
      <c r="B32" s="16">
        <f>'ALL VARS'!F32</f>
        <v>3.3138402111040632E-2</v>
      </c>
      <c r="C32" s="16">
        <f>'ALL VARS'!G32</f>
        <v>-4.2482631253185207E-3</v>
      </c>
      <c r="D32" s="16">
        <f>'ALL VARS'!H32</f>
        <v>-2.1026256366684357E-2</v>
      </c>
      <c r="E32" s="16">
        <f>'ALL VARS'!AZ32</f>
        <v>-2.2423216333695172E-3</v>
      </c>
      <c r="F32" s="16">
        <f>'ALL VARS'!BB32</f>
        <v>1.4465107887898349E-4</v>
      </c>
      <c r="G32" s="16">
        <f>'ALL VARS'!J32</f>
        <v>45.149999499999993</v>
      </c>
    </row>
    <row r="33" spans="1:7" x14ac:dyDescent="0.25">
      <c r="A33" s="24">
        <f>'ALL VARS'!A33</f>
        <v>43936</v>
      </c>
      <c r="B33" s="16">
        <f>'ALL VARS'!F33</f>
        <v>-4.2482631253185207E-3</v>
      </c>
      <c r="C33" s="16">
        <f>'ALL VARS'!G33</f>
        <v>-2.1026256366684357E-2</v>
      </c>
      <c r="D33" s="16">
        <f>'ALL VARS'!H33</f>
        <v>1.2965422809946055E-2</v>
      </c>
      <c r="E33" s="16">
        <f>'ALL VARS'!AZ33</f>
        <v>-1.9692996135975758E-3</v>
      </c>
      <c r="F33" s="16">
        <f>'ALL VARS'!BB33</f>
        <v>-2.3739721451362817E-3</v>
      </c>
      <c r="G33" s="16">
        <f>'ALL VARS'!J33</f>
        <v>46.419999600000004</v>
      </c>
    </row>
    <row r="34" spans="1:7" x14ac:dyDescent="0.25">
      <c r="A34" s="24">
        <f>'ALL VARS'!A34</f>
        <v>43935</v>
      </c>
      <c r="B34" s="16">
        <f>'ALL VARS'!F34</f>
        <v>-2.1026256366684357E-2</v>
      </c>
      <c r="C34" s="16">
        <f>'ALL VARS'!G34</f>
        <v>1.2965422809946055E-2</v>
      </c>
      <c r="D34" s="16">
        <f>'ALL VARS'!H34</f>
        <v>-6.4023280464834062E-3</v>
      </c>
      <c r="E34" s="16">
        <f>'ALL VARS'!AZ34</f>
        <v>-4.8921747672897725E-3</v>
      </c>
      <c r="F34" s="16">
        <f>'ALL VARS'!BB34</f>
        <v>-1.5349154234136813E-2</v>
      </c>
      <c r="G34" s="16">
        <f>'ALL VARS'!J34</f>
        <v>48.352000000000004</v>
      </c>
    </row>
    <row r="35" spans="1:7" x14ac:dyDescent="0.25">
      <c r="A35" s="24">
        <f>'ALL VARS'!A35</f>
        <v>43934</v>
      </c>
      <c r="B35" s="16">
        <f>'ALL VARS'!F35</f>
        <v>1.2965422809946055E-2</v>
      </c>
      <c r="C35" s="16">
        <f>'ALL VARS'!G35</f>
        <v>-6.4023280464834062E-3</v>
      </c>
      <c r="D35" s="16">
        <f>'ALL VARS'!H35</f>
        <v>1.729890853793448E-2</v>
      </c>
      <c r="E35" s="16">
        <f>'ALL VARS'!AZ35</f>
        <v>1.8605836542548403E-2</v>
      </c>
      <c r="F35" s="16">
        <f>'ALL VARS'!BB35</f>
        <v>0.1037180736745241</v>
      </c>
      <c r="G35" s="16">
        <f>'ALL VARS'!J35</f>
        <v>50.789000299999998</v>
      </c>
    </row>
    <row r="36" spans="1:7" x14ac:dyDescent="0.25">
      <c r="A36" s="24">
        <f>'ALL VARS'!A36</f>
        <v>43930</v>
      </c>
      <c r="B36" s="16">
        <f>'ALL VARS'!F36</f>
        <v>-6.4023280464834062E-3</v>
      </c>
      <c r="C36" s="16">
        <f>'ALL VARS'!G36</f>
        <v>1.729890853793448E-2</v>
      </c>
      <c r="D36" s="16">
        <f>'ALL VARS'!H36</f>
        <v>2.2888078899761091E-2</v>
      </c>
      <c r="E36" s="16">
        <f>'ALL VARS'!AZ36</f>
        <v>-1.9870423292422858E-2</v>
      </c>
      <c r="F36" s="16">
        <f>'ALL VARS'!BB36</f>
        <v>-0.14917703369038393</v>
      </c>
      <c r="G36" s="16">
        <f>'ALL VARS'!J36</f>
        <v>52.722000499999993</v>
      </c>
    </row>
    <row r="37" spans="1:7" x14ac:dyDescent="0.25">
      <c r="A37" s="24">
        <f>'ALL VARS'!A37</f>
        <v>43929</v>
      </c>
      <c r="B37" s="16">
        <f>'ALL VARS'!F37</f>
        <v>1.729890853793448E-2</v>
      </c>
      <c r="C37" s="16">
        <f>'ALL VARS'!G37</f>
        <v>2.2888078899761091E-2</v>
      </c>
      <c r="D37" s="16">
        <f>'ALL VARS'!H37</f>
        <v>1.5743313464585205E-3</v>
      </c>
      <c r="E37" s="16">
        <f>'ALL VARS'!AZ37</f>
        <v>3.2570272732499578E-3</v>
      </c>
      <c r="F37" s="16">
        <f>'ALL VARS'!BB37</f>
        <v>3.1161581683482781E-2</v>
      </c>
      <c r="G37" s="16">
        <f>'ALL VARS'!J37</f>
        <v>54.782000800000006</v>
      </c>
    </row>
    <row r="38" spans="1:7" x14ac:dyDescent="0.25">
      <c r="A38" s="24">
        <f>'ALL VARS'!A38</f>
        <v>43928</v>
      </c>
      <c r="B38" s="16">
        <f>'ALL VARS'!F38</f>
        <v>2.2888078899761091E-2</v>
      </c>
      <c r="C38" s="16">
        <f>'ALL VARS'!G38</f>
        <v>1.5743313464585205E-3</v>
      </c>
      <c r="D38" s="16">
        <f>'ALL VARS'!H38</f>
        <v>5.0578545857092143E-2</v>
      </c>
      <c r="E38" s="16">
        <f>'ALL VARS'!AZ38</f>
        <v>-1.0593265496713111E-2</v>
      </c>
      <c r="F38" s="16">
        <f>'ALL VARS'!BB38</f>
        <v>-0.11720909589694833</v>
      </c>
      <c r="G38" s="16">
        <f>'ALL VARS'!J38</f>
        <v>56.279000499999995</v>
      </c>
    </row>
    <row r="39" spans="1:7" x14ac:dyDescent="0.25">
      <c r="A39" s="24">
        <f>'ALL VARS'!A39</f>
        <v>43927</v>
      </c>
      <c r="B39" s="16">
        <f>'ALL VARS'!F39</f>
        <v>1.5743313464585205E-3</v>
      </c>
      <c r="C39" s="16">
        <f>'ALL VARS'!G39</f>
        <v>5.0578545857092143E-2</v>
      </c>
      <c r="D39" s="16">
        <f>'ALL VARS'!H39</f>
        <v>-1.2177617796472343E-2</v>
      </c>
      <c r="E39" s="16">
        <f>'ALL VARS'!AZ39</f>
        <v>-7.7159060828370499E-2</v>
      </c>
      <c r="F39" s="16">
        <f>'ALL VARS'!BB39</f>
        <v>-0.97988082062312976</v>
      </c>
      <c r="G39" s="16">
        <f>'ALL VARS'!J39</f>
        <v>57.914000299999998</v>
      </c>
    </row>
    <row r="40" spans="1:7" x14ac:dyDescent="0.25">
      <c r="A40" s="24">
        <f>'ALL VARS'!A40</f>
        <v>43924</v>
      </c>
      <c r="B40" s="16">
        <f>'ALL VARS'!F40</f>
        <v>5.0578545857092143E-2</v>
      </c>
      <c r="C40" s="16">
        <f>'ALL VARS'!G40</f>
        <v>-1.2177617796472343E-2</v>
      </c>
      <c r="D40" s="16">
        <f>'ALL VARS'!H40</f>
        <v>1.7194200807451526E-2</v>
      </c>
      <c r="E40" s="16">
        <f>'ALL VARS'!AZ40</f>
        <v>-4.188052424567771E-3</v>
      </c>
      <c r="F40" s="16">
        <f>'ALL VARS'!BB40</f>
        <v>-6.1243948973441625E-2</v>
      </c>
      <c r="G40" s="16">
        <f>'ALL VARS'!J40</f>
        <v>59.8380005</v>
      </c>
    </row>
    <row r="41" spans="1:7" x14ac:dyDescent="0.25">
      <c r="A41" s="24">
        <f>'ALL VARS'!A41</f>
        <v>43923</v>
      </c>
      <c r="B41" s="16">
        <f>'ALL VARS'!F41</f>
        <v>-1.2177617796472343E-2</v>
      </c>
      <c r="C41" s="16">
        <f>'ALL VARS'!G41</f>
        <v>1.7194200807451526E-2</v>
      </c>
      <c r="D41" s="16">
        <f>'ALL VARS'!H41</f>
        <v>-3.7551904604495374E-2</v>
      </c>
      <c r="E41" s="16">
        <f>'ALL VARS'!AZ41</f>
        <v>-8.8871063289103769E-3</v>
      </c>
      <c r="F41" s="16">
        <f>'ALL VARS'!BB41</f>
        <v>-0.14870343098335803</v>
      </c>
      <c r="G41" s="16">
        <f>'ALL VARS'!J41</f>
        <v>61.947000500000001</v>
      </c>
    </row>
    <row r="42" spans="1:7" x14ac:dyDescent="0.25">
      <c r="A42" s="24">
        <f>'ALL VARS'!A42</f>
        <v>43922</v>
      </c>
      <c r="B42" s="16">
        <f>'ALL VARS'!F42</f>
        <v>1.7194200807451526E-2</v>
      </c>
      <c r="C42" s="16">
        <f>'ALL VARS'!G42</f>
        <v>-3.7551904604495374E-2</v>
      </c>
      <c r="D42" s="16">
        <f>'ALL VARS'!H42</f>
        <v>2.6099613068988042E-2</v>
      </c>
      <c r="E42" s="16">
        <f>'ALL VARS'!AZ42</f>
        <v>-0.12922235853609865</v>
      </c>
      <c r="F42" s="16">
        <f>'ALL VARS'!BB42</f>
        <v>-2.4127741155141318</v>
      </c>
      <c r="G42" s="16">
        <f>'ALL VARS'!J42</f>
        <v>63.886000100000004</v>
      </c>
    </row>
    <row r="43" spans="1:7" x14ac:dyDescent="0.25">
      <c r="A43" s="24">
        <f>'ALL VARS'!A43</f>
        <v>43921</v>
      </c>
      <c r="B43" s="16">
        <f>'ALL VARS'!F43</f>
        <v>-3.7551904604495374E-2</v>
      </c>
      <c r="C43" s="16">
        <f>'ALL VARS'!G43</f>
        <v>2.6099613068988042E-2</v>
      </c>
      <c r="D43" s="16">
        <f>'ALL VARS'!H43</f>
        <v>2.7648809446036929E-2</v>
      </c>
      <c r="E43" s="16">
        <f>'ALL VARS'!AZ43</f>
        <v>2.5741525247241121E-2</v>
      </c>
      <c r="F43" s="16">
        <f>'ALL VARS'!BB43</f>
        <v>0.53821645889353986</v>
      </c>
      <c r="G43" s="16">
        <f>'ALL VARS'!J43</f>
        <v>66.123000399999995</v>
      </c>
    </row>
    <row r="44" spans="1:7" x14ac:dyDescent="0.25">
      <c r="A44" s="24">
        <f>'ALL VARS'!A44</f>
        <v>43920</v>
      </c>
      <c r="B44" s="16">
        <f>'ALL VARS'!F44</f>
        <v>2.6099613068988042E-2</v>
      </c>
      <c r="C44" s="16">
        <f>'ALL VARS'!G44</f>
        <v>2.7648809446036929E-2</v>
      </c>
      <c r="D44" s="16">
        <f>'ALL VARS'!H44</f>
        <v>-5.1117326046437227E-2</v>
      </c>
      <c r="E44" s="16">
        <f>'ALL VARS'!AZ44</f>
        <v>-7.2403150596203885E-4</v>
      </c>
      <c r="F44" s="16">
        <f>'ALL VARS'!BB44</f>
        <v>-1.6992651192343295E-2</v>
      </c>
      <c r="G44" s="16">
        <f>'ALL VARS'!J44</f>
        <v>68.684000400000002</v>
      </c>
    </row>
    <row r="45" spans="1:7" x14ac:dyDescent="0.25">
      <c r="A45" s="24">
        <f>'ALL VARS'!A45</f>
        <v>43917</v>
      </c>
      <c r="B45" s="16">
        <f>'ALL VARS'!F45</f>
        <v>2.7648809446036929E-2</v>
      </c>
      <c r="C45" s="16">
        <f>'ALL VARS'!G45</f>
        <v>-5.1117326046437227E-2</v>
      </c>
      <c r="D45" s="16">
        <f>'ALL VARS'!H45</f>
        <v>1.7657086927428463E-2</v>
      </c>
      <c r="E45" s="16">
        <f>'ALL VARS'!AZ45</f>
        <v>1.2185984954640871E-3</v>
      </c>
      <c r="F45" s="16">
        <f>'ALL VARS'!BB45</f>
        <v>2.7660347574101279E-2</v>
      </c>
      <c r="G45" s="16">
        <f>'ALL VARS'!J45</f>
        <v>67.91300050000001</v>
      </c>
    </row>
    <row r="46" spans="1:7" x14ac:dyDescent="0.25">
      <c r="A46" s="24">
        <f>'ALL VARS'!A46</f>
        <v>43916</v>
      </c>
      <c r="B46" s="16">
        <f>'ALL VARS'!F46</f>
        <v>-5.1117326046437227E-2</v>
      </c>
      <c r="C46" s="16">
        <f>'ALL VARS'!G46</f>
        <v>1.7657086927428463E-2</v>
      </c>
      <c r="D46" s="16">
        <f>'ALL VARS'!H46</f>
        <v>4.5191001874909938E-2</v>
      </c>
      <c r="E46" s="16">
        <f>'ALL VARS'!AZ46</f>
        <v>-3.7731349931210585E-2</v>
      </c>
      <c r="F46" s="16">
        <f>'ALL VARS'!BB46</f>
        <v>-0.91104199229114424</v>
      </c>
      <c r="G46" s="16">
        <f>'ALL VARS'!J46</f>
        <v>69.360000600000006</v>
      </c>
    </row>
    <row r="47" spans="1:7" x14ac:dyDescent="0.25">
      <c r="A47" s="24">
        <f>'ALL VARS'!A47</f>
        <v>43915</v>
      </c>
      <c r="B47" s="16">
        <f>'ALL VARS'!F47</f>
        <v>1.7657086927428463E-2</v>
      </c>
      <c r="C47" s="16">
        <f>'ALL VARS'!G47</f>
        <v>4.5191001874909938E-2</v>
      </c>
      <c r="D47" s="16">
        <f>'ALL VARS'!H47</f>
        <v>0.11957070036068938</v>
      </c>
      <c r="E47" s="16">
        <f>'ALL VARS'!AZ47</f>
        <v>-4.0847629201295664E-2</v>
      </c>
      <c r="F47" s="16">
        <f>'ALL VARS'!BB47</f>
        <v>-0.94523422392396128</v>
      </c>
      <c r="G47" s="16">
        <f>'ALL VARS'!J47</f>
        <v>68.355000700000005</v>
      </c>
    </row>
    <row r="48" spans="1:7" x14ac:dyDescent="0.25">
      <c r="A48" s="24">
        <f>'ALL VARS'!A48</f>
        <v>43914</v>
      </c>
      <c r="B48" s="16">
        <f>'ALL VARS'!F48</f>
        <v>4.5191001874909938E-2</v>
      </c>
      <c r="C48" s="16">
        <f>'ALL VARS'!G48</f>
        <v>0.11957070036068938</v>
      </c>
      <c r="D48" s="16">
        <f>'ALL VARS'!H48</f>
        <v>-5.2591151998453836E-2</v>
      </c>
      <c r="E48" s="16">
        <f>'ALL VARS'!AZ48</f>
        <v>8.240900896687036E-3</v>
      </c>
      <c r="F48" s="16">
        <f>'ALL VARS'!BB48</f>
        <v>0.1788563249201981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CD3-5E14-473F-9510-50C59CB003EF}">
  <sheetPr codeName="Feuil14"/>
  <dimension ref="A1:Q48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VARS'!BD1</f>
        <v>Sent_t_+_1_k, k=9</v>
      </c>
      <c r="F1" s="16" t="str">
        <f>'ALL VARS'!BF1</f>
        <v>Sent_t_+_1_k, k=9 * (VIX_10_t  minus VIX_bar_10)</v>
      </c>
      <c r="G1" s="16" t="str">
        <f>'ALL VARS'!J1</f>
        <v>VIX_10_t</v>
      </c>
    </row>
    <row r="2" spans="1:14" x14ac:dyDescent="0.25">
      <c r="A2" s="24">
        <f>'ALL VARS'!A2</f>
        <v>43980</v>
      </c>
      <c r="B2" s="16">
        <f>'ALL VARS'!F2</f>
        <v>2.3093919546915233E-2</v>
      </c>
      <c r="C2" s="16">
        <f>'ALL VARS'!G2</f>
        <v>-4.5798180601685388E-3</v>
      </c>
      <c r="D2" s="16">
        <f>'ALL VARS'!H2</f>
        <v>-6.0894480094293875E-4</v>
      </c>
      <c r="E2" s="16">
        <f>'ALL VARS'!BD2</f>
        <v>-5.3754327257803909E-3</v>
      </c>
      <c r="F2" s="16">
        <f>'ALL VARS'!BF2</f>
        <v>8.488619326841354E-2</v>
      </c>
      <c r="G2" s="16">
        <f>'ALL VARS'!J2</f>
        <v>29.423000200000001</v>
      </c>
      <c r="I2" s="18" t="s">
        <v>39</v>
      </c>
    </row>
    <row r="3" spans="1:14" ht="15.75" thickBot="1" x14ac:dyDescent="0.3">
      <c r="A3" s="24">
        <f>'ALL VARS'!A3</f>
        <v>43979</v>
      </c>
      <c r="B3" s="16">
        <f>'ALL VARS'!F3</f>
        <v>-4.5798180601685388E-3</v>
      </c>
      <c r="C3" s="16">
        <f>'ALL VARS'!G3</f>
        <v>-6.0894480094293875E-4</v>
      </c>
      <c r="D3" s="16">
        <f>'ALL VARS'!H3</f>
        <v>8.1792696244475296E-3</v>
      </c>
      <c r="E3" s="16">
        <f>'ALL VARS'!BD3</f>
        <v>-3.9796520318904297E-3</v>
      </c>
      <c r="F3" s="16">
        <f>'ALL VARS'!BF3</f>
        <v>6.0182323327020774E-2</v>
      </c>
      <c r="G3" s="16">
        <f>'ALL VARS'!J3</f>
        <v>30.092000099999996</v>
      </c>
    </row>
    <row r="4" spans="1:14" x14ac:dyDescent="0.25">
      <c r="A4" s="24">
        <f>'ALL VARS'!A4</f>
        <v>43978</v>
      </c>
      <c r="B4" s="16">
        <f>'ALL VARS'!F4</f>
        <v>-6.0894480094293875E-4</v>
      </c>
      <c r="C4" s="16">
        <f>'ALL VARS'!G4</f>
        <v>8.1792696244475296E-3</v>
      </c>
      <c r="D4" s="16">
        <f>'ALL VARS'!H4</f>
        <v>4.8223739412853626E-3</v>
      </c>
      <c r="E4" s="16">
        <f>'ALL VARS'!BD4</f>
        <v>1.3920829602683825E-4</v>
      </c>
      <c r="F4" s="16">
        <f>'ALL VARS'!BF4</f>
        <v>-2.0297278011269467E-3</v>
      </c>
      <c r="G4" s="16">
        <f>'ALL VARS'!J4</f>
        <v>30.634000099999998</v>
      </c>
      <c r="I4" s="26" t="s">
        <v>40</v>
      </c>
      <c r="J4" s="26"/>
    </row>
    <row r="5" spans="1:14" x14ac:dyDescent="0.25">
      <c r="A5" s="24">
        <f>'ALL VARS'!A5</f>
        <v>43977</v>
      </c>
      <c r="B5" s="16">
        <f>'ALL VARS'!F5</f>
        <v>8.1792696244475296E-3</v>
      </c>
      <c r="C5" s="16">
        <f>'ALL VARS'!G5</f>
        <v>4.8223739412853626E-3</v>
      </c>
      <c r="D5" s="16">
        <f>'ALL VARS'!H5</f>
        <v>1.0849210535487055E-2</v>
      </c>
      <c r="E5" s="16">
        <f>'ALL VARS'!BD5</f>
        <v>-3.5602186601439139E-3</v>
      </c>
      <c r="F5" s="16">
        <f>'ALL VARS'!BF5</f>
        <v>5.2066449531188629E-2</v>
      </c>
      <c r="G5" s="16">
        <f>'ALL VARS'!J5</f>
        <v>30.590000099999997</v>
      </c>
      <c r="I5" s="18" t="s">
        <v>41</v>
      </c>
      <c r="J5" s="18">
        <v>0.34401900038594485</v>
      </c>
    </row>
    <row r="6" spans="1:14" x14ac:dyDescent="0.25">
      <c r="A6" s="24">
        <f>'ALL VARS'!A6</f>
        <v>43976</v>
      </c>
      <c r="B6" s="16">
        <f>'ALL VARS'!F6</f>
        <v>4.8223739412853626E-3</v>
      </c>
      <c r="C6" s="16">
        <f>'ALL VARS'!G6</f>
        <v>1.0849210535487055E-2</v>
      </c>
      <c r="D6" s="16">
        <f>'ALL VARS'!H6</f>
        <v>1.9280759189597432E-3</v>
      </c>
      <c r="E6" s="16">
        <f>'ALL VARS'!BD6</f>
        <v>5.1086517628979589E-3</v>
      </c>
      <c r="F6" s="16">
        <f>'ALL VARS'!BF6</f>
        <v>-7.4757501111068214E-2</v>
      </c>
      <c r="G6" s="16">
        <f>'ALL VARS'!J6</f>
        <v>30.581000099999997</v>
      </c>
      <c r="I6" s="18" t="s">
        <v>42</v>
      </c>
      <c r="J6" s="18">
        <v>0.11834907262654472</v>
      </c>
    </row>
    <row r="7" spans="1:14" x14ac:dyDescent="0.25">
      <c r="A7" s="24">
        <f>'ALL VARS'!A7</f>
        <v>43973</v>
      </c>
      <c r="B7" s="16">
        <f>'ALL VARS'!F7</f>
        <v>1.0849210535487055E-2</v>
      </c>
      <c r="C7" s="16">
        <f>'ALL VARS'!G7</f>
        <v>1.9280759189597432E-3</v>
      </c>
      <c r="D7" s="16">
        <f>'ALL VARS'!H7</f>
        <v>-7.5144837132717695E-3</v>
      </c>
      <c r="E7" s="16">
        <f>'ALL VARS'!BD7</f>
        <v>-1.1964375535987065E-2</v>
      </c>
      <c r="F7" s="16">
        <f>'ALL VARS'!BF7</f>
        <v>0.17518847543655361</v>
      </c>
      <c r="G7" s="16">
        <f>'ALL VARS'!J7</f>
        <v>30.572000099999997</v>
      </c>
      <c r="I7" s="18" t="s">
        <v>42</v>
      </c>
      <c r="J7" s="18">
        <v>1.0572793829072776E-2</v>
      </c>
    </row>
    <row r="8" spans="1:14" x14ac:dyDescent="0.25">
      <c r="A8" s="24">
        <f>'ALL VARS'!A8</f>
        <v>43972</v>
      </c>
      <c r="B8" s="16">
        <f>'ALL VARS'!F8</f>
        <v>1.9280759189597432E-3</v>
      </c>
      <c r="C8" s="16">
        <f>'ALL VARS'!G8</f>
        <v>-7.5144837132717695E-3</v>
      </c>
      <c r="D8" s="16">
        <f>'ALL VARS'!H8</f>
        <v>7.5307923146686901E-3</v>
      </c>
      <c r="E8" s="16">
        <f>'ALL VARS'!BD8</f>
        <v>7.4226306874589608E-4</v>
      </c>
      <c r="F8" s="16">
        <f>'ALL VARS'!BF8</f>
        <v>-1.0726821354540336E-2</v>
      </c>
      <c r="G8" s="16">
        <f>'ALL VARS'!J8</f>
        <v>30.763000099999999</v>
      </c>
      <c r="I8" s="18" t="s">
        <v>43</v>
      </c>
      <c r="J8" s="18">
        <v>2.0335911870368182E-2</v>
      </c>
    </row>
    <row r="9" spans="1:14" ht="15.75" thickBot="1" x14ac:dyDescent="0.3">
      <c r="A9" s="24">
        <f>'ALL VARS'!A9</f>
        <v>43971</v>
      </c>
      <c r="B9" s="16">
        <f>'ALL VARS'!F9</f>
        <v>-7.5144837132717695E-3</v>
      </c>
      <c r="C9" s="16">
        <f>'ALL VARS'!G9</f>
        <v>7.5307923146686901E-3</v>
      </c>
      <c r="D9" s="16">
        <f>'ALL VARS'!H9</f>
        <v>1.6845500851389788E-2</v>
      </c>
      <c r="E9" s="16">
        <f>'ALL VARS'!BD9</f>
        <v>1.5858909099991488E-2</v>
      </c>
      <c r="F9" s="16">
        <f>'ALL VARS'!BF9</f>
        <v>-0.21946365653299488</v>
      </c>
      <c r="G9" s="16">
        <f>'ALL VARS'!J9</f>
        <v>31.375999999999998</v>
      </c>
      <c r="I9" s="28" t="s">
        <v>44</v>
      </c>
      <c r="J9" s="28">
        <v>47</v>
      </c>
    </row>
    <row r="10" spans="1:14" x14ac:dyDescent="0.25">
      <c r="A10" s="24">
        <f>'ALL VARS'!A10</f>
        <v>43970</v>
      </c>
      <c r="B10" s="16">
        <f>'ALL VARS'!F10</f>
        <v>7.5307923146686901E-3</v>
      </c>
      <c r="C10" s="16">
        <f>'ALL VARS'!G10</f>
        <v>1.6845500851389788E-2</v>
      </c>
      <c r="D10" s="16">
        <f>'ALL VARS'!H10</f>
        <v>8.9044014875318926E-3</v>
      </c>
      <c r="E10" s="16">
        <f>'ALL VARS'!BD10</f>
        <v>8.7598101606754693E-3</v>
      </c>
      <c r="F10" s="16">
        <f>'ALL VARS'!BF10</f>
        <v>-0.11852469034025535</v>
      </c>
      <c r="G10" s="16">
        <f>'ALL VARS'!J10</f>
        <v>31.683999999999997</v>
      </c>
    </row>
    <row r="11" spans="1:14" ht="15.75" thickBot="1" x14ac:dyDescent="0.3">
      <c r="A11" s="24">
        <f>'ALL VARS'!A11</f>
        <v>43966</v>
      </c>
      <c r="B11" s="16">
        <f>'ALL VARS'!F11</f>
        <v>1.6845500851389788E-2</v>
      </c>
      <c r="C11" s="16">
        <f>'ALL VARS'!G11</f>
        <v>8.9044014875318926E-3</v>
      </c>
      <c r="D11" s="16">
        <f>'ALL VARS'!H11</f>
        <v>4.4817694802564231E-4</v>
      </c>
      <c r="E11" s="16">
        <f>'ALL VARS'!BD11</f>
        <v>8.3448581924290572E-3</v>
      </c>
      <c r="F11" s="16">
        <f>'ALL VARS'!BF11</f>
        <v>-0.10292138206819643</v>
      </c>
      <c r="G11" s="16">
        <f>'ALL VARS'!J11</f>
        <v>32.881000200000003</v>
      </c>
      <c r="I11" s="18" t="s">
        <v>45</v>
      </c>
    </row>
    <row r="12" spans="1:14" x14ac:dyDescent="0.25">
      <c r="A12" s="24">
        <f>'ALL VARS'!A12</f>
        <v>43965</v>
      </c>
      <c r="B12" s="16">
        <f>'ALL VARS'!F12</f>
        <v>8.9044014875318926E-3</v>
      </c>
      <c r="C12" s="16">
        <f>'ALL VARS'!G12</f>
        <v>4.4817694802564231E-4</v>
      </c>
      <c r="D12" s="16">
        <f>'ALL VARS'!H12</f>
        <v>-2.5401176991557837E-2</v>
      </c>
      <c r="E12" s="16">
        <f>'ALL VARS'!BD12</f>
        <v>-2.8211159628678006E-3</v>
      </c>
      <c r="F12" s="16">
        <f>'ALL VARS'!BF12</f>
        <v>3.4359806453051783E-2</v>
      </c>
      <c r="G12" s="16">
        <f>'ALL VARS'!J12</f>
        <v>33.0350003</v>
      </c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A13" s="24">
        <f>'ALL VARS'!A13</f>
        <v>43964</v>
      </c>
      <c r="B13" s="16">
        <f>'ALL VARS'!F13</f>
        <v>4.4817694802564231E-4</v>
      </c>
      <c r="C13" s="16">
        <f>'ALL VARS'!G13</f>
        <v>-2.5401176991557837E-2</v>
      </c>
      <c r="D13" s="16">
        <f>'ALL VARS'!H13</f>
        <v>-1.4698871572495898E-2</v>
      </c>
      <c r="E13" s="16">
        <f>'ALL VARS'!BD13</f>
        <v>5.2178061128379328E-3</v>
      </c>
      <c r="F13" s="16">
        <f>'ALL VARS'!BF13</f>
        <v>-6.5663525973373785E-2</v>
      </c>
      <c r="G13" s="16">
        <f>'ALL VARS'!J13</f>
        <v>32.630000399999993</v>
      </c>
      <c r="I13" s="18" t="s">
        <v>46</v>
      </c>
      <c r="J13" s="18">
        <v>5</v>
      </c>
      <c r="K13" s="18">
        <v>2.3315502674913502E-3</v>
      </c>
      <c r="L13" s="18">
        <v>4.6631005349827005E-4</v>
      </c>
      <c r="M13" s="18">
        <v>1.1275802919241698</v>
      </c>
      <c r="N13" s="18">
        <v>0.3611324312384917</v>
      </c>
    </row>
    <row r="14" spans="1:14" x14ac:dyDescent="0.25">
      <c r="A14" s="24">
        <f>'ALL VARS'!A14</f>
        <v>43963</v>
      </c>
      <c r="B14" s="16">
        <f>'ALL VARS'!F14</f>
        <v>-2.5401176991557837E-2</v>
      </c>
      <c r="C14" s="16">
        <f>'ALL VARS'!G14</f>
        <v>-1.4698871572495898E-2</v>
      </c>
      <c r="D14" s="16">
        <f>'ALL VARS'!H14</f>
        <v>9.1270288220883112E-3</v>
      </c>
      <c r="E14" s="16">
        <f>'ALL VARS'!BD14</f>
        <v>2.1353122868791098E-3</v>
      </c>
      <c r="F14" s="16">
        <f>'ALL VARS'!BF14</f>
        <v>-2.6758684530211702E-2</v>
      </c>
      <c r="G14" s="16">
        <f>'ALL VARS'!J14</f>
        <v>32.683000299999996</v>
      </c>
      <c r="I14" s="18" t="s">
        <v>47</v>
      </c>
      <c r="J14" s="18">
        <v>42</v>
      </c>
      <c r="K14" s="18">
        <v>1.7369071087174025E-2</v>
      </c>
      <c r="L14" s="18">
        <v>4.1354931159938153E-4</v>
      </c>
    </row>
    <row r="15" spans="1:14" ht="15.75" thickBot="1" x14ac:dyDescent="0.3">
      <c r="A15" s="24">
        <f>'ALL VARS'!A15</f>
        <v>43962</v>
      </c>
      <c r="B15" s="16">
        <f>'ALL VARS'!F15</f>
        <v>-1.4698871572495898E-2</v>
      </c>
      <c r="C15" s="16">
        <f>'ALL VARS'!G15</f>
        <v>9.1270288220883112E-3</v>
      </c>
      <c r="D15" s="16">
        <f>'ALL VARS'!H15</f>
        <v>8.9592894728179693E-3</v>
      </c>
      <c r="E15" s="16">
        <f>'ALL VARS'!BD15</f>
        <v>-1.335816749164582E-2</v>
      </c>
      <c r="F15" s="16">
        <f>'ALL VARS'!BF15</f>
        <v>0.15975711918406127</v>
      </c>
      <c r="G15" s="16">
        <f>'ALL VARS'!J15</f>
        <v>33.2550004</v>
      </c>
      <c r="I15" s="28" t="s">
        <v>48</v>
      </c>
      <c r="J15" s="28">
        <v>47</v>
      </c>
      <c r="K15" s="28">
        <v>1.9700621354665375E-2</v>
      </c>
      <c r="L15" s="28"/>
      <c r="M15" s="28"/>
      <c r="N15" s="28"/>
    </row>
    <row r="16" spans="1:14" ht="15.75" thickBot="1" x14ac:dyDescent="0.3">
      <c r="A16" s="24">
        <f>'ALL VARS'!A16</f>
        <v>43959</v>
      </c>
      <c r="B16" s="16">
        <f>'ALL VARS'!F16</f>
        <v>9.1270288220883112E-3</v>
      </c>
      <c r="C16" s="16">
        <f>'ALL VARS'!G16</f>
        <v>8.9592894728179693E-3</v>
      </c>
      <c r="D16" s="16">
        <f>'ALL VARS'!H16</f>
        <v>2.0228309928424119E-4</v>
      </c>
      <c r="E16" s="16">
        <f>'ALL VARS'!BD16</f>
        <v>1.5914589179289761E-3</v>
      </c>
      <c r="F16" s="16">
        <f>'ALL VARS'!BF16</f>
        <v>-1.7767856798100966E-2</v>
      </c>
      <c r="G16" s="16">
        <f>'ALL VARS'!J16</f>
        <v>34.050000400000002</v>
      </c>
    </row>
    <row r="17" spans="1:17" x14ac:dyDescent="0.25">
      <c r="A17" s="24">
        <f>'ALL VARS'!A17</f>
        <v>43958</v>
      </c>
      <c r="B17" s="16">
        <f>'ALL VARS'!F17</f>
        <v>8.9592894728179693E-3</v>
      </c>
      <c r="C17" s="16">
        <f>'ALL VARS'!G17</f>
        <v>2.0228309928424119E-4</v>
      </c>
      <c r="D17" s="16">
        <f>'ALL VARS'!H17</f>
        <v>1.2895694256002256E-3</v>
      </c>
      <c r="E17" s="16">
        <f>'ALL VARS'!BD17</f>
        <v>4.2874252555701571E-3</v>
      </c>
      <c r="F17" s="16">
        <f>'ALL VARS'!BF17</f>
        <v>-4.360529549380774E-2</v>
      </c>
      <c r="G17" s="16">
        <f>'ALL VARS'!J17</f>
        <v>35.044000400000002</v>
      </c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1:17" x14ac:dyDescent="0.25">
      <c r="A18" s="24">
        <f>'ALL VARS'!A18</f>
        <v>43957</v>
      </c>
      <c r="B18" s="16">
        <f>'ALL VARS'!F18</f>
        <v>2.0228309928424119E-4</v>
      </c>
      <c r="C18" s="16">
        <f>'ALL VARS'!G18</f>
        <v>1.2895694256002256E-3</v>
      </c>
      <c r="D18" s="16">
        <f>'ALL VARS'!H18</f>
        <v>4.5167588335029351E-3</v>
      </c>
      <c r="E18" s="16">
        <f>'ALL VARS'!BD18</f>
        <v>-5.3106706276788151E-2</v>
      </c>
      <c r="F18" s="16">
        <f>'ALL VARS'!BF18</f>
        <v>0.49838033720687769</v>
      </c>
      <c r="G18" s="16">
        <f>'ALL VARS'!J18</f>
        <v>35.830000499999997</v>
      </c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4">
        <f>'ALL VARS'!A19</f>
        <v>43956</v>
      </c>
      <c r="B19" s="16">
        <f>'ALL VARS'!F19</f>
        <v>1.2895694256002256E-3</v>
      </c>
      <c r="C19" s="16">
        <f>'ALL VARS'!G19</f>
        <v>4.5167588335029351E-3</v>
      </c>
      <c r="D19" s="16">
        <f>'ALL VARS'!H19</f>
        <v>8.5292501975474666E-3</v>
      </c>
      <c r="E19" s="16">
        <f>'ALL VARS'!BD19</f>
        <v>-2.7385825814341918E-3</v>
      </c>
      <c r="F19" s="16">
        <f>'ALL VARS'!BF19</f>
        <v>2.2468724379623189E-2</v>
      </c>
      <c r="G19" s="16">
        <f>'ALL VARS'!J19</f>
        <v>37.010000400000003</v>
      </c>
      <c r="I19" s="18" t="s">
        <v>36</v>
      </c>
      <c r="J19" s="18">
        <v>-3.2845922706098742E-2</v>
      </c>
      <c r="K19" s="18">
        <v>0.12296223278008499</v>
      </c>
      <c r="L19" s="18">
        <v>-0.2671220419756275</v>
      </c>
      <c r="M19" s="18">
        <v>0.79068250237630022</v>
      </c>
      <c r="N19" s="18">
        <v>-0.28099375481729083</v>
      </c>
      <c r="O19" s="18">
        <v>0.21530190940509333</v>
      </c>
      <c r="P19" s="18">
        <v>-0.28099375481729083</v>
      </c>
      <c r="Q19" s="18">
        <v>0.21530190940509333</v>
      </c>
    </row>
    <row r="20" spans="1:17" x14ac:dyDescent="0.25">
      <c r="A20" s="24">
        <f>'ALL VARS'!A20</f>
        <v>43955</v>
      </c>
      <c r="B20" s="16">
        <f>'ALL VARS'!F20</f>
        <v>4.5167588335029351E-3</v>
      </c>
      <c r="C20" s="16">
        <f>'ALL VARS'!G20</f>
        <v>8.5292501975474666E-3</v>
      </c>
      <c r="D20" s="16">
        <f>'ALL VARS'!H20</f>
        <v>-1.0852015661224153E-2</v>
      </c>
      <c r="E20" s="16">
        <f>'ALL VARS'!BD20</f>
        <v>2.0555600679378824E-2</v>
      </c>
      <c r="F20" s="16">
        <f>'ALL VARS'!BF20</f>
        <v>-0.15249189865107668</v>
      </c>
      <c r="G20" s="16">
        <f>'ALL VARS'!J20</f>
        <v>37.796000499999998</v>
      </c>
      <c r="I20" s="18" t="s">
        <v>37</v>
      </c>
      <c r="J20" s="18">
        <v>-0.16271349076585703</v>
      </c>
      <c r="K20" s="18">
        <v>0.11396329988638433</v>
      </c>
      <c r="L20" s="18">
        <v>-1.4277709659870694</v>
      </c>
      <c r="M20" s="18">
        <v>0.16075157590979072</v>
      </c>
      <c r="N20" s="18">
        <v>-0.39270074105938074</v>
      </c>
      <c r="O20" s="18">
        <v>6.7273759527666677E-2</v>
      </c>
      <c r="P20" s="18">
        <v>-0.39270074105938074</v>
      </c>
      <c r="Q20" s="18">
        <v>6.7273759527666677E-2</v>
      </c>
    </row>
    <row r="21" spans="1:17" x14ac:dyDescent="0.25">
      <c r="A21" s="24">
        <f>'ALL VARS'!A21</f>
        <v>43952</v>
      </c>
      <c r="B21" s="16">
        <f>'ALL VARS'!F21</f>
        <v>8.5292501975474666E-3</v>
      </c>
      <c r="C21" s="16">
        <f>'ALL VARS'!G21</f>
        <v>-1.0852015661224153E-2</v>
      </c>
      <c r="D21" s="16">
        <f>'ALL VARS'!H21</f>
        <v>-2.9379858648651246E-2</v>
      </c>
      <c r="E21" s="16">
        <f>'ALL VARS'!BD21</f>
        <v>-3.4537293494067284E-3</v>
      </c>
      <c r="F21" s="16">
        <f>'ALL VARS'!BF21</f>
        <v>2.528996153008476E-2</v>
      </c>
      <c r="G21" s="16">
        <f>'ALL VARS'!J21</f>
        <v>37.892000799999991</v>
      </c>
      <c r="I21" s="18" t="s">
        <v>18</v>
      </c>
      <c r="J21" s="18">
        <v>5.7153933080202259E-2</v>
      </c>
      <c r="K21" s="18">
        <v>0.16047329131264276</v>
      </c>
      <c r="L21" s="18">
        <v>0.35615853960926042</v>
      </c>
      <c r="M21" s="18">
        <v>0.72350474241952689</v>
      </c>
      <c r="N21" s="18">
        <v>-0.26669427990889638</v>
      </c>
      <c r="O21" s="18">
        <v>0.38100214606930094</v>
      </c>
      <c r="P21" s="18">
        <v>-0.26669427990889638</v>
      </c>
      <c r="Q21" s="18">
        <v>0.38100214606930094</v>
      </c>
    </row>
    <row r="22" spans="1:17" x14ac:dyDescent="0.25">
      <c r="A22" s="24">
        <f>'ALL VARS'!A22</f>
        <v>43951</v>
      </c>
      <c r="B22" s="16">
        <f>'ALL VARS'!F22</f>
        <v>-1.0852015661224153E-2</v>
      </c>
      <c r="C22" s="16">
        <f>'ALL VARS'!G22</f>
        <v>-2.9379858648651246E-2</v>
      </c>
      <c r="D22" s="16">
        <f>'ALL VARS'!H22</f>
        <v>2.904386379946032E-2</v>
      </c>
      <c r="E22" s="16">
        <f>'ALL VARS'!BD22</f>
        <v>-2.0513555669253079E-2</v>
      </c>
      <c r="F22" s="16">
        <f>'ALL VARS'!BF22</f>
        <v>0.13798460275965185</v>
      </c>
      <c r="G22" s="16">
        <f>'ALL VARS'!J22</f>
        <v>38.488000700000001</v>
      </c>
      <c r="I22" s="18" t="s">
        <v>86</v>
      </c>
      <c r="J22" s="18">
        <v>2.9974836535283335E-3</v>
      </c>
      <c r="K22" s="18">
        <v>1.1577333177790122E-2</v>
      </c>
      <c r="L22" s="18">
        <v>0.25890968217781674</v>
      </c>
      <c r="M22" s="18">
        <v>0.79696967458491907</v>
      </c>
      <c r="N22" s="18">
        <v>-2.0366520600002845E-2</v>
      </c>
      <c r="O22" s="18">
        <v>2.6361487907059514E-2</v>
      </c>
      <c r="P22" s="18">
        <v>-2.0366520600002845E-2</v>
      </c>
      <c r="Q22" s="18">
        <v>2.6361487907059514E-2</v>
      </c>
    </row>
    <row r="23" spans="1:17" ht="15.75" thickBot="1" x14ac:dyDescent="0.3">
      <c r="A23" s="24">
        <f>'ALL VARS'!A23</f>
        <v>43950</v>
      </c>
      <c r="B23" s="16">
        <f>'ALL VARS'!F23</f>
        <v>-2.9379858648651246E-2</v>
      </c>
      <c r="C23" s="16">
        <f>'ALL VARS'!G23</f>
        <v>2.904386379946032E-2</v>
      </c>
      <c r="D23" s="16">
        <f>'ALL VARS'!H23</f>
        <v>1.0667882350970269E-2</v>
      </c>
      <c r="E23" s="16">
        <f>'ALL VARS'!BD23</f>
        <v>-4.2614824507283683E-3</v>
      </c>
      <c r="F23" s="16">
        <f>'ALL VARS'!BF23</f>
        <v>2.4569612499788909E-2</v>
      </c>
      <c r="G23" s="16">
        <f>'ALL VARS'!J23</f>
        <v>39.449000699999999</v>
      </c>
      <c r="I23" s="28" t="s">
        <v>4</v>
      </c>
      <c r="J23" s="28">
        <v>1.5749738292514782E-4</v>
      </c>
      <c r="K23" s="28">
        <v>7.3916780178345744E-5</v>
      </c>
      <c r="L23" s="28">
        <v>2.1307392251818809</v>
      </c>
      <c r="M23" s="28">
        <v>3.9009414120049796E-2</v>
      </c>
      <c r="N23" s="28">
        <v>8.3272813159750755E-6</v>
      </c>
      <c r="O23" s="28">
        <v>3.0666748453432059E-4</v>
      </c>
      <c r="P23" s="28">
        <v>8.3272813159750755E-6</v>
      </c>
      <c r="Q23" s="28">
        <v>3.0666748453432059E-4</v>
      </c>
    </row>
    <row r="24" spans="1:17" x14ac:dyDescent="0.25">
      <c r="A24" s="24">
        <f>'ALL VARS'!A24</f>
        <v>43949</v>
      </c>
      <c r="B24" s="16">
        <f>'ALL VARS'!F24</f>
        <v>2.904386379946032E-2</v>
      </c>
      <c r="C24" s="16">
        <f>'ALL VARS'!G24</f>
        <v>1.0667882350970269E-2</v>
      </c>
      <c r="D24" s="16">
        <f>'ALL VARS'!H24</f>
        <v>1.5373998778727917E-2</v>
      </c>
      <c r="E24" s="16">
        <f>'ALL VARS'!BD24</f>
        <v>8.9372199608673595E-5</v>
      </c>
      <c r="F24" s="16">
        <f>'ALL VARS'!BF24</f>
        <v>-4.7782922612581342E-4</v>
      </c>
      <c r="G24" s="16">
        <f>'ALL VARS'!J24</f>
        <v>39.868000500000008</v>
      </c>
    </row>
    <row r="25" spans="1:17" x14ac:dyDescent="0.25">
      <c r="A25" s="24">
        <f>'ALL VARS'!A25</f>
        <v>43948</v>
      </c>
      <c r="B25" s="16">
        <f>'ALL VARS'!F25</f>
        <v>1.0667882350970269E-2</v>
      </c>
      <c r="C25" s="16">
        <f>'ALL VARS'!G25</f>
        <v>1.5373998778727917E-2</v>
      </c>
      <c r="D25" s="16">
        <f>'ALL VARS'!H25</f>
        <v>1.1879839917270655E-2</v>
      </c>
      <c r="E25" s="16">
        <f>'ALL VARS'!BD25</f>
        <v>-1.545793392282597E-2</v>
      </c>
      <c r="F25" s="16">
        <f>'ALL VARS'!BF25</f>
        <v>7.0465128033973701E-2</v>
      </c>
      <c r="G25" s="16">
        <f>'ALL VARS'!J25</f>
        <v>40.656000200000001</v>
      </c>
    </row>
    <row r="26" spans="1:17" x14ac:dyDescent="0.25">
      <c r="A26" s="24">
        <f>'ALL VARS'!A26</f>
        <v>43945</v>
      </c>
      <c r="B26" s="16">
        <f>'ALL VARS'!F26</f>
        <v>1.5373998778727917E-2</v>
      </c>
      <c r="C26" s="16">
        <f>'ALL VARS'!G26</f>
        <v>1.1879839917270655E-2</v>
      </c>
      <c r="D26" s="16">
        <f>'ALL VARS'!H26</f>
        <v>-2.5965891780394849E-3</v>
      </c>
      <c r="E26" s="16">
        <f>'ALL VARS'!BD26</f>
        <v>-6.3264195949767855E-3</v>
      </c>
      <c r="F26" s="16">
        <f>'ALL VARS'!BF26</f>
        <v>2.5207675902753003E-2</v>
      </c>
      <c r="G26" s="16">
        <f>'ALL VARS'!J26</f>
        <v>41.230000000000004</v>
      </c>
    </row>
    <row r="27" spans="1:17" x14ac:dyDescent="0.25">
      <c r="A27" s="24">
        <f>'ALL VARS'!A27</f>
        <v>43944</v>
      </c>
      <c r="B27" s="16">
        <f>'ALL VARS'!F27</f>
        <v>1.1879839917270655E-2</v>
      </c>
      <c r="C27" s="16">
        <f>'ALL VARS'!G27</f>
        <v>-2.5965891780394849E-3</v>
      </c>
      <c r="D27" s="16">
        <f>'ALL VARS'!H27</f>
        <v>2.4971169199914333E-2</v>
      </c>
      <c r="E27" s="16">
        <f>'ALL VARS'!BD27</f>
        <v>-4.5491056290673619E-3</v>
      </c>
      <c r="F27" s="16">
        <f>'ALL VARS'!BF27</f>
        <v>1.7229779940621904E-2</v>
      </c>
      <c r="G27" s="16">
        <f>'ALL VARS'!J27</f>
        <v>41.42699970000001</v>
      </c>
    </row>
    <row r="28" spans="1:17" x14ac:dyDescent="0.25">
      <c r="A28" s="24">
        <f>'ALL VARS'!A28</f>
        <v>43943</v>
      </c>
      <c r="B28" s="16">
        <f>'ALL VARS'!F28</f>
        <v>-2.5965891780394849E-3</v>
      </c>
      <c r="C28" s="16">
        <f>'ALL VARS'!G28</f>
        <v>2.4971169199914333E-2</v>
      </c>
      <c r="D28" s="16">
        <f>'ALL VARS'!H28</f>
        <v>-3.1150323670921017E-2</v>
      </c>
      <c r="E28" s="16">
        <f>'ALL VARS'!BD28</f>
        <v>-8.140650392919108E-3</v>
      </c>
      <c r="F28" s="16">
        <f>'ALL VARS'!BF28</f>
        <v>2.6990401385961437E-2</v>
      </c>
      <c r="G28" s="16">
        <f>'ALL VARS'!J28</f>
        <v>41.898999799999999</v>
      </c>
    </row>
    <row r="29" spans="1:17" x14ac:dyDescent="0.25">
      <c r="A29" s="24">
        <f>'ALL VARS'!A29</f>
        <v>43942</v>
      </c>
      <c r="B29" s="16">
        <f>'ALL VARS'!F29</f>
        <v>2.4971169199914333E-2</v>
      </c>
      <c r="C29" s="16">
        <f>'ALL VARS'!G29</f>
        <v>-3.1150323670921017E-2</v>
      </c>
      <c r="D29" s="16">
        <f>'ALL VARS'!H29</f>
        <v>1.9776887879946956E-3</v>
      </c>
      <c r="E29" s="16">
        <f>'ALL VARS'!BD29</f>
        <v>4.9697058157848186E-3</v>
      </c>
      <c r="F29" s="16">
        <f>'ALL VARS'!BF29</f>
        <v>-1.6561589428205375E-2</v>
      </c>
      <c r="G29" s="16">
        <f>'ALL VARS'!J29</f>
        <v>41.881999999999998</v>
      </c>
    </row>
    <row r="30" spans="1:17" x14ac:dyDescent="0.25">
      <c r="A30" s="24">
        <f>'ALL VARS'!A30</f>
        <v>43941</v>
      </c>
      <c r="B30" s="16">
        <f>'ALL VARS'!F30</f>
        <v>-3.1150323670921017E-2</v>
      </c>
      <c r="C30" s="16">
        <f>'ALL VARS'!G30</f>
        <v>1.9776887879946956E-3</v>
      </c>
      <c r="D30" s="16">
        <f>'ALL VARS'!H30</f>
        <v>3.3138402111040632E-2</v>
      </c>
      <c r="E30" s="16">
        <f>'ALL VARS'!BD30</f>
        <v>1.3251235387729895E-2</v>
      </c>
      <c r="F30" s="16">
        <f>'ALL VARS'!BF30</f>
        <v>-4.0224248441925091E-2</v>
      </c>
      <c r="G30" s="16">
        <f>'ALL VARS'!J30</f>
        <v>42.178999699999999</v>
      </c>
    </row>
    <row r="31" spans="1:17" x14ac:dyDescent="0.25">
      <c r="A31" s="24">
        <f>'ALL VARS'!A31</f>
        <v>43938</v>
      </c>
      <c r="B31" s="16">
        <f>'ALL VARS'!F31</f>
        <v>1.9776887879946956E-3</v>
      </c>
      <c r="C31" s="16">
        <f>'ALL VARS'!G31</f>
        <v>3.3138402111040632E-2</v>
      </c>
      <c r="D31" s="16">
        <f>'ALL VARS'!H31</f>
        <v>-4.2482631253185207E-3</v>
      </c>
      <c r="E31" s="16">
        <f>'ALL VARS'!BD31</f>
        <v>6.160744642198155E-2</v>
      </c>
      <c r="F31" s="16">
        <f>'ALL VARS'!BF31</f>
        <v>-0.10839888811488171</v>
      </c>
      <c r="G31" s="16">
        <f>'ALL VARS'!J31</f>
        <v>43.4549995</v>
      </c>
    </row>
    <row r="32" spans="1:17" x14ac:dyDescent="0.25">
      <c r="A32" s="24">
        <f>'ALL VARS'!A32</f>
        <v>43937</v>
      </c>
      <c r="B32" s="16">
        <f>'ALL VARS'!F32</f>
        <v>3.3138402111040632E-2</v>
      </c>
      <c r="C32" s="16">
        <f>'ALL VARS'!G32</f>
        <v>-4.2482631253185207E-3</v>
      </c>
      <c r="D32" s="16">
        <f>'ALL VARS'!H32</f>
        <v>-2.1026256366684357E-2</v>
      </c>
      <c r="E32" s="16">
        <f>'ALL VARS'!BD32</f>
        <v>-2.5340185514325002E-3</v>
      </c>
      <c r="F32" s="16">
        <f>'ALL VARS'!BF32</f>
        <v>1.6346830530875305E-4</v>
      </c>
      <c r="G32" s="16">
        <f>'ALL VARS'!J32</f>
        <v>45.149999499999993</v>
      </c>
    </row>
    <row r="33" spans="1:7" x14ac:dyDescent="0.25">
      <c r="A33" s="24">
        <f>'ALL VARS'!A33</f>
        <v>43936</v>
      </c>
      <c r="B33" s="16">
        <f>'ALL VARS'!F33</f>
        <v>-4.2482631253185207E-3</v>
      </c>
      <c r="C33" s="16">
        <f>'ALL VARS'!G33</f>
        <v>-2.1026256366684357E-2</v>
      </c>
      <c r="D33" s="16">
        <f>'ALL VARS'!H33</f>
        <v>1.2965422809946055E-2</v>
      </c>
      <c r="E33" s="16">
        <f>'ALL VARS'!BD33</f>
        <v>-4.6637090889452179E-4</v>
      </c>
      <c r="F33" s="16">
        <f>'ALL VARS'!BF33</f>
        <v>-5.622057402402611E-4</v>
      </c>
      <c r="G33" s="16">
        <f>'ALL VARS'!J33</f>
        <v>46.419999600000004</v>
      </c>
    </row>
    <row r="34" spans="1:7" x14ac:dyDescent="0.25">
      <c r="A34" s="24">
        <f>'ALL VARS'!A34</f>
        <v>43935</v>
      </c>
      <c r="B34" s="16">
        <f>'ALL VARS'!F34</f>
        <v>-2.1026256366684357E-2</v>
      </c>
      <c r="C34" s="16">
        <f>'ALL VARS'!G34</f>
        <v>1.2965422809946055E-2</v>
      </c>
      <c r="D34" s="16">
        <f>'ALL VARS'!H34</f>
        <v>-6.4023280464834062E-3</v>
      </c>
      <c r="E34" s="16">
        <f>'ALL VARS'!BD34</f>
        <v>-4.892276269837903E-3</v>
      </c>
      <c r="F34" s="16">
        <f>'ALL VARS'!BF34</f>
        <v>-1.5349472697466626E-2</v>
      </c>
      <c r="G34" s="16">
        <f>'ALL VARS'!J34</f>
        <v>48.352000000000004</v>
      </c>
    </row>
    <row r="35" spans="1:7" x14ac:dyDescent="0.25">
      <c r="A35" s="24">
        <f>'ALL VARS'!A35</f>
        <v>43934</v>
      </c>
      <c r="B35" s="16">
        <f>'ALL VARS'!F35</f>
        <v>1.2965422809946055E-2</v>
      </c>
      <c r="C35" s="16">
        <f>'ALL VARS'!G35</f>
        <v>-6.4023280464834062E-3</v>
      </c>
      <c r="D35" s="16">
        <f>'ALL VARS'!H35</f>
        <v>1.729890853793448E-2</v>
      </c>
      <c r="E35" s="16">
        <f>'ALL VARS'!BD35</f>
        <v>1.6972422084757979E-3</v>
      </c>
      <c r="F35" s="16">
        <f>'ALL VARS'!BF35</f>
        <v>9.4612619013202236E-3</v>
      </c>
      <c r="G35" s="16">
        <f>'ALL VARS'!J35</f>
        <v>50.789000299999998</v>
      </c>
    </row>
    <row r="36" spans="1:7" x14ac:dyDescent="0.25">
      <c r="A36" s="24">
        <f>'ALL VARS'!A36</f>
        <v>43930</v>
      </c>
      <c r="B36" s="16">
        <f>'ALL VARS'!F36</f>
        <v>-6.4023280464834062E-3</v>
      </c>
      <c r="C36" s="16">
        <f>'ALL VARS'!G36</f>
        <v>1.729890853793448E-2</v>
      </c>
      <c r="D36" s="16">
        <f>'ALL VARS'!H36</f>
        <v>2.2888078899761091E-2</v>
      </c>
      <c r="E36" s="16">
        <f>'ALL VARS'!BD36</f>
        <v>-6.1823648810083627E-3</v>
      </c>
      <c r="F36" s="16">
        <f>'ALL VARS'!BF36</f>
        <v>-4.6414051707298898E-2</v>
      </c>
      <c r="G36" s="16">
        <f>'ALL VARS'!J36</f>
        <v>52.722000499999993</v>
      </c>
    </row>
    <row r="37" spans="1:7" x14ac:dyDescent="0.25">
      <c r="A37" s="24">
        <f>'ALL VARS'!A37</f>
        <v>43929</v>
      </c>
      <c r="B37" s="16">
        <f>'ALL VARS'!F37</f>
        <v>1.729890853793448E-2</v>
      </c>
      <c r="C37" s="16">
        <f>'ALL VARS'!G37</f>
        <v>2.2888078899761091E-2</v>
      </c>
      <c r="D37" s="16">
        <f>'ALL VARS'!H37</f>
        <v>1.5743313464585205E-3</v>
      </c>
      <c r="E37" s="16">
        <f>'ALL VARS'!BD37</f>
        <v>1.3995297573664355E-3</v>
      </c>
      <c r="F37" s="16">
        <f>'ALL VARS'!BF37</f>
        <v>1.3389989457816887E-2</v>
      </c>
      <c r="G37" s="16">
        <f>'ALL VARS'!J37</f>
        <v>54.782000800000006</v>
      </c>
    </row>
    <row r="38" spans="1:7" x14ac:dyDescent="0.25">
      <c r="A38" s="24">
        <f>'ALL VARS'!A38</f>
        <v>43928</v>
      </c>
      <c r="B38" s="16">
        <f>'ALL VARS'!F38</f>
        <v>2.2888078899761091E-2</v>
      </c>
      <c r="C38" s="16">
        <f>'ALL VARS'!G38</f>
        <v>1.5743313464585205E-3</v>
      </c>
      <c r="D38" s="16">
        <f>'ALL VARS'!H38</f>
        <v>5.0578545857092143E-2</v>
      </c>
      <c r="E38" s="16">
        <f>'ALL VARS'!BD38</f>
        <v>-1.2298260361468369E-3</v>
      </c>
      <c r="F38" s="16">
        <f>'ALL VARS'!BF38</f>
        <v>-1.3607399706164683E-2</v>
      </c>
      <c r="G38" s="16">
        <f>'ALL VARS'!J38</f>
        <v>56.279000499999995</v>
      </c>
    </row>
    <row r="39" spans="1:7" x14ac:dyDescent="0.25">
      <c r="A39" s="24">
        <f>'ALL VARS'!A39</f>
        <v>43927</v>
      </c>
      <c r="B39" s="16">
        <f>'ALL VARS'!F39</f>
        <v>1.5743313464585205E-3</v>
      </c>
      <c r="C39" s="16">
        <f>'ALL VARS'!G39</f>
        <v>5.0578545857092143E-2</v>
      </c>
      <c r="D39" s="16">
        <f>'ALL VARS'!H39</f>
        <v>-1.2177617796472343E-2</v>
      </c>
      <c r="E39" s="16">
        <f>'ALL VARS'!BD39</f>
        <v>-7.6309448321582957E-2</v>
      </c>
      <c r="F39" s="16">
        <f>'ALL VARS'!BF39</f>
        <v>-0.96909117399673461</v>
      </c>
      <c r="G39" s="16">
        <f>'ALL VARS'!J39</f>
        <v>57.914000299999998</v>
      </c>
    </row>
    <row r="40" spans="1:7" x14ac:dyDescent="0.25">
      <c r="A40" s="24">
        <f>'ALL VARS'!A40</f>
        <v>43924</v>
      </c>
      <c r="B40" s="16">
        <f>'ALL VARS'!F40</f>
        <v>5.0578545857092143E-2</v>
      </c>
      <c r="C40" s="16">
        <f>'ALL VARS'!G40</f>
        <v>-1.2177617796472343E-2</v>
      </c>
      <c r="D40" s="16">
        <f>'ALL VARS'!H40</f>
        <v>1.7194200807451526E-2</v>
      </c>
      <c r="E40" s="16">
        <f>'ALL VARS'!BD40</f>
        <v>-6.0566925067360123E-3</v>
      </c>
      <c r="F40" s="16">
        <f>'ALL VARS'!BF40</f>
        <v>-8.8569991305361737E-2</v>
      </c>
      <c r="G40" s="16">
        <f>'ALL VARS'!J40</f>
        <v>59.8380005</v>
      </c>
    </row>
    <row r="41" spans="1:7" x14ac:dyDescent="0.25">
      <c r="A41" s="24">
        <f>'ALL VARS'!A41</f>
        <v>43923</v>
      </c>
      <c r="B41" s="16">
        <f>'ALL VARS'!F41</f>
        <v>-1.2177617796472343E-2</v>
      </c>
      <c r="C41" s="16">
        <f>'ALL VARS'!G41</f>
        <v>1.7194200807451526E-2</v>
      </c>
      <c r="D41" s="16">
        <f>'ALL VARS'!H41</f>
        <v>-3.7551904604495374E-2</v>
      </c>
      <c r="E41" s="16">
        <f>'ALL VARS'!BD41</f>
        <v>-0.10159212809198306</v>
      </c>
      <c r="F41" s="16">
        <f>'ALL VARS'!BF41</f>
        <v>-1.6998894183401665</v>
      </c>
      <c r="G41" s="16">
        <f>'ALL VARS'!J41</f>
        <v>61.947000500000001</v>
      </c>
    </row>
    <row r="42" spans="1:7" x14ac:dyDescent="0.25">
      <c r="A42" s="24">
        <f>'ALL VARS'!A42</f>
        <v>43922</v>
      </c>
      <c r="B42" s="16">
        <f>'ALL VARS'!F42</f>
        <v>1.7194200807451526E-2</v>
      </c>
      <c r="C42" s="16">
        <f>'ALL VARS'!G42</f>
        <v>-3.7551904604495374E-2</v>
      </c>
      <c r="D42" s="16">
        <f>'ALL VARS'!H42</f>
        <v>2.6099613068988042E-2</v>
      </c>
      <c r="E42" s="16">
        <f>'ALL VARS'!BD42</f>
        <v>-5.0730612500434714E-3</v>
      </c>
      <c r="F42" s="16">
        <f>'ALL VARS'!BF42</f>
        <v>-9.4721617908740854E-2</v>
      </c>
      <c r="G42" s="16">
        <f>'ALL VARS'!J42</f>
        <v>63.886000100000004</v>
      </c>
    </row>
    <row r="43" spans="1:7" x14ac:dyDescent="0.25">
      <c r="A43" s="24">
        <f>'ALL VARS'!A43</f>
        <v>43921</v>
      </c>
      <c r="B43" s="16">
        <f>'ALL VARS'!F43</f>
        <v>-3.7551904604495374E-2</v>
      </c>
      <c r="C43" s="16">
        <f>'ALL VARS'!G43</f>
        <v>2.6099613068988042E-2</v>
      </c>
      <c r="D43" s="16">
        <f>'ALL VARS'!H43</f>
        <v>2.7648809446036929E-2</v>
      </c>
      <c r="E43" s="16">
        <f>'ALL VARS'!BD43</f>
        <v>1.3260906871456596E-2</v>
      </c>
      <c r="F43" s="16">
        <f>'ALL VARS'!BF43</f>
        <v>0.27726555709193346</v>
      </c>
      <c r="G43" s="16">
        <f>'ALL VARS'!J43</f>
        <v>66.123000399999995</v>
      </c>
    </row>
    <row r="44" spans="1:7" x14ac:dyDescent="0.25">
      <c r="A44" s="24">
        <f>'ALL VARS'!A44</f>
        <v>43920</v>
      </c>
      <c r="B44" s="16">
        <f>'ALL VARS'!F44</f>
        <v>2.6099613068988042E-2</v>
      </c>
      <c r="C44" s="16">
        <f>'ALL VARS'!G44</f>
        <v>2.7648809446036929E-2</v>
      </c>
      <c r="D44" s="16">
        <f>'ALL VARS'!H44</f>
        <v>-5.1117326046437227E-2</v>
      </c>
      <c r="E44" s="16">
        <f>'ALL VARS'!BD44</f>
        <v>-6.0880198536122808E-3</v>
      </c>
      <c r="F44" s="16">
        <f>'ALL VARS'!BF44</f>
        <v>-0.14288272951193698</v>
      </c>
      <c r="G44" s="16">
        <f>'ALL VARS'!J44</f>
        <v>68.684000400000002</v>
      </c>
    </row>
    <row r="45" spans="1:7" x14ac:dyDescent="0.25">
      <c r="A45" s="24">
        <f>'ALL VARS'!A45</f>
        <v>43917</v>
      </c>
      <c r="B45" s="16">
        <f>'ALL VARS'!F45</f>
        <v>2.7648809446036929E-2</v>
      </c>
      <c r="C45" s="16">
        <f>'ALL VARS'!G45</f>
        <v>-5.1117326046437227E-2</v>
      </c>
      <c r="D45" s="16">
        <f>'ALL VARS'!H45</f>
        <v>1.7657086927428463E-2</v>
      </c>
      <c r="E45" s="16">
        <f>'ALL VARS'!BD45</f>
        <v>1.218634387890933E-3</v>
      </c>
      <c r="F45" s="16">
        <f>'ALL VARS'!BF45</f>
        <v>2.7661162278046453E-2</v>
      </c>
      <c r="G45" s="16">
        <f>'ALL VARS'!J45</f>
        <v>67.91300050000001</v>
      </c>
    </row>
    <row r="46" spans="1:7" x14ac:dyDescent="0.25">
      <c r="A46" s="24">
        <f>'ALL VARS'!A46</f>
        <v>43916</v>
      </c>
      <c r="B46" s="16">
        <f>'ALL VARS'!F46</f>
        <v>-5.1117326046437227E-2</v>
      </c>
      <c r="C46" s="16">
        <f>'ALL VARS'!G46</f>
        <v>1.7657086927428463E-2</v>
      </c>
      <c r="D46" s="16">
        <f>'ALL VARS'!H46</f>
        <v>4.5191001874909938E-2</v>
      </c>
      <c r="E46" s="16">
        <f>'ALL VARS'!BD46</f>
        <v>-1.5103702282393836E-2</v>
      </c>
      <c r="F46" s="16">
        <f>'ALL VARS'!BF46</f>
        <v>-0.36468631637645993</v>
      </c>
      <c r="G46" s="16">
        <f>'ALL VARS'!J46</f>
        <v>69.360000600000006</v>
      </c>
    </row>
    <row r="47" spans="1:7" x14ac:dyDescent="0.25">
      <c r="A47" s="24">
        <f>'ALL VARS'!A47</f>
        <v>43915</v>
      </c>
      <c r="B47" s="16">
        <f>'ALL VARS'!F47</f>
        <v>1.7657086927428463E-2</v>
      </c>
      <c r="C47" s="16">
        <f>'ALL VARS'!G47</f>
        <v>4.5191001874909938E-2</v>
      </c>
      <c r="D47" s="16">
        <f>'ALL VARS'!H47</f>
        <v>0.11957070036068938</v>
      </c>
      <c r="E47" s="16">
        <f>'ALL VARS'!BD47</f>
        <v>-4.4819921989731761E-2</v>
      </c>
      <c r="F47" s="16">
        <f>'ALL VARS'!BF47</f>
        <v>-1.0371550321689853</v>
      </c>
      <c r="G47" s="16">
        <f>'ALL VARS'!J47</f>
        <v>68.355000700000005</v>
      </c>
    </row>
    <row r="48" spans="1:7" x14ac:dyDescent="0.25">
      <c r="A48" s="24">
        <f>'ALL VARS'!A48</f>
        <v>43914</v>
      </c>
      <c r="B48" s="16">
        <f>'ALL VARS'!F48</f>
        <v>4.5191001874909938E-2</v>
      </c>
      <c r="C48" s="16">
        <f>'ALL VARS'!G48</f>
        <v>0.11957070036068938</v>
      </c>
      <c r="D48" s="16">
        <f>'ALL VARS'!H48</f>
        <v>-5.2591151998453836E-2</v>
      </c>
      <c r="E48" s="16">
        <f>'ALL VARS'!BD48</f>
        <v>7.074244223783892E-3</v>
      </c>
      <c r="F48" s="16">
        <f>'ALL VARS'!BF48</f>
        <v>0.15353580140280354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2D34-6E00-4E4A-A98A-D5F3B9AB99FB}">
  <sheetPr codeName="Feuil15"/>
  <dimension ref="A1:Q100"/>
  <sheetViews>
    <sheetView zoomScaleNormal="100"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2.7109375" style="16" bestFit="1" customWidth="1"/>
    <col min="6" max="6" width="34.85546875" style="16" bestFit="1" customWidth="1"/>
    <col min="7" max="7" width="8.7109375" style="25" bestFit="1" customWidth="1"/>
    <col min="8" max="8" width="8.7109375" style="25" customWidth="1"/>
    <col min="9" max="9" width="46" style="18" bestFit="1" customWidth="1"/>
    <col min="10" max="10" width="23.85546875" style="16" customWidth="1"/>
    <col min="11" max="11" width="17.42578125" style="16" bestFit="1" customWidth="1"/>
    <col min="12" max="12" width="19.140625" style="16" bestFit="1" customWidth="1"/>
    <col min="13" max="13" width="12.28515625" style="16" bestFit="1" customWidth="1"/>
    <col min="14" max="15" width="21" style="16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ht="18" customHeight="1" x14ac:dyDescent="0.25">
      <c r="A1" s="20" t="str">
        <f>'ALL VARS'!A1</f>
        <v>Date</v>
      </c>
      <c r="B1" s="21" t="str">
        <f>'ALL VARS'!F1</f>
        <v>Daily Return-Adj_t_+1</v>
      </c>
      <c r="C1" s="21" t="str">
        <f>'ALL VARS'!G1</f>
        <v>Daily Return-Adj_t</v>
      </c>
      <c r="D1" s="21" t="str">
        <f>'ALL VARS'!H1</f>
        <v>Daily Return-Adj_t_minus_1</v>
      </c>
      <c r="E1" s="21" t="str">
        <f>'ALL VARS'!M1</f>
        <v>Sent_t</v>
      </c>
      <c r="F1" s="21" t="str">
        <f>'ALL VARS'!Q1</f>
        <v>Sent_t * (VIX_10_t  minus VIX_bar_10)</v>
      </c>
      <c r="G1" s="22" t="str">
        <f>'ALL VARS'!J1</f>
        <v>VIX_10_t</v>
      </c>
      <c r="H1" s="23"/>
    </row>
    <row r="2" spans="1:14" x14ac:dyDescent="0.25">
      <c r="A2" s="24">
        <f>'ALL VARS'!A2</f>
        <v>43980</v>
      </c>
      <c r="B2" s="16">
        <f>'ALL VARS'!F2</f>
        <v>2.3093919546915233E-2</v>
      </c>
      <c r="C2" s="16">
        <f>'ALL VARS'!G2</f>
        <v>-4.5798180601685388E-3</v>
      </c>
      <c r="D2" s="16">
        <f>'ALL VARS'!H2</f>
        <v>-6.0894480094293875E-4</v>
      </c>
      <c r="E2" s="16">
        <f>'ALL VARS'!M2</f>
        <v>-0.24457772169262171</v>
      </c>
      <c r="F2" s="16">
        <f>'ALL VARS'!Q2</f>
        <v>3.862251247825649</v>
      </c>
      <c r="G2" s="25">
        <f>'ALL VARS'!J2</f>
        <v>29.423000200000001</v>
      </c>
      <c r="I2" s="18" t="s">
        <v>39</v>
      </c>
    </row>
    <row r="3" spans="1:14" ht="15.75" thickBot="1" x14ac:dyDescent="0.3">
      <c r="A3" s="24">
        <f>'ALL VARS'!A3</f>
        <v>43979</v>
      </c>
      <c r="B3" s="16">
        <f>'ALL VARS'!F3</f>
        <v>-4.5798180601685388E-3</v>
      </c>
      <c r="C3" s="16">
        <f>'ALL VARS'!G3</f>
        <v>-6.0894480094293875E-4</v>
      </c>
      <c r="D3" s="16">
        <f>'ALL VARS'!H3</f>
        <v>8.1792696244475296E-3</v>
      </c>
      <c r="E3" s="16">
        <f>'ALL VARS'!M3</f>
        <v>6.2640197575092316E-3</v>
      </c>
      <c r="F3" s="16">
        <f>'ALL VARS'!Q3</f>
        <v>-9.4727694620625108E-2</v>
      </c>
      <c r="G3" s="25">
        <f>'ALL VARS'!J3</f>
        <v>30.092000099999996</v>
      </c>
    </row>
    <row r="4" spans="1:14" x14ac:dyDescent="0.25">
      <c r="A4" s="24">
        <f>'ALL VARS'!A4</f>
        <v>43978</v>
      </c>
      <c r="B4" s="16">
        <f>'ALL VARS'!F4</f>
        <v>-6.0894480094293875E-4</v>
      </c>
      <c r="C4" s="16">
        <f>'ALL VARS'!G4</f>
        <v>8.1792696244475296E-3</v>
      </c>
      <c r="D4" s="16">
        <f>'ALL VARS'!H4</f>
        <v>4.8223739412853626E-3</v>
      </c>
      <c r="E4" s="16">
        <f>'ALL VARS'!M4</f>
        <v>-0.23609326717754206</v>
      </c>
      <c r="F4" s="16">
        <f>'ALL VARS'!Q4</f>
        <v>3.4423599866258132</v>
      </c>
      <c r="G4" s="25">
        <f>'ALL VARS'!J4</f>
        <v>30.634000099999998</v>
      </c>
      <c r="I4" s="26" t="s">
        <v>40</v>
      </c>
      <c r="J4" s="27"/>
    </row>
    <row r="5" spans="1:14" x14ac:dyDescent="0.25">
      <c r="A5" s="24">
        <f>'ALL VARS'!A5</f>
        <v>43977</v>
      </c>
      <c r="B5" s="16">
        <f>'ALL VARS'!F5</f>
        <v>8.1792696244475296E-3</v>
      </c>
      <c r="C5" s="16">
        <f>'ALL VARS'!G5</f>
        <v>4.8223739412853626E-3</v>
      </c>
      <c r="D5" s="16">
        <f>'ALL VARS'!H5</f>
        <v>1.0849210535487055E-2</v>
      </c>
      <c r="E5" s="16">
        <f>'ALL VARS'!M5</f>
        <v>0.13119693499590671</v>
      </c>
      <c r="F5" s="16">
        <f>'ALL VARS'!Q5</f>
        <v>-1.9186907453417161</v>
      </c>
      <c r="G5" s="25">
        <f>'ALL VARS'!J5</f>
        <v>30.590000099999997</v>
      </c>
      <c r="I5" s="18" t="s">
        <v>41</v>
      </c>
      <c r="J5" s="16">
        <v>0.39175295160569384</v>
      </c>
    </row>
    <row r="6" spans="1:14" x14ac:dyDescent="0.25">
      <c r="A6" s="24">
        <f>'ALL VARS'!A6</f>
        <v>43976</v>
      </c>
      <c r="B6" s="16">
        <f>'ALL VARS'!F6</f>
        <v>4.8223739412853626E-3</v>
      </c>
      <c r="C6" s="16">
        <f>'ALL VARS'!G6</f>
        <v>1.0849210535487055E-2</v>
      </c>
      <c r="D6" s="16">
        <f>'ALL VARS'!H6</f>
        <v>1.9280759189597432E-3</v>
      </c>
      <c r="E6" s="16">
        <f>'ALL VARS'!M6</f>
        <v>-0.66873623467981813</v>
      </c>
      <c r="F6" s="16">
        <f>'ALL VARS'!Q6</f>
        <v>9.7859576513253614</v>
      </c>
      <c r="G6" s="25">
        <f>'ALL VARS'!J6</f>
        <v>30.581000099999997</v>
      </c>
      <c r="I6" s="18" t="s">
        <v>42</v>
      </c>
      <c r="J6" s="16">
        <v>0.15347037509177311</v>
      </c>
    </row>
    <row r="7" spans="1:14" x14ac:dyDescent="0.25">
      <c r="A7" s="24">
        <f>'ALL VARS'!A7</f>
        <v>43973</v>
      </c>
      <c r="B7" s="16">
        <f>'ALL VARS'!F7</f>
        <v>1.0849210535487055E-2</v>
      </c>
      <c r="C7" s="16">
        <f>'ALL VARS'!G7</f>
        <v>1.9280759189597432E-3</v>
      </c>
      <c r="D7" s="16">
        <f>'ALL VARS'!H7</f>
        <v>-7.5144837132717695E-3</v>
      </c>
      <c r="E7" s="16">
        <f>'ALL VARS'!M7</f>
        <v>5.5399095018704735E-2</v>
      </c>
      <c r="F7" s="16">
        <f>'ALL VARS'!Q7</f>
        <v>-0.81118174264085952</v>
      </c>
      <c r="G7" s="25">
        <f>'ALL VARS'!J7</f>
        <v>30.572000099999997</v>
      </c>
      <c r="I7" s="18" t="s">
        <v>42</v>
      </c>
      <c r="J7" s="16">
        <v>4.9038982243370555E-2</v>
      </c>
    </row>
    <row r="8" spans="1:14" x14ac:dyDescent="0.25">
      <c r="A8" s="24">
        <f>'ALL VARS'!A8</f>
        <v>43972</v>
      </c>
      <c r="B8" s="16">
        <f>'ALL VARS'!F8</f>
        <v>1.9280759189597432E-3</v>
      </c>
      <c r="C8" s="16">
        <f>'ALL VARS'!G8</f>
        <v>-7.5144837132717695E-3</v>
      </c>
      <c r="D8" s="16">
        <f>'ALL VARS'!H8</f>
        <v>7.5307923146686901E-3</v>
      </c>
      <c r="E8" s="16">
        <f>'ALL VARS'!M8</f>
        <v>9.735283938546975E-2</v>
      </c>
      <c r="F8" s="16">
        <f>'ALL VARS'!Q8</f>
        <v>-1.4068954261857396</v>
      </c>
      <c r="G8" s="25">
        <f>'ALL VARS'!J8</f>
        <v>30.763000099999999</v>
      </c>
      <c r="I8" s="18" t="s">
        <v>43</v>
      </c>
      <c r="J8" s="16">
        <v>1.9926746566112905E-2</v>
      </c>
    </row>
    <row r="9" spans="1:14" ht="15.75" thickBot="1" x14ac:dyDescent="0.3">
      <c r="A9" s="24">
        <f>'ALL VARS'!A9</f>
        <v>43971</v>
      </c>
      <c r="B9" s="16">
        <f>'ALL VARS'!F9</f>
        <v>-7.5144837132717695E-3</v>
      </c>
      <c r="C9" s="16">
        <f>'ALL VARS'!G9</f>
        <v>7.5307923146686901E-3</v>
      </c>
      <c r="D9" s="16">
        <f>'ALL VARS'!H9</f>
        <v>1.6845500851389788E-2</v>
      </c>
      <c r="E9" s="16">
        <f>'ALL VARS'!M9</f>
        <v>0.49790565359095734</v>
      </c>
      <c r="F9" s="16">
        <f>'ALL VARS'!Q9</f>
        <v>-6.8902718753574819</v>
      </c>
      <c r="G9" s="25">
        <f>'ALL VARS'!J9</f>
        <v>31.375999999999998</v>
      </c>
      <c r="I9" s="28" t="s">
        <v>44</v>
      </c>
      <c r="J9" s="29">
        <v>47</v>
      </c>
    </row>
    <row r="10" spans="1:14" x14ac:dyDescent="0.25">
      <c r="A10" s="24">
        <f>'ALL VARS'!A10</f>
        <v>43970</v>
      </c>
      <c r="B10" s="16">
        <f>'ALL VARS'!F10</f>
        <v>7.5307923146686901E-3</v>
      </c>
      <c r="C10" s="16">
        <f>'ALL VARS'!G10</f>
        <v>1.6845500851389788E-2</v>
      </c>
      <c r="D10" s="16">
        <f>'ALL VARS'!H10</f>
        <v>8.9044014875318926E-3</v>
      </c>
      <c r="E10" s="16">
        <f>'ALL VARS'!M10</f>
        <v>0.48645331314764917</v>
      </c>
      <c r="F10" s="16">
        <f>'ALL VARS'!Q10</f>
        <v>-6.5819609384514877</v>
      </c>
      <c r="G10" s="25">
        <f>'ALL VARS'!J10</f>
        <v>31.683999999999997</v>
      </c>
    </row>
    <row r="11" spans="1:14" ht="15.75" thickBot="1" x14ac:dyDescent="0.3">
      <c r="A11" s="24">
        <f>'ALL VARS'!A11</f>
        <v>43966</v>
      </c>
      <c r="B11" s="16">
        <f>'ALL VARS'!F11</f>
        <v>1.6845500851389788E-2</v>
      </c>
      <c r="C11" s="16">
        <f>'ALL VARS'!G11</f>
        <v>8.9044014875318926E-3</v>
      </c>
      <c r="D11" s="16">
        <f>'ALL VARS'!H11</f>
        <v>4.4817694802564231E-4</v>
      </c>
      <c r="E11" s="16">
        <f>'ALL VARS'!M11</f>
        <v>-0.19248065624672633</v>
      </c>
      <c r="F11" s="16">
        <f>'ALL VARS'!Q11</f>
        <v>2.373961870350251</v>
      </c>
      <c r="G11" s="25">
        <f>'ALL VARS'!J11</f>
        <v>32.881000200000003</v>
      </c>
      <c r="I11" s="18" t="s">
        <v>45</v>
      </c>
    </row>
    <row r="12" spans="1:14" x14ac:dyDescent="0.25">
      <c r="A12" s="24">
        <f>'ALL VARS'!A12</f>
        <v>43965</v>
      </c>
      <c r="B12" s="16">
        <f>'ALL VARS'!F12</f>
        <v>8.9044014875318926E-3</v>
      </c>
      <c r="C12" s="16">
        <f>'ALL VARS'!G12</f>
        <v>4.4817694802564231E-4</v>
      </c>
      <c r="D12" s="16">
        <f>'ALL VARS'!H12</f>
        <v>-2.5401176991557837E-2</v>
      </c>
      <c r="E12" s="16">
        <f>'ALL VARS'!M12</f>
        <v>0.27620824612677097</v>
      </c>
      <c r="F12" s="16">
        <f>'ALL VARS'!Q12</f>
        <v>-3.3640807405893476</v>
      </c>
      <c r="G12" s="25">
        <f>'ALL VARS'!J12</f>
        <v>33.0350003</v>
      </c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A13" s="24">
        <f>'ALL VARS'!A13</f>
        <v>43964</v>
      </c>
      <c r="B13" s="16">
        <f>'ALL VARS'!F13</f>
        <v>4.4817694802564231E-4</v>
      </c>
      <c r="C13" s="16">
        <f>'ALL VARS'!G13</f>
        <v>-2.5401176991557837E-2</v>
      </c>
      <c r="D13" s="16">
        <f>'ALL VARS'!H13</f>
        <v>-1.4698871572495898E-2</v>
      </c>
      <c r="E13" s="16">
        <f>'ALL VARS'!M13</f>
        <v>0.1164589305408299</v>
      </c>
      <c r="F13" s="16">
        <f>'ALL VARS'!Q13</f>
        <v>-1.4655784145723854</v>
      </c>
      <c r="G13" s="25">
        <f>'ALL VARS'!J13</f>
        <v>32.630000399999993</v>
      </c>
      <c r="I13" s="18" t="s">
        <v>46</v>
      </c>
      <c r="J13" s="16">
        <v>5</v>
      </c>
      <c r="K13" s="16">
        <v>3.0234617488414904E-3</v>
      </c>
      <c r="L13" s="16">
        <v>6.0469234976829808E-4</v>
      </c>
      <c r="M13" s="16">
        <v>1.5228659610236941</v>
      </c>
      <c r="N13" s="16">
        <v>0.20390947023236852</v>
      </c>
    </row>
    <row r="14" spans="1:14" x14ac:dyDescent="0.25">
      <c r="A14" s="24">
        <f>'ALL VARS'!A14</f>
        <v>43963</v>
      </c>
      <c r="B14" s="16">
        <f>'ALL VARS'!F14</f>
        <v>-2.5401176991557837E-2</v>
      </c>
      <c r="C14" s="16">
        <f>'ALL VARS'!G14</f>
        <v>-1.4698871572495898E-2</v>
      </c>
      <c r="D14" s="16">
        <f>'ALL VARS'!H14</f>
        <v>9.1270288220883112E-3</v>
      </c>
      <c r="E14" s="16">
        <f>'ALL VARS'!M14</f>
        <v>-0.15498585706915369</v>
      </c>
      <c r="F14" s="16">
        <f>'ALL VARS'!Q14</f>
        <v>1.9422066184142921</v>
      </c>
      <c r="G14" s="25">
        <f>'ALL VARS'!J14</f>
        <v>32.683000299999996</v>
      </c>
      <c r="I14" s="18" t="s">
        <v>47</v>
      </c>
      <c r="J14" s="16">
        <v>42</v>
      </c>
      <c r="K14" s="16">
        <v>1.6677159605823885E-2</v>
      </c>
      <c r="L14" s="16">
        <v>3.9707522871009247E-4</v>
      </c>
    </row>
    <row r="15" spans="1:14" ht="15.75" thickBot="1" x14ac:dyDescent="0.3">
      <c r="A15" s="24">
        <f>'ALL VARS'!A15</f>
        <v>43962</v>
      </c>
      <c r="B15" s="16">
        <f>'ALL VARS'!F15</f>
        <v>-1.4698871572495898E-2</v>
      </c>
      <c r="C15" s="16">
        <f>'ALL VARS'!G15</f>
        <v>9.1270288220883112E-3</v>
      </c>
      <c r="D15" s="16">
        <f>'ALL VARS'!H15</f>
        <v>8.9592894728179693E-3</v>
      </c>
      <c r="E15" s="16">
        <f>'ALL VARS'!M15</f>
        <v>9.5311682671308517E-2</v>
      </c>
      <c r="F15" s="16">
        <f>'ALL VARS'!Q15</f>
        <v>-1.1398808899256903</v>
      </c>
      <c r="G15" s="25">
        <f>'ALL VARS'!J15</f>
        <v>33.2550004</v>
      </c>
      <c r="I15" s="28" t="s">
        <v>48</v>
      </c>
      <c r="J15" s="29">
        <v>47</v>
      </c>
      <c r="K15" s="29">
        <v>1.9700621354665375E-2</v>
      </c>
      <c r="L15" s="29"/>
      <c r="M15" s="29"/>
      <c r="N15" s="29"/>
    </row>
    <row r="16" spans="1:14" ht="15.75" thickBot="1" x14ac:dyDescent="0.3">
      <c r="A16" s="24">
        <f>'ALL VARS'!A16</f>
        <v>43959</v>
      </c>
      <c r="B16" s="16">
        <f>'ALL VARS'!F16</f>
        <v>9.1270288220883112E-3</v>
      </c>
      <c r="C16" s="16">
        <f>'ALL VARS'!G16</f>
        <v>8.9592894728179693E-3</v>
      </c>
      <c r="D16" s="16">
        <f>'ALL VARS'!H16</f>
        <v>2.0228309928424119E-4</v>
      </c>
      <c r="E16" s="16">
        <f>'ALL VARS'!M16</f>
        <v>0.29172629743282286</v>
      </c>
      <c r="F16" s="16">
        <f>'ALL VARS'!Q16</f>
        <v>-3.256980760629304</v>
      </c>
      <c r="G16" s="25">
        <f>'ALL VARS'!J16</f>
        <v>34.050000400000002</v>
      </c>
    </row>
    <row r="17" spans="1:17" ht="45" x14ac:dyDescent="0.25">
      <c r="A17" s="24">
        <f>'ALL VARS'!A17</f>
        <v>43958</v>
      </c>
      <c r="B17" s="16">
        <f>'ALL VARS'!F17</f>
        <v>8.9592894728179693E-3</v>
      </c>
      <c r="C17" s="16">
        <f>'ALL VARS'!G17</f>
        <v>2.0228309928424119E-4</v>
      </c>
      <c r="D17" s="16">
        <f>'ALL VARS'!H17</f>
        <v>1.2895694256002256E-3</v>
      </c>
      <c r="E17" s="16">
        <f>'ALL VARS'!M17</f>
        <v>-0.23442382345508253</v>
      </c>
      <c r="F17" s="16">
        <f>'ALL VARS'!Q17</f>
        <v>2.3842095157849506</v>
      </c>
      <c r="G17" s="25">
        <f>'ALL VARS'!J17</f>
        <v>35.044000400000002</v>
      </c>
      <c r="I17" s="30"/>
      <c r="J17" s="30" t="s">
        <v>55</v>
      </c>
      <c r="K17" s="30" t="s">
        <v>43</v>
      </c>
      <c r="L17" s="30" t="s">
        <v>56</v>
      </c>
      <c r="M17" s="30" t="s">
        <v>57</v>
      </c>
      <c r="N17" s="30" t="s">
        <v>58</v>
      </c>
      <c r="O17" s="30" t="s">
        <v>59</v>
      </c>
      <c r="P17" s="27" t="s">
        <v>60</v>
      </c>
      <c r="Q17" s="27" t="s">
        <v>61</v>
      </c>
    </row>
    <row r="18" spans="1:17" x14ac:dyDescent="0.25">
      <c r="A18" s="24">
        <f>'ALL VARS'!A18</f>
        <v>43957</v>
      </c>
      <c r="B18" s="16">
        <f>'ALL VARS'!F18</f>
        <v>2.0228309928424119E-4</v>
      </c>
      <c r="C18" s="16">
        <f>'ALL VARS'!G18</f>
        <v>1.2895694256002256E-3</v>
      </c>
      <c r="D18" s="16">
        <f>'ALL VARS'!H18</f>
        <v>4.5167588335029351E-3</v>
      </c>
      <c r="E18" s="16">
        <f>'ALL VARS'!M18</f>
        <v>-2.1146204477796953E-2</v>
      </c>
      <c r="F18" s="16">
        <f>'ALL VARS'!Q18</f>
        <v>0.19844673596141185</v>
      </c>
      <c r="G18" s="25">
        <f>'ALL VARS'!J18</f>
        <v>35.830000499999997</v>
      </c>
      <c r="I18" s="18" t="s">
        <v>49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8" t="e">
        <v>#N/A</v>
      </c>
      <c r="Q18" s="18" t="e">
        <v>#N/A</v>
      </c>
    </row>
    <row r="19" spans="1:17" x14ac:dyDescent="0.25">
      <c r="A19" s="24">
        <f>'ALL VARS'!A19</f>
        <v>43956</v>
      </c>
      <c r="B19" s="16">
        <f>'ALL VARS'!F19</f>
        <v>1.2895694256002256E-3</v>
      </c>
      <c r="C19" s="16">
        <f>'ALL VARS'!G19</f>
        <v>4.5167588335029351E-3</v>
      </c>
      <c r="D19" s="16">
        <f>'ALL VARS'!H19</f>
        <v>8.5292501975474666E-3</v>
      </c>
      <c r="E19" s="16">
        <f>'ALL VARS'!M19</f>
        <v>0.23377028697480759</v>
      </c>
      <c r="F19" s="16">
        <f>'ALL VARS'!Q19</f>
        <v>-1.917970333190256</v>
      </c>
      <c r="G19" s="25">
        <f>'ALL VARS'!J19</f>
        <v>37.010000400000003</v>
      </c>
      <c r="I19" s="18" t="s">
        <v>36</v>
      </c>
      <c r="J19" s="16">
        <v>-1.2599066620346518E-2</v>
      </c>
      <c r="K19" s="16">
        <v>0.12052278886712689</v>
      </c>
      <c r="L19" s="16">
        <v>-0.1045367995444965</v>
      </c>
      <c r="M19" s="16">
        <v>0.91724099471421616</v>
      </c>
      <c r="N19" s="16">
        <v>-0.25582390160574603</v>
      </c>
      <c r="O19" s="16">
        <v>0.23062576836505297</v>
      </c>
      <c r="P19" s="18">
        <v>-0.25582390160574603</v>
      </c>
      <c r="Q19" s="18">
        <v>0.23062576836505297</v>
      </c>
    </row>
    <row r="20" spans="1:17" x14ac:dyDescent="0.25">
      <c r="A20" s="24">
        <f>'ALL VARS'!A20</f>
        <v>43955</v>
      </c>
      <c r="B20" s="16">
        <f>'ALL VARS'!F20</f>
        <v>4.5167588335029351E-3</v>
      </c>
      <c r="C20" s="16">
        <f>'ALL VARS'!G20</f>
        <v>8.5292501975474666E-3</v>
      </c>
      <c r="D20" s="16">
        <f>'ALL VARS'!H20</f>
        <v>-1.0852015661224153E-2</v>
      </c>
      <c r="E20" s="16">
        <f>'ALL VARS'!M20</f>
        <v>-0.15081174378948553</v>
      </c>
      <c r="F20" s="16">
        <f>'ALL VARS'!Q20</f>
        <v>1.1187982053187726</v>
      </c>
      <c r="G20" s="25">
        <f>'ALL VARS'!J20</f>
        <v>37.796000499999998</v>
      </c>
      <c r="I20" s="18" t="s">
        <v>37</v>
      </c>
      <c r="J20" s="16">
        <v>-0.17227193040800751</v>
      </c>
      <c r="K20" s="16">
        <v>0.11089109656106573</v>
      </c>
      <c r="L20" s="16">
        <v>-1.5535235537430225</v>
      </c>
      <c r="M20" s="16">
        <v>0.12780191052541012</v>
      </c>
      <c r="N20" s="16">
        <v>-0.39605922338336774</v>
      </c>
      <c r="O20" s="16">
        <v>5.1515362567352757E-2</v>
      </c>
      <c r="P20" s="18">
        <v>-0.39605922338336774</v>
      </c>
      <c r="Q20" s="18">
        <v>5.1515362567352757E-2</v>
      </c>
    </row>
    <row r="21" spans="1:17" x14ac:dyDescent="0.25">
      <c r="A21" s="24">
        <f>'ALL VARS'!A21</f>
        <v>43952</v>
      </c>
      <c r="B21" s="16">
        <f>'ALL VARS'!F21</f>
        <v>8.5292501975474666E-3</v>
      </c>
      <c r="C21" s="16">
        <f>'ALL VARS'!G21</f>
        <v>-1.0852015661224153E-2</v>
      </c>
      <c r="D21" s="16">
        <f>'ALL VARS'!H21</f>
        <v>-2.9379858648651246E-2</v>
      </c>
      <c r="E21" s="16">
        <f>'ALL VARS'!M21</f>
        <v>-0.15819044224917889</v>
      </c>
      <c r="F21" s="16">
        <f>'ALL VARS'!Q21</f>
        <v>1.1583508127514524</v>
      </c>
      <c r="G21" s="25">
        <f>'ALL VARS'!J21</f>
        <v>37.892000799999991</v>
      </c>
      <c r="I21" s="18" t="s">
        <v>20</v>
      </c>
      <c r="J21" s="16">
        <v>-1.7846057850767962E-2</v>
      </c>
      <c r="K21" s="16">
        <v>1.1925073559313531E-2</v>
      </c>
      <c r="L21" s="16">
        <v>-1.4965155361100577</v>
      </c>
      <c r="M21" s="16">
        <v>0.14199694047283745</v>
      </c>
      <c r="N21" s="16">
        <v>-4.1911830605582637E-2</v>
      </c>
      <c r="O21" s="16">
        <v>6.2197149040467171E-3</v>
      </c>
      <c r="P21" s="18">
        <v>-4.1911830605582637E-2</v>
      </c>
      <c r="Q21" s="18">
        <v>6.2197149040467171E-3</v>
      </c>
    </row>
    <row r="22" spans="1:17" x14ac:dyDescent="0.25">
      <c r="A22" s="24">
        <f>'ALL VARS'!A22</f>
        <v>43951</v>
      </c>
      <c r="B22" s="16">
        <f>'ALL VARS'!F22</f>
        <v>-1.0852015661224153E-2</v>
      </c>
      <c r="C22" s="16">
        <f>'ALL VARS'!G22</f>
        <v>-2.9379858648651246E-2</v>
      </c>
      <c r="D22" s="16">
        <f>'ALL VARS'!H22</f>
        <v>2.904386379946032E-2</v>
      </c>
      <c r="E22" s="16">
        <f>'ALL VARS'!M22</f>
        <v>-0.11695043928921223</v>
      </c>
      <c r="F22" s="16">
        <f>'ALL VARS'!Q22</f>
        <v>0.78666810220893835</v>
      </c>
      <c r="G22" s="25">
        <f>'ALL VARS'!J22</f>
        <v>38.488000700000001</v>
      </c>
      <c r="I22" s="18" t="s">
        <v>31</v>
      </c>
      <c r="J22" s="16">
        <v>-2.1686699856782418E-4</v>
      </c>
      <c r="K22" s="16">
        <v>8.7805511157322926E-4</v>
      </c>
      <c r="L22" s="16">
        <v>-0.24698563416965838</v>
      </c>
      <c r="M22" s="16">
        <v>0.80612266233279428</v>
      </c>
      <c r="N22" s="16">
        <v>-1.9888539532999677E-3</v>
      </c>
      <c r="O22" s="16">
        <v>1.5551199561643192E-3</v>
      </c>
      <c r="P22" s="18">
        <v>-1.9888539532999677E-3</v>
      </c>
      <c r="Q22" s="18">
        <v>1.5551199561643192E-3</v>
      </c>
    </row>
    <row r="23" spans="1:17" ht="15.75" thickBot="1" x14ac:dyDescent="0.3">
      <c r="A23" s="24">
        <f>'ALL VARS'!A23</f>
        <v>43950</v>
      </c>
      <c r="B23" s="16">
        <f>'ALL VARS'!F23</f>
        <v>-2.9379858648651246E-2</v>
      </c>
      <c r="C23" s="16">
        <f>'ALL VARS'!G23</f>
        <v>2.904386379946032E-2</v>
      </c>
      <c r="D23" s="16">
        <f>'ALL VARS'!H23</f>
        <v>1.0667882350970269E-2</v>
      </c>
      <c r="E23" s="16">
        <f>'ALL VARS'!M23</f>
        <v>6.6089130705222487E-3</v>
      </c>
      <c r="F23" s="16">
        <f>'ALL VARS'!Q23</f>
        <v>-3.8103743254830999E-2</v>
      </c>
      <c r="G23" s="25">
        <f>'ALL VARS'!J23</f>
        <v>39.449000699999999</v>
      </c>
      <c r="I23" s="28" t="s">
        <v>4</v>
      </c>
      <c r="J23" s="29">
        <v>1.0094757482771931E-4</v>
      </c>
      <c r="K23" s="29">
        <v>7.958229153144178E-5</v>
      </c>
      <c r="L23" s="29">
        <v>1.2684678071607982</v>
      </c>
      <c r="M23" s="29">
        <v>0.2116168579466049</v>
      </c>
      <c r="N23" s="29">
        <v>-5.9655991580246729E-5</v>
      </c>
      <c r="O23" s="29">
        <v>2.6155114123568537E-4</v>
      </c>
      <c r="P23" s="28">
        <v>-5.9655991580246729E-5</v>
      </c>
      <c r="Q23" s="28">
        <v>2.6155114123568537E-4</v>
      </c>
    </row>
    <row r="24" spans="1:17" x14ac:dyDescent="0.25">
      <c r="A24" s="24">
        <f>'ALL VARS'!A24</f>
        <v>43949</v>
      </c>
      <c r="B24" s="16">
        <f>'ALL VARS'!F24</f>
        <v>2.904386379946032E-2</v>
      </c>
      <c r="C24" s="16">
        <f>'ALL VARS'!G24</f>
        <v>1.0667882350970269E-2</v>
      </c>
      <c r="D24" s="16">
        <f>'ALL VARS'!H24</f>
        <v>1.5373998778727917E-2</v>
      </c>
      <c r="E24" s="16">
        <f>'ALL VARS'!M24</f>
        <v>-0.16266929442062975</v>
      </c>
      <c r="F24" s="16">
        <f>'ALL VARS'!Q24</f>
        <v>0.86971276759197136</v>
      </c>
      <c r="G24" s="25">
        <f>'ALL VARS'!J24</f>
        <v>39.868000500000008</v>
      </c>
    </row>
    <row r="25" spans="1:17" x14ac:dyDescent="0.25">
      <c r="A25" s="24">
        <f>'ALL VARS'!A25</f>
        <v>43948</v>
      </c>
      <c r="B25" s="16">
        <f>'ALL VARS'!F25</f>
        <v>1.0667882350970269E-2</v>
      </c>
      <c r="C25" s="16">
        <f>'ALL VARS'!G25</f>
        <v>1.5373998778727917E-2</v>
      </c>
      <c r="D25" s="16">
        <f>'ALL VARS'!H25</f>
        <v>1.1879839917270655E-2</v>
      </c>
      <c r="E25" s="16">
        <f>'ALL VARS'!M25</f>
        <v>-0.43920171571274597</v>
      </c>
      <c r="F25" s="16">
        <f>'ALL VARS'!Q25</f>
        <v>2.0021048922158724</v>
      </c>
      <c r="G25" s="25">
        <f>'ALL VARS'!J25</f>
        <v>40.656000200000001</v>
      </c>
      <c r="J25" s="18"/>
      <c r="K25" s="18"/>
      <c r="L25" s="18"/>
      <c r="M25" s="18"/>
      <c r="N25" s="18"/>
      <c r="O25" s="18"/>
    </row>
    <row r="26" spans="1:17" x14ac:dyDescent="0.25">
      <c r="A26" s="24">
        <f>'ALL VARS'!A26</f>
        <v>43945</v>
      </c>
      <c r="B26" s="16">
        <f>'ALL VARS'!F26</f>
        <v>1.5373998778727917E-2</v>
      </c>
      <c r="C26" s="16">
        <f>'ALL VARS'!G26</f>
        <v>1.1879839917270655E-2</v>
      </c>
      <c r="D26" s="16">
        <f>'ALL VARS'!H26</f>
        <v>-2.5965891780394849E-3</v>
      </c>
      <c r="E26" s="16">
        <f>'ALL VARS'!M26</f>
        <v>-2.0552382688038051E-2</v>
      </c>
      <c r="F26" s="16">
        <f>'ALL VARS'!Q26</f>
        <v>8.1891154080385622E-2</v>
      </c>
      <c r="G26" s="25">
        <f>'ALL VARS'!J26</f>
        <v>41.230000000000004</v>
      </c>
      <c r="J26" s="18"/>
      <c r="K26" s="18"/>
      <c r="L26" s="18"/>
      <c r="M26" s="18"/>
      <c r="N26" s="18"/>
      <c r="O26" s="18"/>
    </row>
    <row r="27" spans="1:17" x14ac:dyDescent="0.25">
      <c r="A27" s="24">
        <f>'ALL VARS'!A27</f>
        <v>43944</v>
      </c>
      <c r="B27" s="16">
        <f>'ALL VARS'!F27</f>
        <v>1.1879839917270655E-2</v>
      </c>
      <c r="C27" s="16">
        <f>'ALL VARS'!G27</f>
        <v>-2.5965891780394849E-3</v>
      </c>
      <c r="D27" s="16">
        <f>'ALL VARS'!H27</f>
        <v>2.4971169199914333E-2</v>
      </c>
      <c r="E27" s="16">
        <f>'ALL VARS'!M27</f>
        <v>-0.44359970150981098</v>
      </c>
      <c r="F27" s="16">
        <f>'ALL VARS'!Q27</f>
        <v>1.6801380011715765</v>
      </c>
      <c r="G27" s="25">
        <f>'ALL VARS'!J27</f>
        <v>41.42699970000001</v>
      </c>
      <c r="J27" s="18"/>
      <c r="K27" s="18"/>
      <c r="L27" s="18"/>
      <c r="M27" s="18"/>
      <c r="N27" s="18"/>
      <c r="O27" s="18"/>
    </row>
    <row r="28" spans="1:17" x14ac:dyDescent="0.25">
      <c r="A28" s="24">
        <f>'ALL VARS'!A28</f>
        <v>43943</v>
      </c>
      <c r="B28" s="16">
        <f>'ALL VARS'!F28</f>
        <v>-2.5965891780394849E-3</v>
      </c>
      <c r="C28" s="16">
        <f>'ALL VARS'!G28</f>
        <v>2.4971169199914333E-2</v>
      </c>
      <c r="D28" s="16">
        <f>'ALL VARS'!H28</f>
        <v>-3.1150323670921017E-2</v>
      </c>
      <c r="E28" s="16">
        <f>'ALL VARS'!M28</f>
        <v>7.0537303773952384E-2</v>
      </c>
      <c r="F28" s="16">
        <f>'ALL VARS'!Q28</f>
        <v>-0.23386708059572917</v>
      </c>
      <c r="G28" s="25">
        <f>'ALL VARS'!J28</f>
        <v>41.898999799999999</v>
      </c>
      <c r="J28" s="18"/>
      <c r="K28" s="18"/>
      <c r="L28" s="18"/>
      <c r="M28" s="18"/>
      <c r="N28" s="18"/>
      <c r="O28" s="18"/>
    </row>
    <row r="29" spans="1:17" x14ac:dyDescent="0.25">
      <c r="A29" s="31">
        <f>'ALL VARS'!A29</f>
        <v>43942</v>
      </c>
      <c r="B29" s="32">
        <f>'ALL VARS'!F29</f>
        <v>2.4971169199914333E-2</v>
      </c>
      <c r="C29" s="32">
        <f>'ALL VARS'!G29</f>
        <v>-3.1150323670921017E-2</v>
      </c>
      <c r="D29" s="32">
        <f>'ALL VARS'!H29</f>
        <v>1.9776887879946956E-3</v>
      </c>
      <c r="E29" s="32">
        <f>'ALL VARS'!M29</f>
        <v>6.1557356500998139E-2</v>
      </c>
      <c r="F29" s="32">
        <f>'ALL VARS'!Q29</f>
        <v>-0.20514044541974608</v>
      </c>
      <c r="G29" s="33">
        <f>'ALL VARS'!J29</f>
        <v>41.881999999999998</v>
      </c>
      <c r="H29" s="33"/>
      <c r="J29" s="18"/>
      <c r="K29" s="18"/>
      <c r="L29" s="18"/>
      <c r="M29" s="18"/>
      <c r="N29" s="18"/>
      <c r="O29" s="18"/>
    </row>
    <row r="30" spans="1:17" x14ac:dyDescent="0.25">
      <c r="A30" s="24">
        <f>'ALL VARS'!A30</f>
        <v>43941</v>
      </c>
      <c r="B30" s="16">
        <f>'ALL VARS'!F30</f>
        <v>-3.1150323670921017E-2</v>
      </c>
      <c r="C30" s="16">
        <f>'ALL VARS'!G30</f>
        <v>1.9776887879946956E-3</v>
      </c>
      <c r="D30" s="16">
        <f>'ALL VARS'!H30</f>
        <v>3.3138402111040632E-2</v>
      </c>
      <c r="E30" s="16">
        <f>'ALL VARS'!M30</f>
        <v>0.33201583579648286</v>
      </c>
      <c r="F30" s="16">
        <f>'ALL VARS'!Q30</f>
        <v>-1.007837161967359</v>
      </c>
      <c r="G30" s="25">
        <f>'ALL VARS'!J30</f>
        <v>42.178999699999999</v>
      </c>
      <c r="J30" s="18"/>
      <c r="K30" s="18"/>
      <c r="L30" s="18"/>
      <c r="M30" s="18"/>
      <c r="N30" s="18"/>
      <c r="O30" s="18"/>
    </row>
    <row r="31" spans="1:17" x14ac:dyDescent="0.25">
      <c r="A31" s="24">
        <f>'ALL VARS'!A31</f>
        <v>43938</v>
      </c>
      <c r="B31" s="16">
        <f>'ALL VARS'!F31</f>
        <v>1.9776887879946956E-3</v>
      </c>
      <c r="C31" s="16">
        <f>'ALL VARS'!G31</f>
        <v>3.3138402111040632E-2</v>
      </c>
      <c r="D31" s="16">
        <f>'ALL VARS'!H31</f>
        <v>-4.2482631253185207E-3</v>
      </c>
      <c r="E31" s="16">
        <f>'ALL VARS'!M31</f>
        <v>-1.0891216807067394E-2</v>
      </c>
      <c r="F31" s="16">
        <f>'ALL VARS'!Q31</f>
        <v>1.9163199591453621E-2</v>
      </c>
      <c r="G31" s="25">
        <f>'ALL VARS'!J31</f>
        <v>43.4549995</v>
      </c>
      <c r="J31" s="18"/>
      <c r="K31" s="18"/>
      <c r="L31" s="18"/>
      <c r="M31" s="18"/>
      <c r="N31" s="18"/>
      <c r="O31" s="18"/>
    </row>
    <row r="32" spans="1:17" x14ac:dyDescent="0.25">
      <c r="A32" s="24">
        <f>'ALL VARS'!A32</f>
        <v>43937</v>
      </c>
      <c r="B32" s="16">
        <f>'ALL VARS'!F32</f>
        <v>3.3138402111040632E-2</v>
      </c>
      <c r="C32" s="16">
        <f>'ALL VARS'!G32</f>
        <v>-4.2482631253185207E-3</v>
      </c>
      <c r="D32" s="16">
        <f>'ALL VARS'!H32</f>
        <v>-2.1026256366684357E-2</v>
      </c>
      <c r="E32" s="16">
        <f>'ALL VARS'!M32</f>
        <v>-1.8410735170949589E-2</v>
      </c>
      <c r="F32" s="16">
        <f>'ALL VARS'!Q32</f>
        <v>1.1876675789062598E-3</v>
      </c>
      <c r="G32" s="25">
        <f>'ALL VARS'!J32</f>
        <v>45.149999499999993</v>
      </c>
      <c r="J32" s="18"/>
      <c r="K32" s="18"/>
      <c r="L32" s="18"/>
      <c r="M32" s="18"/>
      <c r="N32" s="18"/>
      <c r="O32" s="18"/>
    </row>
    <row r="33" spans="1:15" x14ac:dyDescent="0.25">
      <c r="A33" s="24">
        <f>'ALL VARS'!A33</f>
        <v>43936</v>
      </c>
      <c r="B33" s="16">
        <f>'ALL VARS'!F33</f>
        <v>-4.2482631253185207E-3</v>
      </c>
      <c r="C33" s="16">
        <f>'ALL VARS'!G33</f>
        <v>-2.1026256366684357E-2</v>
      </c>
      <c r="D33" s="16">
        <f>'ALL VARS'!H33</f>
        <v>1.2965422809946055E-2</v>
      </c>
      <c r="E33" s="16">
        <f>'ALL VARS'!M33</f>
        <v>-0.32017184949169558</v>
      </c>
      <c r="F33" s="16">
        <f>'ALL VARS'!Q33</f>
        <v>-0.38596415045322435</v>
      </c>
      <c r="G33" s="25">
        <f>'ALL VARS'!J33</f>
        <v>46.419999600000004</v>
      </c>
      <c r="J33" s="18"/>
      <c r="K33" s="18"/>
      <c r="L33" s="18"/>
      <c r="M33" s="18"/>
      <c r="N33" s="18"/>
      <c r="O33" s="18"/>
    </row>
    <row r="34" spans="1:15" x14ac:dyDescent="0.25">
      <c r="A34" s="24">
        <f>'ALL VARS'!A34</f>
        <v>43935</v>
      </c>
      <c r="B34" s="16">
        <f>'ALL VARS'!F34</f>
        <v>-2.1026256366684357E-2</v>
      </c>
      <c r="C34" s="16">
        <f>'ALL VARS'!G34</f>
        <v>1.2965422809946055E-2</v>
      </c>
      <c r="D34" s="16">
        <f>'ALL VARS'!H34</f>
        <v>-6.4023280464834062E-3</v>
      </c>
      <c r="E34" s="16">
        <f>'ALL VARS'!M34</f>
        <v>0.10925812500395946</v>
      </c>
      <c r="F34" s="16">
        <f>'ALL VARS'!Q34</f>
        <v>0.34279638234335397</v>
      </c>
      <c r="G34" s="25">
        <f>'ALL VARS'!J34</f>
        <v>48.352000000000004</v>
      </c>
      <c r="J34" s="18"/>
      <c r="K34" s="18"/>
      <c r="L34" s="18"/>
      <c r="M34" s="18"/>
      <c r="N34" s="18"/>
      <c r="O34" s="18"/>
    </row>
    <row r="35" spans="1:15" x14ac:dyDescent="0.25">
      <c r="A35" s="24">
        <f>'ALL VARS'!A35</f>
        <v>43934</v>
      </c>
      <c r="B35" s="16">
        <f>'ALL VARS'!F35</f>
        <v>1.2965422809946055E-2</v>
      </c>
      <c r="C35" s="16">
        <f>'ALL VARS'!G35</f>
        <v>-6.4023280464834062E-3</v>
      </c>
      <c r="D35" s="16">
        <f>'ALL VARS'!H35</f>
        <v>1.729890853793448E-2</v>
      </c>
      <c r="E35" s="16">
        <f>'ALL VARS'!M35</f>
        <v>-0.32851240194092196</v>
      </c>
      <c r="F35" s="16">
        <f>'ALL VARS'!Q35</f>
        <v>-1.831289521951081</v>
      </c>
      <c r="G35" s="25">
        <f>'ALL VARS'!J35</f>
        <v>50.789000299999998</v>
      </c>
      <c r="J35" s="18"/>
      <c r="K35" s="18"/>
      <c r="L35" s="18"/>
      <c r="M35" s="18"/>
      <c r="N35" s="18"/>
      <c r="O35" s="18"/>
    </row>
    <row r="36" spans="1:15" x14ac:dyDescent="0.25">
      <c r="A36" s="24">
        <f>'ALL VARS'!A36</f>
        <v>43930</v>
      </c>
      <c r="B36" s="16">
        <f>'ALL VARS'!F36</f>
        <v>-6.4023280464834062E-3</v>
      </c>
      <c r="C36" s="16">
        <f>'ALL VARS'!G36</f>
        <v>1.729890853793448E-2</v>
      </c>
      <c r="D36" s="16">
        <f>'ALL VARS'!H36</f>
        <v>2.2888078899761091E-2</v>
      </c>
      <c r="E36" s="16">
        <f>'ALL VARS'!M36</f>
        <v>8.9164984819944948E-2</v>
      </c>
      <c r="F36" s="16">
        <f>'ALL VARS'!Q36</f>
        <v>0.66940536438192932</v>
      </c>
      <c r="G36" s="25">
        <f>'ALL VARS'!J36</f>
        <v>52.722000499999993</v>
      </c>
      <c r="J36" s="18"/>
      <c r="K36" s="18"/>
      <c r="L36" s="18"/>
      <c r="M36" s="18"/>
      <c r="N36" s="18"/>
      <c r="O36" s="18"/>
    </row>
    <row r="37" spans="1:15" x14ac:dyDescent="0.25">
      <c r="A37" s="24">
        <f>'ALL VARS'!A37</f>
        <v>43929</v>
      </c>
      <c r="B37" s="16">
        <f>'ALL VARS'!F37</f>
        <v>1.729890853793448E-2</v>
      </c>
      <c r="C37" s="16">
        <f>'ALL VARS'!G37</f>
        <v>2.2888078899761091E-2</v>
      </c>
      <c r="D37" s="16">
        <f>'ALL VARS'!H37</f>
        <v>1.5743313464585205E-3</v>
      </c>
      <c r="E37" s="16">
        <f>'ALL VARS'!M37</f>
        <v>-7.3048542439937594E-2</v>
      </c>
      <c r="F37" s="16">
        <f>'ALL VARS'!Q37</f>
        <v>-0.69889132977081481</v>
      </c>
      <c r="G37" s="25">
        <f>'ALL VARS'!J37</f>
        <v>54.782000800000006</v>
      </c>
      <c r="J37" s="18"/>
      <c r="K37" s="18"/>
      <c r="L37" s="18"/>
      <c r="M37" s="18"/>
      <c r="N37" s="18"/>
      <c r="O37" s="18"/>
    </row>
    <row r="38" spans="1:15" x14ac:dyDescent="0.25">
      <c r="A38" s="24">
        <f>'ALL VARS'!A38</f>
        <v>43928</v>
      </c>
      <c r="B38" s="16">
        <f>'ALL VARS'!F38</f>
        <v>2.2888078899761091E-2</v>
      </c>
      <c r="C38" s="16">
        <f>'ALL VARS'!G38</f>
        <v>1.5743313464585205E-3</v>
      </c>
      <c r="D38" s="16">
        <f>'ALL VARS'!H38</f>
        <v>5.0578545857092143E-2</v>
      </c>
      <c r="E38" s="16">
        <f>'ALL VARS'!M38</f>
        <v>-0.50390593466969824</v>
      </c>
      <c r="F38" s="16">
        <f>'ALL VARS'!Q38</f>
        <v>-5.5754629238800799</v>
      </c>
      <c r="G38" s="25">
        <f>'ALL VARS'!J38</f>
        <v>56.279000499999995</v>
      </c>
      <c r="J38" s="18"/>
      <c r="K38" s="18"/>
      <c r="L38" s="18"/>
      <c r="M38" s="18"/>
      <c r="N38" s="18"/>
      <c r="O38" s="18"/>
    </row>
    <row r="39" spans="1:15" x14ac:dyDescent="0.25">
      <c r="A39" s="24">
        <f>'ALL VARS'!A39</f>
        <v>43927</v>
      </c>
      <c r="B39" s="16">
        <f>'ALL VARS'!F39</f>
        <v>1.5743313464585205E-3</v>
      </c>
      <c r="C39" s="16">
        <f>'ALL VARS'!G39</f>
        <v>5.0578545857092143E-2</v>
      </c>
      <c r="D39" s="16">
        <f>'ALL VARS'!H39</f>
        <v>-1.2177617796472343E-2</v>
      </c>
      <c r="E39" s="16">
        <f>'ALL VARS'!M39</f>
        <v>-2.5256967595355076E-2</v>
      </c>
      <c r="F39" s="16">
        <f>'ALL VARS'!Q39</f>
        <v>-0.32075063988711061</v>
      </c>
      <c r="G39" s="25">
        <f>'ALL VARS'!J39</f>
        <v>57.914000299999998</v>
      </c>
      <c r="J39" s="18"/>
      <c r="K39" s="18"/>
      <c r="L39" s="18"/>
      <c r="M39" s="18"/>
      <c r="N39" s="18"/>
      <c r="O39" s="18"/>
    </row>
    <row r="40" spans="1:15" x14ac:dyDescent="0.25">
      <c r="A40" s="24">
        <f>'ALL VARS'!A40</f>
        <v>43924</v>
      </c>
      <c r="B40" s="16">
        <f>'ALL VARS'!F40</f>
        <v>5.0578545857092143E-2</v>
      </c>
      <c r="C40" s="16">
        <f>'ALL VARS'!G40</f>
        <v>-1.2177617796472343E-2</v>
      </c>
      <c r="D40" s="16">
        <f>'ALL VARS'!H40</f>
        <v>1.7194200807451526E-2</v>
      </c>
      <c r="E40" s="16">
        <f>'ALL VARS'!M40</f>
        <v>-0.62750590592622757</v>
      </c>
      <c r="F40" s="16">
        <f>'ALL VARS'!Q40</f>
        <v>-9.1763272727049063</v>
      </c>
      <c r="G40" s="25">
        <f>'ALL VARS'!J40</f>
        <v>59.8380005</v>
      </c>
      <c r="J40" s="18"/>
      <c r="K40" s="18"/>
      <c r="L40" s="18"/>
      <c r="M40" s="18"/>
      <c r="N40" s="18"/>
      <c r="O40" s="18"/>
    </row>
    <row r="41" spans="1:15" x14ac:dyDescent="0.25">
      <c r="A41" s="24">
        <f>'ALL VARS'!A41</f>
        <v>43923</v>
      </c>
      <c r="B41" s="16">
        <f>'ALL VARS'!F41</f>
        <v>-1.2177617796472343E-2</v>
      </c>
      <c r="C41" s="16">
        <f>'ALL VARS'!G41</f>
        <v>1.7194200807451526E-2</v>
      </c>
      <c r="D41" s="16">
        <f>'ALL VARS'!H41</f>
        <v>-3.7551904604495374E-2</v>
      </c>
      <c r="E41" s="16">
        <f>'ALL VARS'!M41</f>
        <v>-0.28957627939858605</v>
      </c>
      <c r="F41" s="16">
        <f>'ALL VARS'!Q41</f>
        <v>-4.845332629574246</v>
      </c>
      <c r="G41" s="25">
        <f>'ALL VARS'!J41</f>
        <v>61.947000500000001</v>
      </c>
      <c r="J41" s="18"/>
      <c r="K41" s="18"/>
      <c r="L41" s="18"/>
      <c r="M41" s="18"/>
      <c r="N41" s="18"/>
      <c r="O41" s="18"/>
    </row>
    <row r="42" spans="1:15" x14ac:dyDescent="0.25">
      <c r="A42" s="24">
        <f>'ALL VARS'!A42</f>
        <v>43922</v>
      </c>
      <c r="B42" s="16">
        <f>'ALL VARS'!F42</f>
        <v>1.7194200807451526E-2</v>
      </c>
      <c r="C42" s="16">
        <f>'ALL VARS'!G42</f>
        <v>-3.7551904604495374E-2</v>
      </c>
      <c r="D42" s="16">
        <f>'ALL VARS'!H42</f>
        <v>2.6099613068988042E-2</v>
      </c>
      <c r="E42" s="16">
        <f>'ALL VARS'!M42</f>
        <v>7.8005850501358512E-2</v>
      </c>
      <c r="F42" s="16">
        <f>'ALL VARS'!Q42</f>
        <v>1.4564855422892296</v>
      </c>
      <c r="G42" s="25">
        <f>'ALL VARS'!J42</f>
        <v>63.886000100000004</v>
      </c>
      <c r="J42" s="18"/>
      <c r="K42" s="18"/>
      <c r="L42" s="18"/>
      <c r="M42" s="18"/>
      <c r="N42" s="18"/>
      <c r="O42" s="18"/>
    </row>
    <row r="43" spans="1:15" x14ac:dyDescent="0.25">
      <c r="A43" s="24">
        <f>'ALL VARS'!A43</f>
        <v>43921</v>
      </c>
      <c r="B43" s="16">
        <f>'ALL VARS'!F43</f>
        <v>-3.7551904604495374E-2</v>
      </c>
      <c r="C43" s="16">
        <f>'ALL VARS'!G43</f>
        <v>2.6099613068988042E-2</v>
      </c>
      <c r="D43" s="16">
        <f>'ALL VARS'!H43</f>
        <v>2.7648809446036929E-2</v>
      </c>
      <c r="E43" s="16">
        <f>'ALL VARS'!M43</f>
        <v>-5.0065291579812765E-2</v>
      </c>
      <c r="F43" s="16">
        <f>'ALL VARS'!Q43</f>
        <v>-1.046789717732338</v>
      </c>
      <c r="G43" s="25">
        <f>'ALL VARS'!J43</f>
        <v>66.123000399999995</v>
      </c>
      <c r="J43" s="18"/>
      <c r="K43" s="18"/>
      <c r="L43" s="18"/>
      <c r="M43" s="18"/>
      <c r="N43" s="18"/>
      <c r="O43" s="18"/>
    </row>
    <row r="44" spans="1:15" x14ac:dyDescent="0.25">
      <c r="A44" s="24">
        <f>'ALL VARS'!A44</f>
        <v>43920</v>
      </c>
      <c r="B44" s="16">
        <f>'ALL VARS'!F44</f>
        <v>2.6099613068988042E-2</v>
      </c>
      <c r="C44" s="16">
        <f>'ALL VARS'!G44</f>
        <v>2.7648809446036929E-2</v>
      </c>
      <c r="D44" s="16">
        <f>'ALL VARS'!H44</f>
        <v>-5.1117326046437227E-2</v>
      </c>
      <c r="E44" s="16">
        <f>'ALL VARS'!M44</f>
        <v>6.451272894628346E-2</v>
      </c>
      <c r="F44" s="16">
        <f>'ALL VARS'!Q44</f>
        <v>1.5140809362898908</v>
      </c>
      <c r="G44" s="25">
        <f>'ALL VARS'!J44</f>
        <v>68.684000400000002</v>
      </c>
      <c r="J44" s="18"/>
      <c r="K44" s="18"/>
      <c r="L44" s="18"/>
      <c r="M44" s="18"/>
      <c r="N44" s="18"/>
      <c r="O44" s="18"/>
    </row>
    <row r="45" spans="1:15" x14ac:dyDescent="0.25">
      <c r="A45" s="24">
        <f>'ALL VARS'!A45</f>
        <v>43917</v>
      </c>
      <c r="B45" s="16">
        <f>'ALL VARS'!F45</f>
        <v>2.7648809446036929E-2</v>
      </c>
      <c r="C45" s="16">
        <f>'ALL VARS'!G45</f>
        <v>-5.1117326046437227E-2</v>
      </c>
      <c r="D45" s="16">
        <f>'ALL VARS'!H45</f>
        <v>1.7657086927428463E-2</v>
      </c>
      <c r="E45" s="16">
        <f>'ALL VARS'!M45</f>
        <v>-0.43549962999531999</v>
      </c>
      <c r="F45" s="16">
        <f>'ALL VARS'!Q45</f>
        <v>-9.8851846435896569</v>
      </c>
      <c r="G45" s="25">
        <f>'ALL VARS'!J45</f>
        <v>67.91300050000001</v>
      </c>
      <c r="J45" s="18"/>
      <c r="K45" s="18"/>
      <c r="L45" s="18"/>
      <c r="M45" s="18"/>
      <c r="N45" s="18"/>
      <c r="O45" s="18"/>
    </row>
    <row r="46" spans="1:15" x14ac:dyDescent="0.25">
      <c r="A46" s="24">
        <f>'ALL VARS'!A46</f>
        <v>43916</v>
      </c>
      <c r="B46" s="16">
        <f>'ALL VARS'!F46</f>
        <v>-5.1117326046437227E-2</v>
      </c>
      <c r="C46" s="16">
        <f>'ALL VARS'!G46</f>
        <v>1.7657086927428463E-2</v>
      </c>
      <c r="D46" s="16">
        <f>'ALL VARS'!H46</f>
        <v>4.5191001874909938E-2</v>
      </c>
      <c r="E46" s="16">
        <f>'ALL VARS'!M46</f>
        <v>-0.35762683051871136</v>
      </c>
      <c r="F46" s="16">
        <f>'ALL VARS'!Q46</f>
        <v>-8.6350756272048574</v>
      </c>
      <c r="G46" s="25">
        <f>'ALL VARS'!J46</f>
        <v>69.360000600000006</v>
      </c>
      <c r="J46" s="18"/>
      <c r="K46" s="18"/>
      <c r="L46" s="18"/>
      <c r="M46" s="18"/>
      <c r="N46" s="18"/>
      <c r="O46" s="18"/>
    </row>
    <row r="47" spans="1:15" x14ac:dyDescent="0.25">
      <c r="A47" s="24">
        <f>'ALL VARS'!A47</f>
        <v>43915</v>
      </c>
      <c r="B47" s="16">
        <f>'ALL VARS'!F47</f>
        <v>1.7657086927428463E-2</v>
      </c>
      <c r="C47" s="16">
        <f>'ALL VARS'!G47</f>
        <v>4.5191001874909938E-2</v>
      </c>
      <c r="D47" s="16">
        <f>'ALL VARS'!H47</f>
        <v>0.11957070036068938</v>
      </c>
      <c r="E47" s="16">
        <f>'ALL VARS'!M47</f>
        <v>6.999037426430732E-2</v>
      </c>
      <c r="F47" s="16">
        <f>'ALL VARS'!Q47</f>
        <v>1.6196116737607784</v>
      </c>
      <c r="G47" s="25">
        <f>'ALL VARS'!J47</f>
        <v>68.355000700000005</v>
      </c>
      <c r="J47" s="18"/>
      <c r="K47" s="18"/>
      <c r="L47" s="18"/>
      <c r="M47" s="18"/>
      <c r="N47" s="18"/>
      <c r="O47" s="18"/>
    </row>
    <row r="48" spans="1:15" x14ac:dyDescent="0.25">
      <c r="A48" s="24">
        <f>'ALL VARS'!A48</f>
        <v>43914</v>
      </c>
      <c r="B48" s="16">
        <f>'ALL VARS'!F48</f>
        <v>4.5191001874909938E-2</v>
      </c>
      <c r="C48" s="16">
        <f>'ALL VARS'!G48</f>
        <v>0.11957070036068938</v>
      </c>
      <c r="D48" s="16">
        <f>'ALL VARS'!H48</f>
        <v>-5.2591151998453836E-2</v>
      </c>
      <c r="E48" s="16">
        <f>'ALL VARS'!M48</f>
        <v>-0.11966689694672823</v>
      </c>
      <c r="F48" s="16">
        <f>'ALL VARS'!Q48</f>
        <v>-2.5971895149352275</v>
      </c>
      <c r="G48" s="25">
        <f>'ALL VARS'!J48</f>
        <v>66.918000799999987</v>
      </c>
      <c r="J48" s="18"/>
      <c r="K48" s="18"/>
      <c r="L48" s="18"/>
      <c r="M48" s="18"/>
      <c r="N48" s="18"/>
      <c r="O48" s="18"/>
    </row>
    <row r="49" spans="10:15" x14ac:dyDescent="0.25">
      <c r="J49" s="18"/>
      <c r="K49" s="18"/>
      <c r="L49" s="18"/>
      <c r="M49" s="18"/>
      <c r="N49" s="18"/>
      <c r="O49" s="18"/>
    </row>
    <row r="50" spans="10:15" x14ac:dyDescent="0.25">
      <c r="J50" s="18"/>
      <c r="K50" s="18"/>
      <c r="L50" s="18"/>
      <c r="M50" s="18"/>
      <c r="N50" s="18"/>
      <c r="O50" s="18"/>
    </row>
    <row r="51" spans="10:15" x14ac:dyDescent="0.25">
      <c r="J51" s="18"/>
      <c r="K51" s="18"/>
      <c r="L51" s="18"/>
      <c r="M51" s="18"/>
      <c r="N51" s="18"/>
      <c r="O51" s="18"/>
    </row>
    <row r="52" spans="10:15" x14ac:dyDescent="0.25">
      <c r="J52" s="18"/>
      <c r="K52" s="18"/>
      <c r="L52" s="18"/>
      <c r="M52" s="18"/>
      <c r="N52" s="18"/>
      <c r="O52" s="18"/>
    </row>
    <row r="53" spans="10:15" x14ac:dyDescent="0.25">
      <c r="J53" s="18"/>
      <c r="K53" s="18"/>
      <c r="L53" s="18"/>
      <c r="M53" s="18"/>
      <c r="N53" s="18"/>
      <c r="O53" s="18"/>
    </row>
    <row r="54" spans="10:15" x14ac:dyDescent="0.25">
      <c r="J54" s="18"/>
      <c r="K54" s="18"/>
      <c r="L54" s="18"/>
      <c r="M54" s="18"/>
      <c r="N54" s="18"/>
      <c r="O54" s="18"/>
    </row>
    <row r="55" spans="10:15" x14ac:dyDescent="0.25">
      <c r="J55" s="18"/>
      <c r="K55" s="18"/>
      <c r="L55" s="18"/>
      <c r="M55" s="18"/>
      <c r="N55" s="18"/>
      <c r="O55" s="18"/>
    </row>
    <row r="56" spans="10:15" x14ac:dyDescent="0.25">
      <c r="J56" s="18"/>
      <c r="K56" s="18"/>
      <c r="L56" s="18"/>
      <c r="M56" s="18"/>
      <c r="N56" s="18"/>
      <c r="O56" s="18"/>
    </row>
    <row r="57" spans="10:15" x14ac:dyDescent="0.25">
      <c r="J57" s="18"/>
      <c r="K57" s="18"/>
      <c r="L57" s="18"/>
      <c r="M57" s="18"/>
      <c r="N57" s="18"/>
      <c r="O57" s="18"/>
    </row>
    <row r="58" spans="10:15" x14ac:dyDescent="0.25">
      <c r="J58" s="18"/>
      <c r="K58" s="18"/>
      <c r="L58" s="18"/>
      <c r="M58" s="18"/>
      <c r="N58" s="18"/>
      <c r="O58" s="18"/>
    </row>
    <row r="59" spans="10:15" x14ac:dyDescent="0.25">
      <c r="J59" s="18"/>
      <c r="K59" s="18"/>
      <c r="L59" s="18"/>
      <c r="M59" s="18"/>
      <c r="N59" s="18"/>
      <c r="O59" s="18"/>
    </row>
    <row r="60" spans="10:15" x14ac:dyDescent="0.25">
      <c r="J60" s="18"/>
      <c r="K60" s="18"/>
      <c r="L60" s="18"/>
      <c r="M60" s="18"/>
      <c r="N60" s="18"/>
      <c r="O60" s="18"/>
    </row>
    <row r="61" spans="10:15" x14ac:dyDescent="0.25">
      <c r="J61" s="18"/>
      <c r="K61" s="18"/>
      <c r="L61" s="18"/>
      <c r="M61" s="18"/>
      <c r="N61" s="18"/>
      <c r="O61" s="18"/>
    </row>
    <row r="62" spans="10:15" x14ac:dyDescent="0.25">
      <c r="J62" s="18"/>
      <c r="K62" s="18"/>
      <c r="L62" s="18"/>
      <c r="M62" s="18"/>
      <c r="N62" s="18"/>
      <c r="O62" s="18"/>
    </row>
    <row r="63" spans="10:15" x14ac:dyDescent="0.25">
      <c r="J63" s="18"/>
      <c r="K63" s="18"/>
      <c r="L63" s="18"/>
      <c r="M63" s="18"/>
      <c r="N63" s="18"/>
      <c r="O63" s="18"/>
    </row>
    <row r="64" spans="10:15" x14ac:dyDescent="0.25">
      <c r="J64" s="18"/>
      <c r="K64" s="18"/>
      <c r="L64" s="18"/>
      <c r="M64" s="18"/>
      <c r="N64" s="18"/>
      <c r="O64" s="18"/>
    </row>
    <row r="65" spans="10:15" x14ac:dyDescent="0.25">
      <c r="J65" s="18"/>
      <c r="K65" s="18"/>
      <c r="L65" s="18"/>
      <c r="M65" s="18"/>
      <c r="N65" s="18"/>
      <c r="O65" s="18"/>
    </row>
    <row r="66" spans="10:15" x14ac:dyDescent="0.25">
      <c r="J66" s="18"/>
      <c r="K66" s="18"/>
      <c r="L66" s="18"/>
      <c r="M66" s="18"/>
      <c r="N66" s="18"/>
      <c r="O66" s="18"/>
    </row>
    <row r="67" spans="10:15" x14ac:dyDescent="0.25">
      <c r="J67" s="18"/>
      <c r="K67" s="18"/>
      <c r="L67" s="18"/>
      <c r="M67" s="18"/>
      <c r="N67" s="18"/>
      <c r="O67" s="18"/>
    </row>
    <row r="68" spans="10:15" x14ac:dyDescent="0.25">
      <c r="J68" s="18"/>
      <c r="K68" s="18"/>
      <c r="L68" s="18"/>
      <c r="M68" s="18"/>
      <c r="N68" s="18"/>
      <c r="O68" s="18"/>
    </row>
    <row r="69" spans="10:15" x14ac:dyDescent="0.25">
      <c r="J69" s="18"/>
      <c r="K69" s="18"/>
      <c r="L69" s="18"/>
      <c r="M69" s="18"/>
      <c r="N69" s="18"/>
      <c r="O69" s="18"/>
    </row>
    <row r="70" spans="10:15" x14ac:dyDescent="0.25">
      <c r="J70" s="18"/>
      <c r="K70" s="18"/>
      <c r="L70" s="18"/>
      <c r="M70" s="18"/>
      <c r="N70" s="18"/>
      <c r="O70" s="18"/>
    </row>
    <row r="71" spans="10:15" x14ac:dyDescent="0.25">
      <c r="J71" s="18"/>
      <c r="K71" s="18"/>
      <c r="L71" s="18"/>
      <c r="M71" s="18"/>
      <c r="N71" s="18"/>
      <c r="O71" s="18"/>
    </row>
    <row r="72" spans="10:15" x14ac:dyDescent="0.25">
      <c r="J72" s="18"/>
      <c r="K72" s="18"/>
      <c r="L72" s="18"/>
      <c r="M72" s="18"/>
      <c r="N72" s="18"/>
      <c r="O72" s="18"/>
    </row>
    <row r="73" spans="10:15" x14ac:dyDescent="0.25">
      <c r="J73" s="18"/>
      <c r="K73" s="18"/>
      <c r="L73" s="18"/>
      <c r="M73" s="18"/>
      <c r="N73" s="18"/>
      <c r="O73" s="18"/>
    </row>
    <row r="74" spans="10:15" x14ac:dyDescent="0.25">
      <c r="J74" s="18"/>
      <c r="K74" s="18"/>
      <c r="L74" s="18"/>
      <c r="M74" s="18"/>
      <c r="N74" s="18"/>
      <c r="O74" s="18"/>
    </row>
    <row r="75" spans="10:15" x14ac:dyDescent="0.25">
      <c r="J75" s="18"/>
      <c r="K75" s="18"/>
      <c r="L75" s="18"/>
      <c r="M75" s="18"/>
      <c r="N75" s="18"/>
      <c r="O75" s="18"/>
    </row>
    <row r="76" spans="10:15" x14ac:dyDescent="0.25">
      <c r="J76" s="18"/>
      <c r="K76" s="18"/>
      <c r="L76" s="18"/>
      <c r="M76" s="18"/>
      <c r="N76" s="18"/>
      <c r="O76" s="18"/>
    </row>
    <row r="77" spans="10:15" x14ac:dyDescent="0.25">
      <c r="J77" s="18"/>
      <c r="K77" s="18"/>
      <c r="L77" s="18"/>
      <c r="M77" s="18"/>
      <c r="N77" s="18"/>
      <c r="O77" s="18"/>
    </row>
    <row r="78" spans="10:15" x14ac:dyDescent="0.25">
      <c r="J78" s="18"/>
      <c r="K78" s="18"/>
      <c r="L78" s="18"/>
      <c r="M78" s="18"/>
      <c r="N78" s="18"/>
      <c r="O78" s="18"/>
    </row>
    <row r="79" spans="10:15" x14ac:dyDescent="0.25">
      <c r="J79" s="18"/>
      <c r="K79" s="18"/>
      <c r="L79" s="18"/>
      <c r="M79" s="18"/>
      <c r="N79" s="18"/>
      <c r="O79" s="18"/>
    </row>
    <row r="80" spans="10:15" x14ac:dyDescent="0.25">
      <c r="J80" s="18"/>
      <c r="K80" s="18"/>
      <c r="L80" s="18"/>
      <c r="M80" s="18"/>
      <c r="N80" s="18"/>
      <c r="O80" s="18"/>
    </row>
    <row r="81" spans="10:15" x14ac:dyDescent="0.25">
      <c r="J81" s="18"/>
      <c r="K81" s="18"/>
      <c r="L81" s="18"/>
      <c r="M81" s="18"/>
      <c r="N81" s="18"/>
      <c r="O81" s="18"/>
    </row>
    <row r="82" spans="10:15" x14ac:dyDescent="0.25">
      <c r="J82" s="18"/>
      <c r="K82" s="18"/>
      <c r="L82" s="18"/>
      <c r="M82" s="18"/>
      <c r="N82" s="18"/>
      <c r="O82" s="18"/>
    </row>
    <row r="83" spans="10:15" x14ac:dyDescent="0.25">
      <c r="J83" s="18"/>
      <c r="K83" s="18"/>
      <c r="L83" s="18"/>
      <c r="M83" s="18"/>
      <c r="N83" s="18"/>
      <c r="O83" s="18"/>
    </row>
    <row r="84" spans="10:15" x14ac:dyDescent="0.25">
      <c r="J84" s="18"/>
      <c r="K84" s="18"/>
      <c r="L84" s="18"/>
      <c r="M84" s="18"/>
      <c r="N84" s="18"/>
      <c r="O84" s="18"/>
    </row>
    <row r="85" spans="10:15" x14ac:dyDescent="0.25">
      <c r="J85" s="18"/>
      <c r="K85" s="18"/>
      <c r="L85" s="18"/>
      <c r="M85" s="18"/>
      <c r="N85" s="18"/>
      <c r="O85" s="18"/>
    </row>
    <row r="86" spans="10:15" x14ac:dyDescent="0.25">
      <c r="J86" s="18"/>
      <c r="K86" s="18"/>
      <c r="L86" s="18"/>
      <c r="M86" s="18"/>
      <c r="N86" s="18"/>
      <c r="O86" s="18"/>
    </row>
    <row r="87" spans="10:15" x14ac:dyDescent="0.25">
      <c r="J87" s="18"/>
      <c r="K87" s="18"/>
      <c r="L87" s="18"/>
      <c r="M87" s="18"/>
      <c r="N87" s="18"/>
      <c r="O87" s="18"/>
    </row>
    <row r="88" spans="10:15" x14ac:dyDescent="0.25">
      <c r="J88" s="18"/>
      <c r="K88" s="18"/>
      <c r="L88" s="18"/>
      <c r="M88" s="18"/>
      <c r="N88" s="18"/>
      <c r="O88" s="18"/>
    </row>
    <row r="89" spans="10:15" x14ac:dyDescent="0.25">
      <c r="J89" s="18"/>
      <c r="K89" s="18"/>
      <c r="L89" s="18"/>
      <c r="M89" s="18"/>
      <c r="N89" s="18"/>
      <c r="O89" s="18"/>
    </row>
    <row r="90" spans="10:15" x14ac:dyDescent="0.25">
      <c r="J90" s="18"/>
      <c r="K90" s="18"/>
      <c r="L90" s="18"/>
      <c r="M90" s="18"/>
      <c r="N90" s="18"/>
      <c r="O90" s="18"/>
    </row>
    <row r="91" spans="10:15" x14ac:dyDescent="0.25">
      <c r="J91" s="18"/>
      <c r="K91" s="18"/>
      <c r="L91" s="18"/>
      <c r="M91" s="18"/>
      <c r="N91" s="18"/>
      <c r="O91" s="18"/>
    </row>
    <row r="92" spans="10:15" x14ac:dyDescent="0.25">
      <c r="J92" s="18"/>
      <c r="K92" s="18"/>
      <c r="L92" s="18"/>
      <c r="M92" s="18"/>
      <c r="N92" s="18"/>
      <c r="O92" s="18"/>
    </row>
    <row r="93" spans="10:15" x14ac:dyDescent="0.25">
      <c r="J93" s="18"/>
      <c r="K93" s="18"/>
      <c r="L93" s="18"/>
      <c r="M93" s="18"/>
      <c r="N93" s="18"/>
      <c r="O93" s="18"/>
    </row>
    <row r="94" spans="10:15" x14ac:dyDescent="0.25">
      <c r="J94" s="18"/>
      <c r="K94" s="18"/>
      <c r="L94" s="18"/>
      <c r="M94" s="18"/>
      <c r="N94" s="18"/>
      <c r="O94" s="18"/>
    </row>
    <row r="95" spans="10:15" x14ac:dyDescent="0.25">
      <c r="J95" s="18"/>
      <c r="K95" s="18"/>
      <c r="L95" s="18"/>
      <c r="M95" s="18"/>
      <c r="N95" s="18"/>
      <c r="O95" s="18"/>
    </row>
    <row r="96" spans="10:15" x14ac:dyDescent="0.25">
      <c r="J96" s="18"/>
      <c r="K96" s="18"/>
      <c r="L96" s="18"/>
      <c r="M96" s="18"/>
      <c r="N96" s="18"/>
      <c r="O96" s="18"/>
    </row>
    <row r="97" spans="10:15" x14ac:dyDescent="0.25">
      <c r="J97" s="18"/>
      <c r="K97" s="18"/>
      <c r="L97" s="18"/>
      <c r="M97" s="18"/>
      <c r="N97" s="18"/>
      <c r="O97" s="18"/>
    </row>
    <row r="98" spans="10:15" x14ac:dyDescent="0.25">
      <c r="J98" s="18"/>
      <c r="K98" s="18"/>
      <c r="L98" s="18"/>
      <c r="M98" s="18"/>
      <c r="N98" s="18"/>
      <c r="O98" s="18"/>
    </row>
    <row r="99" spans="10:15" x14ac:dyDescent="0.25">
      <c r="J99" s="18"/>
      <c r="K99" s="18"/>
      <c r="L99" s="18"/>
      <c r="M99" s="18"/>
      <c r="N99" s="18"/>
      <c r="O99" s="18"/>
    </row>
    <row r="100" spans="10:15" x14ac:dyDescent="0.25">
      <c r="J100" s="18"/>
      <c r="K100" s="18"/>
      <c r="L100" s="18"/>
      <c r="M100" s="18"/>
      <c r="N100" s="18"/>
      <c r="O100" s="1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B48-9C45-407E-9D83-C56B2C53BD25}">
  <sheetPr codeName="Feuil16"/>
  <dimension ref="A1:Q100"/>
  <sheetViews>
    <sheetView zoomScaleNormal="100"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2.7109375" style="16" bestFit="1" customWidth="1"/>
    <col min="6" max="6" width="41" style="16" bestFit="1" customWidth="1"/>
    <col min="7" max="7" width="8.7109375" style="25" bestFit="1" customWidth="1"/>
    <col min="8" max="8" width="8.7109375" style="25" customWidth="1"/>
    <col min="9" max="9" width="46" style="18" bestFit="1" customWidth="1"/>
    <col min="10" max="10" width="23.85546875" style="16" customWidth="1"/>
    <col min="11" max="11" width="17.42578125" style="16" bestFit="1" customWidth="1"/>
    <col min="12" max="12" width="19.140625" style="16" bestFit="1" customWidth="1"/>
    <col min="13" max="13" width="12.28515625" style="16" bestFit="1" customWidth="1"/>
    <col min="14" max="15" width="21" style="16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21" t="str">
        <f>'ALL VARS'!F1</f>
        <v>Daily Return-Adj_t_+1</v>
      </c>
      <c r="C1" s="21" t="str">
        <f>'ALL VARS'!G1</f>
        <v>Daily Return-Adj_t</v>
      </c>
      <c r="D1" s="21" t="str">
        <f>'ALL VARS'!H1</f>
        <v>Daily Return-Adj_t_minus_1</v>
      </c>
      <c r="E1" s="21" t="str">
        <f>'ALL VARS'!S1</f>
        <v>Sent_t_k, k=0</v>
      </c>
      <c r="F1" s="21" t="str">
        <f>'ALL VARS'!U1</f>
        <v>Sent_t_k, k=0 * (VIX_10_t  minus VIX_bar_10)</v>
      </c>
      <c r="G1" s="22" t="str">
        <f>'ALL VARS'!J1</f>
        <v>VIX_10_t</v>
      </c>
      <c r="H1" s="23"/>
    </row>
    <row r="2" spans="1:14" x14ac:dyDescent="0.25">
      <c r="A2" s="24">
        <f>'ALL VARS'!A2</f>
        <v>43980</v>
      </c>
      <c r="B2" s="16">
        <f>'ALL VARS'!F2</f>
        <v>2.3093919546915233E-2</v>
      </c>
      <c r="C2" s="16">
        <f>'ALL VARS'!G2</f>
        <v>-4.5798180601685388E-3</v>
      </c>
      <c r="D2" s="16">
        <f>'ALL VARS'!H2</f>
        <v>-6.0894480094293875E-4</v>
      </c>
      <c r="E2" s="16">
        <f>'ALL VARS'!S2</f>
        <v>-4.0665114527942831E-2</v>
      </c>
      <c r="F2" s="16">
        <f>'ALL VARS'!U2</f>
        <v>0.64216351449175435</v>
      </c>
      <c r="G2" s="25">
        <f>'ALL VARS'!J2</f>
        <v>29.423000200000001</v>
      </c>
      <c r="I2" s="18" t="s">
        <v>39</v>
      </c>
    </row>
    <row r="3" spans="1:14" ht="15.75" thickBot="1" x14ac:dyDescent="0.3">
      <c r="A3" s="24">
        <f>'ALL VARS'!A3</f>
        <v>43979</v>
      </c>
      <c r="B3" s="16">
        <f>'ALL VARS'!F3</f>
        <v>-4.5798180601685388E-3</v>
      </c>
      <c r="C3" s="16">
        <f>'ALL VARS'!G3</f>
        <v>-6.0894480094293875E-4</v>
      </c>
      <c r="D3" s="16">
        <f>'ALL VARS'!H3</f>
        <v>8.1792696244475296E-3</v>
      </c>
      <c r="E3" s="16">
        <f>'ALL VARS'!S3</f>
        <v>1.3925055326792781E-4</v>
      </c>
      <c r="F3" s="16">
        <f>'ALL VARS'!U3</f>
        <v>-2.1058177330785526E-3</v>
      </c>
      <c r="G3" s="25">
        <f>'ALL VARS'!J3</f>
        <v>30.092000099999996</v>
      </c>
    </row>
    <row r="4" spans="1:14" x14ac:dyDescent="0.25">
      <c r="A4" s="24">
        <f>'ALL VARS'!A4</f>
        <v>43978</v>
      </c>
      <c r="B4" s="16">
        <f>'ALL VARS'!F4</f>
        <v>-6.0894480094293875E-4</v>
      </c>
      <c r="C4" s="16">
        <f>'ALL VARS'!G4</f>
        <v>8.1792696244475296E-3</v>
      </c>
      <c r="D4" s="16">
        <f>'ALL VARS'!H4</f>
        <v>4.8223739412853626E-3</v>
      </c>
      <c r="E4" s="16">
        <f>'ALL VARS'!S4</f>
        <v>-3.5602666505929132E-3</v>
      </c>
      <c r="F4" s="16">
        <f>'ALL VARS'!U4</f>
        <v>5.1910499635311719E-2</v>
      </c>
      <c r="G4" s="25">
        <f>'ALL VARS'!J4</f>
        <v>30.634000099999998</v>
      </c>
      <c r="I4" s="26" t="s">
        <v>40</v>
      </c>
      <c r="J4" s="27"/>
    </row>
    <row r="5" spans="1:14" x14ac:dyDescent="0.25">
      <c r="A5" s="24">
        <f>'ALL VARS'!A5</f>
        <v>43977</v>
      </c>
      <c r="B5" s="16">
        <f>'ALL VARS'!F5</f>
        <v>8.1792696244475296E-3</v>
      </c>
      <c r="C5" s="16">
        <f>'ALL VARS'!G5</f>
        <v>4.8223739412853626E-3</v>
      </c>
      <c r="D5" s="16">
        <f>'ALL VARS'!H5</f>
        <v>1.0849210535487055E-2</v>
      </c>
      <c r="E5" s="16">
        <f>'ALL VARS'!S5</f>
        <v>2.2716123014224466E-3</v>
      </c>
      <c r="F5" s="16">
        <f>'ALL VARS'!U5</f>
        <v>-3.3221214351384268E-2</v>
      </c>
      <c r="G5" s="25">
        <f>'ALL VARS'!J5</f>
        <v>30.590000099999997</v>
      </c>
      <c r="I5" s="18" t="s">
        <v>41</v>
      </c>
      <c r="J5" s="16">
        <v>0.41743015610693124</v>
      </c>
    </row>
    <row r="6" spans="1:14" x14ac:dyDescent="0.25">
      <c r="A6" s="24">
        <f>'ALL VARS'!A6</f>
        <v>43976</v>
      </c>
      <c r="B6" s="16">
        <f>'ALL VARS'!F6</f>
        <v>4.8223739412853626E-3</v>
      </c>
      <c r="C6" s="16">
        <f>'ALL VARS'!G6</f>
        <v>1.0849210535487055E-2</v>
      </c>
      <c r="D6" s="16">
        <f>'ALL VARS'!H6</f>
        <v>1.9280759189597432E-3</v>
      </c>
      <c r="E6" s="16">
        <f>'ALL VARS'!S6</f>
        <v>-1.1965291788171723E-2</v>
      </c>
      <c r="F6" s="16">
        <f>'ALL VARS'!U6</f>
        <v>0.17509420404124143</v>
      </c>
      <c r="G6" s="25">
        <f>'ALL VARS'!J6</f>
        <v>30.581000099999997</v>
      </c>
      <c r="I6" s="18" t="s">
        <v>42</v>
      </c>
      <c r="J6" s="16">
        <v>0.17424793522745696</v>
      </c>
    </row>
    <row r="7" spans="1:14" x14ac:dyDescent="0.25">
      <c r="A7" s="24">
        <f>'ALL VARS'!A7</f>
        <v>43973</v>
      </c>
      <c r="B7" s="16">
        <f>'ALL VARS'!F7</f>
        <v>1.0849210535487055E-2</v>
      </c>
      <c r="C7" s="16">
        <f>'ALL VARS'!G7</f>
        <v>1.9280759189597432E-3</v>
      </c>
      <c r="D7" s="16">
        <f>'ALL VARS'!H7</f>
        <v>-7.5144837132717695E-3</v>
      </c>
      <c r="E7" s="16">
        <f>'ALL VARS'!S7</f>
        <v>7.422496670563565E-4</v>
      </c>
      <c r="F7" s="16">
        <f>'ALL VARS'!U7</f>
        <v>-1.0868397366312257E-2</v>
      </c>
      <c r="G7" s="25">
        <f>'ALL VARS'!J7</f>
        <v>30.572000099999997</v>
      </c>
      <c r="I7" s="18" t="s">
        <v>42</v>
      </c>
      <c r="J7" s="16">
        <v>7.1795357630071929E-2</v>
      </c>
    </row>
    <row r="8" spans="1:14" x14ac:dyDescent="0.25">
      <c r="A8" s="24">
        <f>'ALL VARS'!A8</f>
        <v>43972</v>
      </c>
      <c r="B8" s="16">
        <f>'ALL VARS'!F8</f>
        <v>1.9280759189597432E-3</v>
      </c>
      <c r="C8" s="16">
        <f>'ALL VARS'!G8</f>
        <v>-7.5144837132717695E-3</v>
      </c>
      <c r="D8" s="16">
        <f>'ALL VARS'!H8</f>
        <v>7.5307923146686901E-3</v>
      </c>
      <c r="E8" s="16">
        <f>'ALL VARS'!S8</f>
        <v>1.5144547309495519E-3</v>
      </c>
      <c r="F8" s="16">
        <f>'ALL VARS'!U8</f>
        <v>-2.1886156044220017E-2</v>
      </c>
      <c r="G8" s="25">
        <f>'ALL VARS'!J8</f>
        <v>30.763000099999999</v>
      </c>
      <c r="I8" s="18" t="s">
        <v>43</v>
      </c>
      <c r="J8" s="16">
        <v>1.9680682310639266E-2</v>
      </c>
    </row>
    <row r="9" spans="1:14" ht="15.75" thickBot="1" x14ac:dyDescent="0.3">
      <c r="A9" s="24">
        <f>'ALL VARS'!A9</f>
        <v>43971</v>
      </c>
      <c r="B9" s="16">
        <f>'ALL VARS'!F9</f>
        <v>-7.5144837132717695E-3</v>
      </c>
      <c r="C9" s="16">
        <f>'ALL VARS'!G9</f>
        <v>7.5307923146686901E-3</v>
      </c>
      <c r="D9" s="16">
        <f>'ALL VARS'!H9</f>
        <v>1.6845500851389788E-2</v>
      </c>
      <c r="E9" s="16">
        <f>'ALL VARS'!S9</f>
        <v>8.7608269336477695E-3</v>
      </c>
      <c r="F9" s="16">
        <f>'ALL VARS'!U9</f>
        <v>-0.1212367824916858</v>
      </c>
      <c r="G9" s="25">
        <f>'ALL VARS'!J9</f>
        <v>31.375999999999998</v>
      </c>
      <c r="I9" s="28" t="s">
        <v>44</v>
      </c>
      <c r="J9" s="29">
        <v>47</v>
      </c>
    </row>
    <row r="10" spans="1:14" x14ac:dyDescent="0.25">
      <c r="A10" s="24">
        <f>'ALL VARS'!A10</f>
        <v>43970</v>
      </c>
      <c r="B10" s="16">
        <f>'ALL VARS'!F10</f>
        <v>7.5307923146686901E-3</v>
      </c>
      <c r="C10" s="16">
        <f>'ALL VARS'!G10</f>
        <v>1.6845500851389788E-2</v>
      </c>
      <c r="D10" s="16">
        <f>'ALL VARS'!H10</f>
        <v>8.9044014875318926E-3</v>
      </c>
      <c r="E10" s="16">
        <f>'ALL VARS'!S10</f>
        <v>8.3449585057469022E-3</v>
      </c>
      <c r="F10" s="16">
        <f>'ALL VARS'!U10</f>
        <v>-0.11291153628375702</v>
      </c>
      <c r="G10" s="25">
        <f>'ALL VARS'!J10</f>
        <v>31.683999999999997</v>
      </c>
    </row>
    <row r="11" spans="1:14" ht="15.75" thickBot="1" x14ac:dyDescent="0.3">
      <c r="A11" s="24">
        <f>'ALL VARS'!A11</f>
        <v>43966</v>
      </c>
      <c r="B11" s="16">
        <f>'ALL VARS'!F11</f>
        <v>1.6845500851389788E-2</v>
      </c>
      <c r="C11" s="16">
        <f>'ALL VARS'!G11</f>
        <v>8.9044014875318926E-3</v>
      </c>
      <c r="D11" s="16">
        <f>'ALL VARS'!H11</f>
        <v>4.4817694802564231E-4</v>
      </c>
      <c r="E11" s="16">
        <f>'ALL VARS'!S11</f>
        <v>-1.5775973530628956E-2</v>
      </c>
      <c r="F11" s="16">
        <f>'ALL VARS'!U11</f>
        <v>0.19457310858999599</v>
      </c>
      <c r="G11" s="25">
        <f>'ALL VARS'!J11</f>
        <v>32.881000200000003</v>
      </c>
      <c r="I11" s="18" t="s">
        <v>45</v>
      </c>
    </row>
    <row r="12" spans="1:14" x14ac:dyDescent="0.25">
      <c r="A12" s="24">
        <f>'ALL VARS'!A12</f>
        <v>43965</v>
      </c>
      <c r="B12" s="16">
        <f>'ALL VARS'!F12</f>
        <v>8.9044014875318926E-3</v>
      </c>
      <c r="C12" s="16">
        <f>'ALL VARS'!G12</f>
        <v>4.4817694802564231E-4</v>
      </c>
      <c r="D12" s="16">
        <f>'ALL VARS'!H12</f>
        <v>-2.5401176991557837E-2</v>
      </c>
      <c r="E12" s="16">
        <f>'ALL VARS'!S12</f>
        <v>5.2182364343557929E-3</v>
      </c>
      <c r="F12" s="16">
        <f>'ALL VARS'!U12</f>
        <v>-6.3555556124131607E-2</v>
      </c>
      <c r="G12" s="25">
        <f>'ALL VARS'!J12</f>
        <v>33.0350003</v>
      </c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A13" s="24">
        <f>'ALL VARS'!A13</f>
        <v>43964</v>
      </c>
      <c r="B13" s="16">
        <f>'ALL VARS'!F13</f>
        <v>4.4817694802564231E-4</v>
      </c>
      <c r="C13" s="16">
        <f>'ALL VARS'!G13</f>
        <v>-2.5401176991557837E-2</v>
      </c>
      <c r="D13" s="16">
        <f>'ALL VARS'!H13</f>
        <v>-1.4698871572495898E-2</v>
      </c>
      <c r="E13" s="16">
        <f>'ALL VARS'!S13</f>
        <v>2.135158897815472E-3</v>
      </c>
      <c r="F13" s="16">
        <f>'ALL VARS'!U13</f>
        <v>-2.6869925541892423E-2</v>
      </c>
      <c r="G13" s="25">
        <f>'ALL VARS'!J13</f>
        <v>32.630000399999993</v>
      </c>
      <c r="I13" s="18" t="s">
        <v>46</v>
      </c>
      <c r="J13" s="16">
        <v>5</v>
      </c>
      <c r="K13" s="16">
        <v>3.4327925937483877E-3</v>
      </c>
      <c r="L13" s="16">
        <v>6.8655851874967753E-4</v>
      </c>
      <c r="M13" s="16">
        <v>1.7725449542942604</v>
      </c>
      <c r="N13" s="16">
        <v>0.14003288391638946</v>
      </c>
    </row>
    <row r="14" spans="1:14" x14ac:dyDescent="0.25">
      <c r="A14" s="24">
        <f>'ALL VARS'!A14</f>
        <v>43963</v>
      </c>
      <c r="B14" s="16">
        <f>'ALL VARS'!F14</f>
        <v>-2.5401176991557837E-2</v>
      </c>
      <c r="C14" s="16">
        <f>'ALL VARS'!G14</f>
        <v>-1.4698871572495898E-2</v>
      </c>
      <c r="D14" s="16">
        <f>'ALL VARS'!H14</f>
        <v>9.1270288220883112E-3</v>
      </c>
      <c r="E14" s="16">
        <f>'ALL VARS'!S14</f>
        <v>-2.6453926531445223E-3</v>
      </c>
      <c r="F14" s="16">
        <f>'ALL VARS'!U14</f>
        <v>3.3150761084924915E-2</v>
      </c>
      <c r="G14" s="25">
        <f>'ALL VARS'!J14</f>
        <v>32.683000299999996</v>
      </c>
      <c r="I14" s="18" t="s">
        <v>47</v>
      </c>
      <c r="J14" s="16">
        <v>42</v>
      </c>
      <c r="K14" s="16">
        <v>1.6267828760916987E-2</v>
      </c>
      <c r="L14" s="16">
        <v>3.8732925621230924E-4</v>
      </c>
    </row>
    <row r="15" spans="1:14" ht="15.75" thickBot="1" x14ac:dyDescent="0.3">
      <c r="A15" s="24">
        <f>'ALL VARS'!A15</f>
        <v>43962</v>
      </c>
      <c r="B15" s="16">
        <f>'ALL VARS'!F15</f>
        <v>-1.4698871572495898E-2</v>
      </c>
      <c r="C15" s="16">
        <f>'ALL VARS'!G15</f>
        <v>9.1270288220883112E-3</v>
      </c>
      <c r="D15" s="16">
        <f>'ALL VARS'!H15</f>
        <v>8.9592894728179693E-3</v>
      </c>
      <c r="E15" s="16">
        <f>'ALL VARS'!S15</f>
        <v>1.5914759434505219E-3</v>
      </c>
      <c r="F15" s="16">
        <f>'ALL VARS'!U15</f>
        <v>-1.9033270254726089E-2</v>
      </c>
      <c r="G15" s="25">
        <f>'ALL VARS'!J15</f>
        <v>33.2550004</v>
      </c>
      <c r="I15" s="28" t="s">
        <v>48</v>
      </c>
      <c r="J15" s="29">
        <v>47</v>
      </c>
      <c r="K15" s="29">
        <v>1.9700621354665375E-2</v>
      </c>
      <c r="L15" s="29"/>
      <c r="M15" s="29"/>
      <c r="N15" s="29"/>
    </row>
    <row r="16" spans="1:14" ht="15.75" thickBot="1" x14ac:dyDescent="0.3">
      <c r="A16" s="24">
        <f>'ALL VARS'!A16</f>
        <v>43959</v>
      </c>
      <c r="B16" s="16">
        <f>'ALL VARS'!F16</f>
        <v>9.1270288220883112E-3</v>
      </c>
      <c r="C16" s="16">
        <f>'ALL VARS'!G16</f>
        <v>8.9592894728179693E-3</v>
      </c>
      <c r="D16" s="16">
        <f>'ALL VARS'!H16</f>
        <v>2.0228309928424119E-4</v>
      </c>
      <c r="E16" s="16">
        <f>'ALL VARS'!S16</f>
        <v>4.0751832722028182E-2</v>
      </c>
      <c r="F16" s="16">
        <f>'ALL VARS'!U16</f>
        <v>-0.45497418746279933</v>
      </c>
      <c r="G16" s="25">
        <f>'ALL VARS'!J16</f>
        <v>34.050000400000002</v>
      </c>
    </row>
    <row r="17" spans="1:17" ht="45" x14ac:dyDescent="0.25">
      <c r="A17" s="24">
        <f>'ALL VARS'!A17</f>
        <v>43958</v>
      </c>
      <c r="B17" s="16">
        <f>'ALL VARS'!F17</f>
        <v>8.9592894728179693E-3</v>
      </c>
      <c r="C17" s="16">
        <f>'ALL VARS'!G17</f>
        <v>2.0228309928424119E-4</v>
      </c>
      <c r="D17" s="16">
        <f>'ALL VARS'!H17</f>
        <v>1.2895694256002256E-3</v>
      </c>
      <c r="E17" s="16">
        <f>'ALL VARS'!S17</f>
        <v>-3.5818737551425602E-3</v>
      </c>
      <c r="F17" s="16">
        <f>'ALL VARS'!U17</f>
        <v>3.6429477881063509E-2</v>
      </c>
      <c r="G17" s="25">
        <f>'ALL VARS'!J17</f>
        <v>35.044000400000002</v>
      </c>
      <c r="I17" s="30"/>
      <c r="J17" s="30" t="s">
        <v>55</v>
      </c>
      <c r="K17" s="30" t="s">
        <v>43</v>
      </c>
      <c r="L17" s="30" t="s">
        <v>56</v>
      </c>
      <c r="M17" s="30" t="s">
        <v>57</v>
      </c>
      <c r="N17" s="30" t="s">
        <v>58</v>
      </c>
      <c r="O17" s="30" t="s">
        <v>59</v>
      </c>
      <c r="P17" s="27" t="s">
        <v>60</v>
      </c>
      <c r="Q17" s="27" t="s">
        <v>61</v>
      </c>
    </row>
    <row r="18" spans="1:17" x14ac:dyDescent="0.25">
      <c r="A18" s="24">
        <f>'ALL VARS'!A18</f>
        <v>43957</v>
      </c>
      <c r="B18" s="16">
        <f>'ALL VARS'!F18</f>
        <v>2.0228309928424119E-4</v>
      </c>
      <c r="C18" s="16">
        <f>'ALL VARS'!G18</f>
        <v>1.2895694256002256E-3</v>
      </c>
      <c r="D18" s="16">
        <f>'ALL VARS'!H18</f>
        <v>4.5167588335029351E-3</v>
      </c>
      <c r="E18" s="16">
        <f>'ALL VARS'!S18</f>
        <v>-3.8910877398021015E-4</v>
      </c>
      <c r="F18" s="16">
        <f>'ALL VARS'!U18</f>
        <v>3.6515946023030267E-3</v>
      </c>
      <c r="G18" s="25">
        <f>'ALL VARS'!J18</f>
        <v>35.830000499999997</v>
      </c>
      <c r="I18" s="18" t="s">
        <v>49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8" t="e">
        <v>#N/A</v>
      </c>
      <c r="Q18" s="18" t="e">
        <v>#N/A</v>
      </c>
    </row>
    <row r="19" spans="1:17" x14ac:dyDescent="0.25">
      <c r="A19" s="24">
        <f>'ALL VARS'!A19</f>
        <v>43956</v>
      </c>
      <c r="B19" s="16">
        <f>'ALL VARS'!F19</f>
        <v>1.2895694256002256E-3</v>
      </c>
      <c r="C19" s="16">
        <f>'ALL VARS'!G19</f>
        <v>4.5167588335029351E-3</v>
      </c>
      <c r="D19" s="16">
        <f>'ALL VARS'!H19</f>
        <v>8.5292501975474666E-3</v>
      </c>
      <c r="E19" s="16">
        <f>'ALL VARS'!S19</f>
        <v>3.6088494894241986E-3</v>
      </c>
      <c r="F19" s="16">
        <f>'ALL VARS'!U19</f>
        <v>-2.9608836722736852E-2</v>
      </c>
      <c r="G19" s="25">
        <f>'ALL VARS'!J19</f>
        <v>37.010000400000003</v>
      </c>
      <c r="I19" s="18" t="s">
        <v>36</v>
      </c>
      <c r="J19" s="16">
        <v>-2.0845342684047596E-2</v>
      </c>
      <c r="K19" s="16">
        <v>0.11706134081943598</v>
      </c>
      <c r="L19" s="16">
        <v>-0.17807196242695517</v>
      </c>
      <c r="M19" s="16">
        <v>0.85952258518977476</v>
      </c>
      <c r="N19" s="16">
        <v>-0.25708469269914541</v>
      </c>
      <c r="O19" s="16">
        <v>0.21539400733105024</v>
      </c>
      <c r="P19" s="18">
        <v>-0.25708469269914541</v>
      </c>
      <c r="Q19" s="18">
        <v>0.21539400733105024</v>
      </c>
    </row>
    <row r="20" spans="1:17" x14ac:dyDescent="0.25">
      <c r="A20" s="24">
        <f>'ALL VARS'!A20</f>
        <v>43955</v>
      </c>
      <c r="B20" s="16">
        <f>'ALL VARS'!F20</f>
        <v>4.5167588335029351E-3</v>
      </c>
      <c r="C20" s="16">
        <f>'ALL VARS'!G20</f>
        <v>8.5292501975474666E-3</v>
      </c>
      <c r="D20" s="16">
        <f>'ALL VARS'!H20</f>
        <v>-1.0852015661224153E-2</v>
      </c>
      <c r="E20" s="16">
        <f>'ALL VARS'!S20</f>
        <v>-3.4534087849418436E-3</v>
      </c>
      <c r="F20" s="16">
        <f>'ALL VARS'!U20</f>
        <v>2.5619142473534542E-2</v>
      </c>
      <c r="G20" s="25">
        <f>'ALL VARS'!J20</f>
        <v>37.796000499999998</v>
      </c>
      <c r="I20" s="18" t="s">
        <v>37</v>
      </c>
      <c r="J20" s="16">
        <v>-0.15435805627925558</v>
      </c>
      <c r="K20" s="16">
        <v>0.10959765232477731</v>
      </c>
      <c r="L20" s="16">
        <v>-1.4084065945303015</v>
      </c>
      <c r="M20" s="16">
        <v>0.16637063915947334</v>
      </c>
      <c r="N20" s="16">
        <v>-0.3755350731077462</v>
      </c>
      <c r="O20" s="16">
        <v>6.6818960549235029E-2</v>
      </c>
      <c r="P20" s="18">
        <v>-0.3755350731077462</v>
      </c>
      <c r="Q20" s="18">
        <v>6.6818960549235029E-2</v>
      </c>
    </row>
    <row r="21" spans="1:17" x14ac:dyDescent="0.25">
      <c r="A21" s="24">
        <f>'ALL VARS'!A21</f>
        <v>43952</v>
      </c>
      <c r="B21" s="16">
        <f>'ALL VARS'!F21</f>
        <v>8.5292501975474666E-3</v>
      </c>
      <c r="C21" s="16">
        <f>'ALL VARS'!G21</f>
        <v>-1.0852015661224153E-2</v>
      </c>
      <c r="D21" s="16">
        <f>'ALL VARS'!H21</f>
        <v>-2.9379858648651246E-2</v>
      </c>
      <c r="E21" s="16">
        <f>'ALL VARS'!S21</f>
        <v>-2.4350381749567275E-3</v>
      </c>
      <c r="F21" s="16">
        <f>'ALL VARS'!U21</f>
        <v>1.7830587037609598E-2</v>
      </c>
      <c r="G21" s="25">
        <f>'ALL VARS'!J21</f>
        <v>37.892000799999991</v>
      </c>
      <c r="I21" s="18" t="s">
        <v>21</v>
      </c>
      <c r="J21" s="16">
        <v>-0.49027304558123447</v>
      </c>
      <c r="K21" s="16">
        <v>0.27442364623496823</v>
      </c>
      <c r="L21" s="16">
        <v>-1.7865553945794113</v>
      </c>
      <c r="M21" s="16">
        <v>8.1229096795806185E-2</v>
      </c>
      <c r="N21" s="16">
        <v>-1.0440823848687459</v>
      </c>
      <c r="O21" s="16">
        <v>6.3536293706277058E-2</v>
      </c>
      <c r="P21" s="18">
        <v>-1.0440823848687459</v>
      </c>
      <c r="Q21" s="18">
        <v>6.3536293706277058E-2</v>
      </c>
    </row>
    <row r="22" spans="1:17" x14ac:dyDescent="0.25">
      <c r="A22" s="24">
        <f>'ALL VARS'!A22</f>
        <v>43951</v>
      </c>
      <c r="B22" s="16">
        <f>'ALL VARS'!F22</f>
        <v>-1.0852015661224153E-2</v>
      </c>
      <c r="C22" s="16">
        <f>'ALL VARS'!G22</f>
        <v>-2.9379858648651246E-2</v>
      </c>
      <c r="D22" s="16">
        <f>'ALL VARS'!H22</f>
        <v>2.904386379946032E-2</v>
      </c>
      <c r="E22" s="16">
        <f>'ALL VARS'!S22</f>
        <v>-2.0812126079932354E-3</v>
      </c>
      <c r="F22" s="16">
        <f>'ALL VARS'!U22</f>
        <v>1.3999293910941084E-2</v>
      </c>
      <c r="G22" s="25">
        <f>'ALL VARS'!J22</f>
        <v>38.488000700000001</v>
      </c>
      <c r="I22" s="18" t="s">
        <v>87</v>
      </c>
      <c r="J22" s="16">
        <v>-1.4473629204952335E-2</v>
      </c>
      <c r="K22" s="16">
        <v>2.4350987670418333E-2</v>
      </c>
      <c r="L22" s="16">
        <v>-0.59437544796324426</v>
      </c>
      <c r="M22" s="16">
        <v>0.5554494836850421</v>
      </c>
      <c r="N22" s="16">
        <v>-6.3615911868181149E-2</v>
      </c>
      <c r="O22" s="16">
        <v>3.466865345827648E-2</v>
      </c>
      <c r="P22" s="18">
        <v>-6.3615911868181149E-2</v>
      </c>
      <c r="Q22" s="18">
        <v>3.466865345827648E-2</v>
      </c>
    </row>
    <row r="23" spans="1:17" ht="15.75" thickBot="1" x14ac:dyDescent="0.3">
      <c r="A23" s="24">
        <f>'ALL VARS'!A23</f>
        <v>43950</v>
      </c>
      <c r="B23" s="16">
        <f>'ALL VARS'!F23</f>
        <v>-2.9379858648651246E-2</v>
      </c>
      <c r="C23" s="16">
        <f>'ALL VARS'!G23</f>
        <v>2.904386379946032E-2</v>
      </c>
      <c r="D23" s="16">
        <f>'ALL VARS'!H23</f>
        <v>1.0667882350970269E-2</v>
      </c>
      <c r="E23" s="16">
        <f>'ALL VARS'!S23</f>
        <v>8.937230388307014E-5</v>
      </c>
      <c r="F23" s="16">
        <f>'ALL VARS'!U23</f>
        <v>-5.1527676108230878E-4</v>
      </c>
      <c r="G23" s="25">
        <f>'ALL VARS'!J23</f>
        <v>39.449000699999999</v>
      </c>
      <c r="I23" s="28" t="s">
        <v>4</v>
      </c>
      <c r="J23" s="29">
        <v>1.0741605883765536E-4</v>
      </c>
      <c r="K23" s="29">
        <v>7.388163777959615E-5</v>
      </c>
      <c r="L23" s="29">
        <v>1.4538938505681096</v>
      </c>
      <c r="M23" s="29">
        <v>0.15340807337984122</v>
      </c>
      <c r="N23" s="29">
        <v>-4.168312253960768E-5</v>
      </c>
      <c r="O23" s="29">
        <v>2.565152402149184E-4</v>
      </c>
      <c r="P23" s="28">
        <v>-4.168312253960768E-5</v>
      </c>
      <c r="Q23" s="28">
        <v>2.565152402149184E-4</v>
      </c>
    </row>
    <row r="24" spans="1:17" x14ac:dyDescent="0.25">
      <c r="A24" s="24">
        <f>'ALL VARS'!A24</f>
        <v>43949</v>
      </c>
      <c r="B24" s="16">
        <f>'ALL VARS'!F24</f>
        <v>2.904386379946032E-2</v>
      </c>
      <c r="C24" s="16">
        <f>'ALL VARS'!G24</f>
        <v>1.0667882350970269E-2</v>
      </c>
      <c r="D24" s="16">
        <f>'ALL VARS'!H24</f>
        <v>1.5373998778727917E-2</v>
      </c>
      <c r="E24" s="16">
        <f>'ALL VARS'!S24</f>
        <v>-2.3627441199868299E-3</v>
      </c>
      <c r="F24" s="16">
        <f>'ALL VARS'!U24</f>
        <v>1.263243155399584E-2</v>
      </c>
      <c r="G24" s="25">
        <f>'ALL VARS'!J24</f>
        <v>39.868000500000008</v>
      </c>
    </row>
    <row r="25" spans="1:17" x14ac:dyDescent="0.25">
      <c r="A25" s="24">
        <f>'ALL VARS'!A25</f>
        <v>43948</v>
      </c>
      <c r="B25" s="16">
        <f>'ALL VARS'!F25</f>
        <v>1.0667882350970269E-2</v>
      </c>
      <c r="C25" s="16">
        <f>'ALL VARS'!G25</f>
        <v>1.5373998778727917E-2</v>
      </c>
      <c r="D25" s="16">
        <f>'ALL VARS'!H25</f>
        <v>1.1879839917270655E-2</v>
      </c>
      <c r="E25" s="16">
        <f>'ALL VARS'!S25</f>
        <v>-6.3264485000512896E-3</v>
      </c>
      <c r="F25" s="16">
        <f>'ALL VARS'!U25</f>
        <v>2.8839171249022674E-2</v>
      </c>
      <c r="G25" s="25">
        <f>'ALL VARS'!J25</f>
        <v>40.656000200000001</v>
      </c>
      <c r="J25" s="18"/>
      <c r="K25" s="18"/>
      <c r="L25" s="18"/>
      <c r="M25" s="18"/>
      <c r="N25" s="18"/>
      <c r="O25" s="18"/>
    </row>
    <row r="26" spans="1:17" x14ac:dyDescent="0.25">
      <c r="A26" s="24">
        <f>'ALL VARS'!A26</f>
        <v>43945</v>
      </c>
      <c r="B26" s="16">
        <f>'ALL VARS'!F26</f>
        <v>1.5373998778727917E-2</v>
      </c>
      <c r="C26" s="16">
        <f>'ALL VARS'!G26</f>
        <v>1.1879839917270655E-2</v>
      </c>
      <c r="D26" s="16">
        <f>'ALL VARS'!H26</f>
        <v>-2.5965891780394849E-3</v>
      </c>
      <c r="E26" s="16">
        <f>'ALL VARS'!S26</f>
        <v>-3.9553487503764956E-4</v>
      </c>
      <c r="F26" s="16">
        <f>'ALL VARS'!U26</f>
        <v>1.5760122749527436E-3</v>
      </c>
      <c r="G26" s="25">
        <f>'ALL VARS'!J26</f>
        <v>41.230000000000004</v>
      </c>
      <c r="J26" s="18"/>
      <c r="K26" s="18"/>
      <c r="L26" s="18"/>
      <c r="M26" s="18"/>
      <c r="N26" s="18"/>
      <c r="O26" s="18"/>
    </row>
    <row r="27" spans="1:17" x14ac:dyDescent="0.25">
      <c r="A27" s="24">
        <f>'ALL VARS'!A27</f>
        <v>43944</v>
      </c>
      <c r="B27" s="16">
        <f>'ALL VARS'!F27</f>
        <v>1.1879839917270655E-2</v>
      </c>
      <c r="C27" s="16">
        <f>'ALL VARS'!G27</f>
        <v>-2.5965891780394849E-3</v>
      </c>
      <c r="D27" s="16">
        <f>'ALL VARS'!H27</f>
        <v>2.4971169199914333E-2</v>
      </c>
      <c r="E27" s="16">
        <f>'ALL VARS'!S27</f>
        <v>-8.1406529490503053E-3</v>
      </c>
      <c r="F27" s="16">
        <f>'ALL VARS'!U27</f>
        <v>3.0832798866854919E-2</v>
      </c>
      <c r="G27" s="25">
        <f>'ALL VARS'!J27</f>
        <v>41.42699970000001</v>
      </c>
      <c r="J27" s="18"/>
      <c r="K27" s="18"/>
      <c r="L27" s="18"/>
      <c r="M27" s="18"/>
      <c r="N27" s="18"/>
      <c r="O27" s="18"/>
    </row>
    <row r="28" spans="1:17" x14ac:dyDescent="0.25">
      <c r="A28" s="24">
        <f>'ALL VARS'!A28</f>
        <v>43943</v>
      </c>
      <c r="B28" s="16">
        <f>'ALL VARS'!F28</f>
        <v>-2.5965891780394849E-3</v>
      </c>
      <c r="C28" s="16">
        <f>'ALL VARS'!G28</f>
        <v>2.4971169199914333E-2</v>
      </c>
      <c r="D28" s="16">
        <f>'ALL VARS'!H28</f>
        <v>-3.1150323670921017E-2</v>
      </c>
      <c r="E28" s="16">
        <f>'ALL VARS'!S28</f>
        <v>9.3619015445122074E-4</v>
      </c>
      <c r="F28" s="16">
        <f>'ALL VARS'!U28</f>
        <v>-3.1039470831719287E-3</v>
      </c>
      <c r="G28" s="25">
        <f>'ALL VARS'!J28</f>
        <v>41.898999799999999</v>
      </c>
      <c r="J28" s="18"/>
      <c r="K28" s="18"/>
      <c r="L28" s="18"/>
      <c r="M28" s="18"/>
      <c r="N28" s="18"/>
      <c r="O28" s="18"/>
    </row>
    <row r="29" spans="1:17" x14ac:dyDescent="0.25">
      <c r="A29" s="31">
        <f>'ALL VARS'!A29</f>
        <v>43942</v>
      </c>
      <c r="B29" s="32">
        <f>'ALL VARS'!F29</f>
        <v>2.4971169199914333E-2</v>
      </c>
      <c r="C29" s="32">
        <f>'ALL VARS'!G29</f>
        <v>-3.1150323670921017E-2</v>
      </c>
      <c r="D29" s="32">
        <f>'ALL VARS'!H29</f>
        <v>1.9776887879946956E-3</v>
      </c>
      <c r="E29" s="32">
        <f>'ALL VARS'!S29</f>
        <v>9.3990532947466456E-4</v>
      </c>
      <c r="F29" s="32">
        <f>'ALL VARS'!U29</f>
        <v>-3.1322429828139135E-3</v>
      </c>
      <c r="G29" s="33">
        <f>'ALL VARS'!J29</f>
        <v>41.881999999999998</v>
      </c>
      <c r="H29" s="33"/>
      <c r="J29" s="18"/>
      <c r="K29" s="18"/>
      <c r="L29" s="18"/>
      <c r="M29" s="18"/>
      <c r="N29" s="18"/>
      <c r="O29" s="18"/>
    </row>
    <row r="30" spans="1:17" x14ac:dyDescent="0.25">
      <c r="A30" s="24">
        <f>'ALL VARS'!A30</f>
        <v>43941</v>
      </c>
      <c r="B30" s="16">
        <f>'ALL VARS'!F30</f>
        <v>-3.1150323670921017E-2</v>
      </c>
      <c r="C30" s="16">
        <f>'ALL VARS'!G30</f>
        <v>1.9776887879946956E-3</v>
      </c>
      <c r="D30" s="16">
        <f>'ALL VARS'!H30</f>
        <v>3.3138402111040632E-2</v>
      </c>
      <c r="E30" s="16">
        <f>'ALL VARS'!S30</f>
        <v>3.3249417438323624E-2</v>
      </c>
      <c r="F30" s="16">
        <f>'ALL VARS'!U30</f>
        <v>-0.10092891632027112</v>
      </c>
      <c r="G30" s="25">
        <f>'ALL VARS'!J30</f>
        <v>42.178999699999999</v>
      </c>
      <c r="J30" s="18"/>
      <c r="K30" s="18"/>
      <c r="L30" s="18"/>
      <c r="M30" s="18"/>
      <c r="N30" s="18"/>
      <c r="O30" s="18"/>
    </row>
    <row r="31" spans="1:17" x14ac:dyDescent="0.25">
      <c r="A31" s="24">
        <f>'ALL VARS'!A31</f>
        <v>43938</v>
      </c>
      <c r="B31" s="16">
        <f>'ALL VARS'!F31</f>
        <v>1.9776887879946956E-3</v>
      </c>
      <c r="C31" s="16">
        <f>'ALL VARS'!G31</f>
        <v>3.3138402111040632E-2</v>
      </c>
      <c r="D31" s="16">
        <f>'ALL VARS'!H31</f>
        <v>-4.2482631253185207E-3</v>
      </c>
      <c r="E31" s="16">
        <f>'ALL VARS'!S31</f>
        <v>-2.0033672346562136E-4</v>
      </c>
      <c r="F31" s="16">
        <f>'ALL VARS'!U31</f>
        <v>3.5249437094837154E-4</v>
      </c>
      <c r="G31" s="25">
        <f>'ALL VARS'!J31</f>
        <v>43.4549995</v>
      </c>
      <c r="J31" s="18"/>
      <c r="K31" s="18"/>
      <c r="L31" s="18"/>
      <c r="M31" s="18"/>
      <c r="N31" s="18"/>
      <c r="O31" s="18"/>
    </row>
    <row r="32" spans="1:17" x14ac:dyDescent="0.25">
      <c r="A32" s="24">
        <f>'ALL VARS'!A32</f>
        <v>43937</v>
      </c>
      <c r="B32" s="16">
        <f>'ALL VARS'!F32</f>
        <v>3.3138402111040632E-2</v>
      </c>
      <c r="C32" s="16">
        <f>'ALL VARS'!G32</f>
        <v>-4.2482631253185207E-3</v>
      </c>
      <c r="D32" s="16">
        <f>'ALL VARS'!H32</f>
        <v>-2.1026256366684357E-2</v>
      </c>
      <c r="E32" s="16">
        <f>'ALL VARS'!S32</f>
        <v>-1.7813606538020022E-3</v>
      </c>
      <c r="F32" s="16">
        <f>'ALL VARS'!U32</f>
        <v>1.14914710097955E-4</v>
      </c>
      <c r="G32" s="25">
        <f>'ALL VARS'!J32</f>
        <v>45.149999499999993</v>
      </c>
      <c r="J32" s="18"/>
      <c r="K32" s="18"/>
      <c r="L32" s="18"/>
      <c r="M32" s="18"/>
      <c r="N32" s="18"/>
      <c r="O32" s="18"/>
    </row>
    <row r="33" spans="1:15" x14ac:dyDescent="0.25">
      <c r="A33" s="24">
        <f>'ALL VARS'!A33</f>
        <v>43936</v>
      </c>
      <c r="B33" s="16">
        <f>'ALL VARS'!F33</f>
        <v>-4.2482631253185207E-3</v>
      </c>
      <c r="C33" s="16">
        <f>'ALL VARS'!G33</f>
        <v>-2.1026256366684357E-2</v>
      </c>
      <c r="D33" s="16">
        <f>'ALL VARS'!H33</f>
        <v>1.2965422809946055E-2</v>
      </c>
      <c r="E33" s="16">
        <f>'ALL VARS'!S33</f>
        <v>-4.8918311083505656E-3</v>
      </c>
      <c r="F33" s="16">
        <f>'ALL VARS'!U33</f>
        <v>-5.8970563492470708E-3</v>
      </c>
      <c r="G33" s="25">
        <f>'ALL VARS'!J33</f>
        <v>46.419999600000004</v>
      </c>
      <c r="J33" s="18"/>
      <c r="K33" s="18"/>
      <c r="L33" s="18"/>
      <c r="M33" s="18"/>
      <c r="N33" s="18"/>
      <c r="O33" s="18"/>
    </row>
    <row r="34" spans="1:15" x14ac:dyDescent="0.25">
      <c r="A34" s="24">
        <f>'ALL VARS'!A34</f>
        <v>43935</v>
      </c>
      <c r="B34" s="16">
        <f>'ALL VARS'!F34</f>
        <v>-2.1026256366684357E-2</v>
      </c>
      <c r="C34" s="16">
        <f>'ALL VARS'!G34</f>
        <v>1.2965422809946055E-2</v>
      </c>
      <c r="D34" s="16">
        <f>'ALL VARS'!H34</f>
        <v>-6.4023280464834062E-3</v>
      </c>
      <c r="E34" s="16">
        <f>'ALL VARS'!S34</f>
        <v>1.6972291644065604E-3</v>
      </c>
      <c r="F34" s="16">
        <f>'ALL VARS'!U34</f>
        <v>5.3250412044423987E-3</v>
      </c>
      <c r="G34" s="25">
        <f>'ALL VARS'!J34</f>
        <v>48.352000000000004</v>
      </c>
      <c r="J34" s="18"/>
      <c r="K34" s="18"/>
      <c r="L34" s="18"/>
      <c r="M34" s="18"/>
      <c r="N34" s="18"/>
      <c r="O34" s="18"/>
    </row>
    <row r="35" spans="1:15" x14ac:dyDescent="0.25">
      <c r="A35" s="24">
        <f>'ALL VARS'!A35</f>
        <v>43934</v>
      </c>
      <c r="B35" s="16">
        <f>'ALL VARS'!F35</f>
        <v>1.2965422809946055E-2</v>
      </c>
      <c r="C35" s="16">
        <f>'ALL VARS'!G35</f>
        <v>-6.4023280464834062E-3</v>
      </c>
      <c r="D35" s="16">
        <f>'ALL VARS'!H35</f>
        <v>1.729890853793448E-2</v>
      </c>
      <c r="E35" s="16">
        <f>'ALL VARS'!S35</f>
        <v>-4.2681083364169078E-2</v>
      </c>
      <c r="F35" s="16">
        <f>'ALL VARS'!U35</f>
        <v>-0.23792532728910365</v>
      </c>
      <c r="G35" s="25">
        <f>'ALL VARS'!J35</f>
        <v>50.789000299999998</v>
      </c>
      <c r="J35" s="18"/>
      <c r="K35" s="18"/>
      <c r="L35" s="18"/>
      <c r="M35" s="18"/>
      <c r="N35" s="18"/>
      <c r="O35" s="18"/>
    </row>
    <row r="36" spans="1:15" x14ac:dyDescent="0.25">
      <c r="A36" s="24">
        <f>'ALL VARS'!A36</f>
        <v>43930</v>
      </c>
      <c r="B36" s="16">
        <f>'ALL VARS'!F36</f>
        <v>-6.4023280464834062E-3</v>
      </c>
      <c r="C36" s="16">
        <f>'ALL VARS'!G36</f>
        <v>1.729890853793448E-2</v>
      </c>
      <c r="D36" s="16">
        <f>'ALL VARS'!H36</f>
        <v>2.2888078899761091E-2</v>
      </c>
      <c r="E36" s="16">
        <f>'ALL VARS'!S36</f>
        <v>1.3995175667343648E-3</v>
      </c>
      <c r="F36" s="16">
        <f>'ALL VARS'!U36</f>
        <v>1.0506866216716605E-2</v>
      </c>
      <c r="G36" s="25">
        <f>'ALL VARS'!J36</f>
        <v>52.722000499999993</v>
      </c>
      <c r="J36" s="18"/>
      <c r="K36" s="18"/>
      <c r="L36" s="18"/>
      <c r="M36" s="18"/>
      <c r="N36" s="18"/>
      <c r="O36" s="18"/>
    </row>
    <row r="37" spans="1:15" x14ac:dyDescent="0.25">
      <c r="A37" s="24">
        <f>'ALL VARS'!A37</f>
        <v>43929</v>
      </c>
      <c r="B37" s="16">
        <f>'ALL VARS'!F37</f>
        <v>1.729890853793448E-2</v>
      </c>
      <c r="C37" s="16">
        <f>'ALL VARS'!G37</f>
        <v>2.2888078899761091E-2</v>
      </c>
      <c r="D37" s="16">
        <f>'ALL VARS'!H37</f>
        <v>1.5743313464585205E-3</v>
      </c>
      <c r="E37" s="16">
        <f>'ALL VARS'!S37</f>
        <v>-1.2297182185778876E-3</v>
      </c>
      <c r="F37" s="16">
        <f>'ALL VARS'!U37</f>
        <v>-1.1765318955295387E-2</v>
      </c>
      <c r="G37" s="25">
        <f>'ALL VARS'!J37</f>
        <v>54.782000800000006</v>
      </c>
      <c r="J37" s="18"/>
      <c r="K37" s="18"/>
      <c r="L37" s="18"/>
      <c r="M37" s="18"/>
      <c r="N37" s="18"/>
      <c r="O37" s="18"/>
    </row>
    <row r="38" spans="1:15" x14ac:dyDescent="0.25">
      <c r="A38" s="24">
        <f>'ALL VARS'!A38</f>
        <v>43928</v>
      </c>
      <c r="B38" s="16">
        <f>'ALL VARS'!F38</f>
        <v>2.2888078899761091E-2</v>
      </c>
      <c r="C38" s="16">
        <f>'ALL VARS'!G38</f>
        <v>1.5743313464585205E-3</v>
      </c>
      <c r="D38" s="16">
        <f>'ALL VARS'!H38</f>
        <v>5.0578545857092143E-2</v>
      </c>
      <c r="E38" s="16">
        <f>'ALL VARS'!S38</f>
        <v>-7.172374970462434E-3</v>
      </c>
      <c r="F38" s="16">
        <f>'ALL VARS'!U38</f>
        <v>-7.9358681794829605E-2</v>
      </c>
      <c r="G38" s="25">
        <f>'ALL VARS'!J38</f>
        <v>56.279000499999995</v>
      </c>
      <c r="J38" s="18"/>
      <c r="K38" s="18"/>
      <c r="L38" s="18"/>
      <c r="M38" s="18"/>
      <c r="N38" s="18"/>
      <c r="O38" s="18"/>
    </row>
    <row r="39" spans="1:15" x14ac:dyDescent="0.25">
      <c r="A39" s="24">
        <f>'ALL VARS'!A39</f>
        <v>43927</v>
      </c>
      <c r="B39" s="16">
        <f>'ALL VARS'!F39</f>
        <v>1.5743313464585205E-3</v>
      </c>
      <c r="C39" s="16">
        <f>'ALL VARS'!G39</f>
        <v>5.0578545857092143E-2</v>
      </c>
      <c r="D39" s="16">
        <f>'ALL VARS'!H39</f>
        <v>-1.2177617796472343E-2</v>
      </c>
      <c r="E39" s="16">
        <f>'ALL VARS'!S39</f>
        <v>-1.9875074046811075E-3</v>
      </c>
      <c r="F39" s="16">
        <f>'ALL VARS'!U39</f>
        <v>-2.5240332966538517E-2</v>
      </c>
      <c r="G39" s="25">
        <f>'ALL VARS'!J39</f>
        <v>57.914000299999998</v>
      </c>
      <c r="J39" s="18"/>
      <c r="K39" s="18"/>
      <c r="L39" s="18"/>
      <c r="M39" s="18"/>
      <c r="N39" s="18"/>
      <c r="O39" s="18"/>
    </row>
    <row r="40" spans="1:15" x14ac:dyDescent="0.25">
      <c r="A40" s="24">
        <f>'ALL VARS'!A40</f>
        <v>43924</v>
      </c>
      <c r="B40" s="16">
        <f>'ALL VARS'!F40</f>
        <v>5.0578545857092143E-2</v>
      </c>
      <c r="C40" s="16">
        <f>'ALL VARS'!G40</f>
        <v>-1.2177617796472343E-2</v>
      </c>
      <c r="D40" s="16">
        <f>'ALL VARS'!H40</f>
        <v>1.7194200807451526E-2</v>
      </c>
      <c r="E40" s="16">
        <f>'ALL VARS'!S40</f>
        <v>-8.8852928190003358E-3</v>
      </c>
      <c r="F40" s="16">
        <f>'ALL VARS'!U40</f>
        <v>-0.12993400388895684</v>
      </c>
      <c r="G40" s="25">
        <f>'ALL VARS'!J40</f>
        <v>59.8380005</v>
      </c>
      <c r="J40" s="18"/>
      <c r="K40" s="18"/>
      <c r="L40" s="18"/>
      <c r="M40" s="18"/>
      <c r="N40" s="18"/>
      <c r="O40" s="18"/>
    </row>
    <row r="41" spans="1:15" x14ac:dyDescent="0.25">
      <c r="A41" s="24">
        <f>'ALL VARS'!A41</f>
        <v>43923</v>
      </c>
      <c r="B41" s="16">
        <f>'ALL VARS'!F41</f>
        <v>-1.2177617796472343E-2</v>
      </c>
      <c r="C41" s="16">
        <f>'ALL VARS'!G41</f>
        <v>1.7194200807451526E-2</v>
      </c>
      <c r="D41" s="16">
        <f>'ALL VARS'!H41</f>
        <v>-3.7551904604495374E-2</v>
      </c>
      <c r="E41" s="16">
        <f>'ALL VARS'!S41</f>
        <v>-5.0728967861617107E-3</v>
      </c>
      <c r="F41" s="16">
        <f>'ALL VARS'!U41</f>
        <v>-8.4882202283629749E-2</v>
      </c>
      <c r="G41" s="25">
        <f>'ALL VARS'!J41</f>
        <v>61.947000500000001</v>
      </c>
      <c r="J41" s="18"/>
      <c r="K41" s="18"/>
      <c r="L41" s="18"/>
      <c r="M41" s="18"/>
      <c r="N41" s="18"/>
      <c r="O41" s="18"/>
    </row>
    <row r="42" spans="1:15" x14ac:dyDescent="0.25">
      <c r="A42" s="24">
        <f>'ALL VARS'!A42</f>
        <v>43922</v>
      </c>
      <c r="B42" s="16">
        <f>'ALL VARS'!F42</f>
        <v>1.7194200807451526E-2</v>
      </c>
      <c r="C42" s="16">
        <f>'ALL VARS'!G42</f>
        <v>-3.7551904604495374E-2</v>
      </c>
      <c r="D42" s="16">
        <f>'ALL VARS'!H42</f>
        <v>2.6099613068988042E-2</v>
      </c>
      <c r="E42" s="16">
        <f>'ALL VARS'!S42</f>
        <v>1.5602424550421763E-3</v>
      </c>
      <c r="F42" s="16">
        <f>'ALL VARS'!U42</f>
        <v>2.9132053091264057E-2</v>
      </c>
      <c r="G42" s="25">
        <f>'ALL VARS'!J42</f>
        <v>63.886000100000004</v>
      </c>
      <c r="J42" s="18"/>
      <c r="K42" s="18"/>
      <c r="L42" s="18"/>
      <c r="M42" s="18"/>
      <c r="N42" s="18"/>
      <c r="O42" s="18"/>
    </row>
    <row r="43" spans="1:15" x14ac:dyDescent="0.25">
      <c r="A43" s="24">
        <f>'ALL VARS'!A43</f>
        <v>43921</v>
      </c>
      <c r="B43" s="16">
        <f>'ALL VARS'!F43</f>
        <v>-3.7551904604495374E-2</v>
      </c>
      <c r="C43" s="16">
        <f>'ALL VARS'!G43</f>
        <v>2.6099613068988042E-2</v>
      </c>
      <c r="D43" s="16">
        <f>'ALL VARS'!H43</f>
        <v>2.7648809446036929E-2</v>
      </c>
      <c r="E43" s="16">
        <f>'ALL VARS'!S43</f>
        <v>-7.2399917498845148E-4</v>
      </c>
      <c r="F43" s="16">
        <f>'ALL VARS'!U43</f>
        <v>-1.5137730513691758E-2</v>
      </c>
      <c r="G43" s="25">
        <f>'ALL VARS'!J43</f>
        <v>66.123000399999995</v>
      </c>
      <c r="J43" s="18"/>
      <c r="K43" s="18"/>
      <c r="L43" s="18"/>
      <c r="M43" s="18"/>
      <c r="N43" s="18"/>
      <c r="O43" s="18"/>
    </row>
    <row r="44" spans="1:15" x14ac:dyDescent="0.25">
      <c r="A44" s="24">
        <f>'ALL VARS'!A44</f>
        <v>43920</v>
      </c>
      <c r="B44" s="16">
        <f>'ALL VARS'!F44</f>
        <v>2.6099613068988042E-2</v>
      </c>
      <c r="C44" s="16">
        <f>'ALL VARS'!G44</f>
        <v>2.7648809446036929E-2</v>
      </c>
      <c r="D44" s="16">
        <f>'ALL VARS'!H44</f>
        <v>-5.1117326046437227E-2</v>
      </c>
      <c r="E44" s="16">
        <f>'ALL VARS'!S44</f>
        <v>1.2186557736812251E-3</v>
      </c>
      <c r="F44" s="16">
        <f>'ALL VARS'!U44</f>
        <v>2.8601231182867955E-2</v>
      </c>
      <c r="G44" s="25">
        <f>'ALL VARS'!J44</f>
        <v>68.684000400000002</v>
      </c>
      <c r="J44" s="18"/>
      <c r="K44" s="18"/>
      <c r="L44" s="18"/>
      <c r="M44" s="18"/>
      <c r="N44" s="18"/>
      <c r="O44" s="18"/>
    </row>
    <row r="45" spans="1:15" x14ac:dyDescent="0.25">
      <c r="A45" s="24">
        <f>'ALL VARS'!A45</f>
        <v>43917</v>
      </c>
      <c r="B45" s="16">
        <f>'ALL VARS'!F45</f>
        <v>2.7648809446036929E-2</v>
      </c>
      <c r="C45" s="16">
        <f>'ALL VARS'!G45</f>
        <v>-5.1117326046437227E-2</v>
      </c>
      <c r="D45" s="16">
        <f>'ALL VARS'!H45</f>
        <v>1.7657086927428463E-2</v>
      </c>
      <c r="E45" s="16">
        <f>'ALL VARS'!S45</f>
        <v>-1.1348225235603708E-2</v>
      </c>
      <c r="F45" s="16">
        <f>'ALL VARS'!U45</f>
        <v>-0.25758759389116337</v>
      </c>
      <c r="G45" s="25">
        <f>'ALL VARS'!J45</f>
        <v>67.91300050000001</v>
      </c>
      <c r="J45" s="18"/>
      <c r="K45" s="18"/>
      <c r="L45" s="18"/>
      <c r="M45" s="18"/>
      <c r="N45" s="18"/>
      <c r="O45" s="18"/>
    </row>
    <row r="46" spans="1:15" x14ac:dyDescent="0.25">
      <c r="A46" s="24">
        <f>'ALL VARS'!A46</f>
        <v>43916</v>
      </c>
      <c r="B46" s="16">
        <f>'ALL VARS'!F46</f>
        <v>-5.1117326046437227E-2</v>
      </c>
      <c r="C46" s="16">
        <f>'ALL VARS'!G46</f>
        <v>1.7657086927428463E-2</v>
      </c>
      <c r="D46" s="16">
        <f>'ALL VARS'!H46</f>
        <v>4.5191001874909938E-2</v>
      </c>
      <c r="E46" s="16">
        <f>'ALL VARS'!S46</f>
        <v>-5.0848837216479351E-3</v>
      </c>
      <c r="F46" s="16">
        <f>'ALL VARS'!U46</f>
        <v>-0.12277701711666035</v>
      </c>
      <c r="G46" s="25">
        <f>'ALL VARS'!J46</f>
        <v>69.360000600000006</v>
      </c>
      <c r="J46" s="18"/>
      <c r="K46" s="18"/>
      <c r="L46" s="18"/>
      <c r="M46" s="18"/>
      <c r="N46" s="18"/>
      <c r="O46" s="18"/>
    </row>
    <row r="47" spans="1:15" x14ac:dyDescent="0.25">
      <c r="A47" s="24">
        <f>'ALL VARS'!A47</f>
        <v>43915</v>
      </c>
      <c r="B47" s="16">
        <f>'ALL VARS'!F47</f>
        <v>1.7657086927428463E-2</v>
      </c>
      <c r="C47" s="16">
        <f>'ALL VARS'!G47</f>
        <v>4.5191001874909938E-2</v>
      </c>
      <c r="D47" s="16">
        <f>'ALL VARS'!H47</f>
        <v>0.11957070036068938</v>
      </c>
      <c r="E47" s="16">
        <f>'ALL VARS'!S47</f>
        <v>1.2419562592091457E-3</v>
      </c>
      <c r="F47" s="16">
        <f>'ALL VARS'!U47</f>
        <v>2.8739478490561361E-2</v>
      </c>
      <c r="G47" s="25">
        <f>'ALL VARS'!J47</f>
        <v>68.355000700000005</v>
      </c>
      <c r="J47" s="18"/>
      <c r="K47" s="18"/>
      <c r="L47" s="18"/>
      <c r="M47" s="18"/>
      <c r="N47" s="18"/>
      <c r="O47" s="18"/>
    </row>
    <row r="48" spans="1:15" x14ac:dyDescent="0.25">
      <c r="A48" s="24">
        <f>'ALL VARS'!A48</f>
        <v>43914</v>
      </c>
      <c r="B48" s="16">
        <f>'ALL VARS'!F48</f>
        <v>4.5191001874909938E-2</v>
      </c>
      <c r="C48" s="16">
        <f>'ALL VARS'!G48</f>
        <v>0.11957070036068938</v>
      </c>
      <c r="D48" s="16">
        <f>'ALL VARS'!H48</f>
        <v>-5.2591151998453836E-2</v>
      </c>
      <c r="E48" s="16">
        <f>'ALL VARS'!S48</f>
        <v>-6.9170544564514224E-3</v>
      </c>
      <c r="F48" s="16">
        <f>'ALL VARS'!U48</f>
        <v>-0.15012423457866556</v>
      </c>
      <c r="G48" s="25">
        <f>'ALL VARS'!J48</f>
        <v>66.918000799999987</v>
      </c>
      <c r="J48" s="18"/>
      <c r="K48" s="18"/>
      <c r="L48" s="18"/>
      <c r="M48" s="18"/>
      <c r="N48" s="18"/>
      <c r="O48" s="18"/>
    </row>
    <row r="49" spans="10:15" x14ac:dyDescent="0.25">
      <c r="J49" s="18"/>
      <c r="K49" s="18"/>
      <c r="L49" s="18"/>
      <c r="M49" s="18"/>
      <c r="N49" s="18"/>
      <c r="O49" s="18"/>
    </row>
    <row r="50" spans="10:15" x14ac:dyDescent="0.25">
      <c r="J50" s="18"/>
      <c r="K50" s="18"/>
      <c r="L50" s="18"/>
      <c r="M50" s="18"/>
      <c r="N50" s="18"/>
      <c r="O50" s="18"/>
    </row>
    <row r="51" spans="10:15" x14ac:dyDescent="0.25">
      <c r="J51" s="18"/>
      <c r="K51" s="18"/>
      <c r="L51" s="18"/>
      <c r="M51" s="18"/>
      <c r="N51" s="18"/>
      <c r="O51" s="18"/>
    </row>
    <row r="52" spans="10:15" x14ac:dyDescent="0.25">
      <c r="J52" s="18"/>
      <c r="K52" s="18"/>
      <c r="L52" s="18"/>
      <c r="M52" s="18"/>
      <c r="N52" s="18"/>
      <c r="O52" s="18"/>
    </row>
    <row r="53" spans="10:15" x14ac:dyDescent="0.25">
      <c r="J53" s="18"/>
      <c r="K53" s="18"/>
      <c r="L53" s="18"/>
      <c r="M53" s="18"/>
      <c r="N53" s="18"/>
      <c r="O53" s="18"/>
    </row>
    <row r="54" spans="10:15" x14ac:dyDescent="0.25">
      <c r="J54" s="18"/>
      <c r="K54" s="18"/>
      <c r="L54" s="18"/>
      <c r="M54" s="18"/>
      <c r="N54" s="18"/>
      <c r="O54" s="18"/>
    </row>
    <row r="55" spans="10:15" x14ac:dyDescent="0.25">
      <c r="J55" s="18"/>
      <c r="K55" s="18"/>
      <c r="L55" s="18"/>
      <c r="M55" s="18"/>
      <c r="N55" s="18"/>
      <c r="O55" s="18"/>
    </row>
    <row r="56" spans="10:15" x14ac:dyDescent="0.25">
      <c r="J56" s="18"/>
      <c r="K56" s="18"/>
      <c r="L56" s="18"/>
      <c r="M56" s="18"/>
      <c r="N56" s="18"/>
      <c r="O56" s="18"/>
    </row>
    <row r="57" spans="10:15" x14ac:dyDescent="0.25">
      <c r="J57" s="18"/>
      <c r="K57" s="18"/>
      <c r="L57" s="18"/>
      <c r="M57" s="18"/>
      <c r="N57" s="18"/>
      <c r="O57" s="18"/>
    </row>
    <row r="58" spans="10:15" x14ac:dyDescent="0.25">
      <c r="J58" s="18"/>
      <c r="K58" s="18"/>
      <c r="L58" s="18"/>
      <c r="M58" s="18"/>
      <c r="N58" s="18"/>
      <c r="O58" s="18"/>
    </row>
    <row r="59" spans="10:15" x14ac:dyDescent="0.25">
      <c r="J59" s="18"/>
      <c r="K59" s="18"/>
      <c r="L59" s="18"/>
      <c r="M59" s="18"/>
      <c r="N59" s="18"/>
      <c r="O59" s="18"/>
    </row>
    <row r="60" spans="10:15" x14ac:dyDescent="0.25">
      <c r="J60" s="18"/>
      <c r="K60" s="18"/>
      <c r="L60" s="18"/>
      <c r="M60" s="18"/>
      <c r="N60" s="18"/>
      <c r="O60" s="18"/>
    </row>
    <row r="61" spans="10:15" x14ac:dyDescent="0.25">
      <c r="J61" s="18"/>
      <c r="K61" s="18"/>
      <c r="L61" s="18"/>
      <c r="M61" s="18"/>
      <c r="N61" s="18"/>
      <c r="O61" s="18"/>
    </row>
    <row r="62" spans="10:15" x14ac:dyDescent="0.25">
      <c r="J62" s="18"/>
      <c r="K62" s="18"/>
      <c r="L62" s="18"/>
      <c r="M62" s="18"/>
      <c r="N62" s="18"/>
      <c r="O62" s="18"/>
    </row>
    <row r="63" spans="10:15" x14ac:dyDescent="0.25">
      <c r="J63" s="18"/>
      <c r="K63" s="18"/>
      <c r="L63" s="18"/>
      <c r="M63" s="18"/>
      <c r="N63" s="18"/>
      <c r="O63" s="18"/>
    </row>
    <row r="64" spans="10:15" x14ac:dyDescent="0.25">
      <c r="J64" s="18"/>
      <c r="K64" s="18"/>
      <c r="L64" s="18"/>
      <c r="M64" s="18"/>
      <c r="N64" s="18"/>
      <c r="O64" s="18"/>
    </row>
    <row r="65" spans="10:15" x14ac:dyDescent="0.25">
      <c r="J65" s="18"/>
      <c r="K65" s="18"/>
      <c r="L65" s="18"/>
      <c r="M65" s="18"/>
      <c r="N65" s="18"/>
      <c r="O65" s="18"/>
    </row>
    <row r="66" spans="10:15" x14ac:dyDescent="0.25">
      <c r="J66" s="18"/>
      <c r="K66" s="18"/>
      <c r="L66" s="18"/>
      <c r="M66" s="18"/>
      <c r="N66" s="18"/>
      <c r="O66" s="18"/>
    </row>
    <row r="67" spans="10:15" x14ac:dyDescent="0.25">
      <c r="J67" s="18"/>
      <c r="K67" s="18"/>
      <c r="L67" s="18"/>
      <c r="M67" s="18"/>
      <c r="N67" s="18"/>
      <c r="O67" s="18"/>
    </row>
    <row r="68" spans="10:15" x14ac:dyDescent="0.25">
      <c r="J68" s="18"/>
      <c r="K68" s="18"/>
      <c r="L68" s="18"/>
      <c r="M68" s="18"/>
      <c r="N68" s="18"/>
      <c r="O68" s="18"/>
    </row>
    <row r="69" spans="10:15" x14ac:dyDescent="0.25">
      <c r="J69" s="18"/>
      <c r="K69" s="18"/>
      <c r="L69" s="18"/>
      <c r="M69" s="18"/>
      <c r="N69" s="18"/>
      <c r="O69" s="18"/>
    </row>
    <row r="70" spans="10:15" x14ac:dyDescent="0.25">
      <c r="J70" s="18"/>
      <c r="K70" s="18"/>
      <c r="L70" s="18"/>
      <c r="M70" s="18"/>
      <c r="N70" s="18"/>
      <c r="O70" s="18"/>
    </row>
    <row r="71" spans="10:15" x14ac:dyDescent="0.25">
      <c r="J71" s="18"/>
      <c r="K71" s="18"/>
      <c r="L71" s="18"/>
      <c r="M71" s="18"/>
      <c r="N71" s="18"/>
      <c r="O71" s="18"/>
    </row>
    <row r="72" spans="10:15" x14ac:dyDescent="0.25">
      <c r="J72" s="18"/>
      <c r="K72" s="18"/>
      <c r="L72" s="18"/>
      <c r="M72" s="18"/>
      <c r="N72" s="18"/>
      <c r="O72" s="18"/>
    </row>
    <row r="73" spans="10:15" x14ac:dyDescent="0.25">
      <c r="J73" s="18"/>
      <c r="K73" s="18"/>
      <c r="L73" s="18"/>
      <c r="M73" s="18"/>
      <c r="N73" s="18"/>
      <c r="O73" s="18"/>
    </row>
    <row r="74" spans="10:15" x14ac:dyDescent="0.25">
      <c r="J74" s="18"/>
      <c r="K74" s="18"/>
      <c r="L74" s="18"/>
      <c r="M74" s="18"/>
      <c r="N74" s="18"/>
      <c r="O74" s="18"/>
    </row>
    <row r="75" spans="10:15" x14ac:dyDescent="0.25">
      <c r="J75" s="18"/>
      <c r="K75" s="18"/>
      <c r="L75" s="18"/>
      <c r="M75" s="18"/>
      <c r="N75" s="18"/>
      <c r="O75" s="18"/>
    </row>
    <row r="76" spans="10:15" x14ac:dyDescent="0.25">
      <c r="J76" s="18"/>
      <c r="K76" s="18"/>
      <c r="L76" s="18"/>
      <c r="M76" s="18"/>
      <c r="N76" s="18"/>
      <c r="O76" s="18"/>
    </row>
    <row r="77" spans="10:15" x14ac:dyDescent="0.25">
      <c r="J77" s="18"/>
      <c r="K77" s="18"/>
      <c r="L77" s="18"/>
      <c r="M77" s="18"/>
      <c r="N77" s="18"/>
      <c r="O77" s="18"/>
    </row>
    <row r="78" spans="10:15" x14ac:dyDescent="0.25">
      <c r="J78" s="18"/>
      <c r="K78" s="18"/>
      <c r="L78" s="18"/>
      <c r="M78" s="18"/>
      <c r="N78" s="18"/>
      <c r="O78" s="18"/>
    </row>
    <row r="79" spans="10:15" x14ac:dyDescent="0.25">
      <c r="J79" s="18"/>
      <c r="K79" s="18"/>
      <c r="L79" s="18"/>
      <c r="M79" s="18"/>
      <c r="N79" s="18"/>
      <c r="O79" s="18"/>
    </row>
    <row r="80" spans="10:15" x14ac:dyDescent="0.25">
      <c r="J80" s="18"/>
      <c r="K80" s="18"/>
      <c r="L80" s="18"/>
      <c r="M80" s="18"/>
      <c r="N80" s="18"/>
      <c r="O80" s="18"/>
    </row>
    <row r="81" spans="10:15" x14ac:dyDescent="0.25">
      <c r="J81" s="18"/>
      <c r="K81" s="18"/>
      <c r="L81" s="18"/>
      <c r="M81" s="18"/>
      <c r="N81" s="18"/>
      <c r="O81" s="18"/>
    </row>
    <row r="82" spans="10:15" x14ac:dyDescent="0.25">
      <c r="J82" s="18"/>
      <c r="K82" s="18"/>
      <c r="L82" s="18"/>
      <c r="M82" s="18"/>
      <c r="N82" s="18"/>
      <c r="O82" s="18"/>
    </row>
    <row r="83" spans="10:15" x14ac:dyDescent="0.25">
      <c r="J83" s="18"/>
      <c r="K83" s="18"/>
      <c r="L83" s="18"/>
      <c r="M83" s="18"/>
      <c r="N83" s="18"/>
      <c r="O83" s="18"/>
    </row>
    <row r="84" spans="10:15" x14ac:dyDescent="0.25">
      <c r="J84" s="18"/>
      <c r="K84" s="18"/>
      <c r="L84" s="18"/>
      <c r="M84" s="18"/>
      <c r="N84" s="18"/>
      <c r="O84" s="18"/>
    </row>
    <row r="85" spans="10:15" x14ac:dyDescent="0.25">
      <c r="J85" s="18"/>
      <c r="K85" s="18"/>
      <c r="L85" s="18"/>
      <c r="M85" s="18"/>
      <c r="N85" s="18"/>
      <c r="O85" s="18"/>
    </row>
    <row r="86" spans="10:15" x14ac:dyDescent="0.25">
      <c r="J86" s="18"/>
      <c r="K86" s="18"/>
      <c r="L86" s="18"/>
      <c r="M86" s="18"/>
      <c r="N86" s="18"/>
      <c r="O86" s="18"/>
    </row>
    <row r="87" spans="10:15" x14ac:dyDescent="0.25">
      <c r="J87" s="18"/>
      <c r="K87" s="18"/>
      <c r="L87" s="18"/>
      <c r="M87" s="18"/>
      <c r="N87" s="18"/>
      <c r="O87" s="18"/>
    </row>
    <row r="88" spans="10:15" x14ac:dyDescent="0.25">
      <c r="J88" s="18"/>
      <c r="K88" s="18"/>
      <c r="L88" s="18"/>
      <c r="M88" s="18"/>
      <c r="N88" s="18"/>
      <c r="O88" s="18"/>
    </row>
    <row r="89" spans="10:15" x14ac:dyDescent="0.25">
      <c r="J89" s="18"/>
      <c r="K89" s="18"/>
      <c r="L89" s="18"/>
      <c r="M89" s="18"/>
      <c r="N89" s="18"/>
      <c r="O89" s="18"/>
    </row>
    <row r="90" spans="10:15" x14ac:dyDescent="0.25">
      <c r="J90" s="18"/>
      <c r="K90" s="18"/>
      <c r="L90" s="18"/>
      <c r="M90" s="18"/>
      <c r="N90" s="18"/>
      <c r="O90" s="18"/>
    </row>
    <row r="91" spans="10:15" x14ac:dyDescent="0.25">
      <c r="J91" s="18"/>
      <c r="K91" s="18"/>
      <c r="L91" s="18"/>
      <c r="M91" s="18"/>
      <c r="N91" s="18"/>
      <c r="O91" s="18"/>
    </row>
    <row r="92" spans="10:15" x14ac:dyDescent="0.25">
      <c r="J92" s="18"/>
      <c r="K92" s="18"/>
      <c r="L92" s="18"/>
      <c r="M92" s="18"/>
      <c r="N92" s="18"/>
      <c r="O92" s="18"/>
    </row>
    <row r="93" spans="10:15" x14ac:dyDescent="0.25">
      <c r="J93" s="18"/>
      <c r="K93" s="18"/>
      <c r="L93" s="18"/>
      <c r="M93" s="18"/>
      <c r="N93" s="18"/>
      <c r="O93" s="18"/>
    </row>
    <row r="94" spans="10:15" x14ac:dyDescent="0.25">
      <c r="J94" s="18"/>
      <c r="K94" s="18"/>
      <c r="L94" s="18"/>
      <c r="M94" s="18"/>
      <c r="N94" s="18"/>
      <c r="O94" s="18"/>
    </row>
    <row r="95" spans="10:15" x14ac:dyDescent="0.25">
      <c r="J95" s="18"/>
      <c r="K95" s="18"/>
      <c r="L95" s="18"/>
      <c r="M95" s="18"/>
      <c r="N95" s="18"/>
      <c r="O95" s="18"/>
    </row>
    <row r="96" spans="10:15" x14ac:dyDescent="0.25">
      <c r="J96" s="18"/>
      <c r="K96" s="18"/>
      <c r="L96" s="18"/>
      <c r="M96" s="18"/>
      <c r="N96" s="18"/>
      <c r="O96" s="18"/>
    </row>
    <row r="97" spans="10:15" x14ac:dyDescent="0.25">
      <c r="J97" s="18"/>
      <c r="K97" s="18"/>
      <c r="L97" s="18"/>
      <c r="M97" s="18"/>
      <c r="N97" s="18"/>
      <c r="O97" s="18"/>
    </row>
    <row r="98" spans="10:15" x14ac:dyDescent="0.25">
      <c r="J98" s="18"/>
      <c r="K98" s="18"/>
      <c r="L98" s="18"/>
      <c r="M98" s="18"/>
      <c r="N98" s="18"/>
      <c r="O98" s="18"/>
    </row>
    <row r="99" spans="10:15" x14ac:dyDescent="0.25">
      <c r="J99" s="18"/>
      <c r="K99" s="18"/>
      <c r="L99" s="18"/>
      <c r="M99" s="18"/>
      <c r="N99" s="18"/>
      <c r="O99" s="18"/>
    </row>
    <row r="100" spans="10:15" x14ac:dyDescent="0.25">
      <c r="J100" s="18"/>
      <c r="K100" s="18"/>
      <c r="L100" s="18"/>
      <c r="M100" s="18"/>
      <c r="N100" s="18"/>
      <c r="O100" s="1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D1B-D320-4151-B1E3-32D95B433320}">
  <sheetPr codeName="Feuil17"/>
  <dimension ref="A1:Q48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VARS'!W1</f>
        <v>Sent_t_k, k=1</v>
      </c>
      <c r="F1" s="16" t="str">
        <f>'ALL VARS'!Y1</f>
        <v>Sent_t_k, k=1 * (VIX_10_t  minus VIX_bar_10)</v>
      </c>
      <c r="G1" s="16" t="str">
        <f>'ALL VARS'!J1</f>
        <v>VIX_10_t</v>
      </c>
    </row>
    <row r="2" spans="1:14" x14ac:dyDescent="0.25">
      <c r="A2" s="24">
        <f>'ALL VARS'!A2</f>
        <v>43980</v>
      </c>
      <c r="B2" s="16">
        <f>'ALL VARS'!F2</f>
        <v>2.3093919546915233E-2</v>
      </c>
      <c r="C2" s="16">
        <f>'ALL VARS'!G2</f>
        <v>-4.5798180601685388E-3</v>
      </c>
      <c r="D2" s="16">
        <f>'ALL VARS'!H2</f>
        <v>-6.0894480094293875E-4</v>
      </c>
      <c r="E2" s="16">
        <f>'ALL VARS'!W2</f>
        <v>-3.9796701988386524E-3</v>
      </c>
      <c r="F2" s="16">
        <f>'ALL VARS'!Y2</f>
        <v>6.2844997021913235E-2</v>
      </c>
      <c r="G2" s="16">
        <f>'ALL VARS'!J2</f>
        <v>29.423000200000001</v>
      </c>
      <c r="I2" s="18" t="s">
        <v>39</v>
      </c>
    </row>
    <row r="3" spans="1:14" ht="15.75" thickBot="1" x14ac:dyDescent="0.3">
      <c r="A3" s="24">
        <f>'ALL VARS'!A3</f>
        <v>43979</v>
      </c>
      <c r="B3" s="16">
        <f>'ALL VARS'!F3</f>
        <v>-4.5798180601685388E-3</v>
      </c>
      <c r="C3" s="16">
        <f>'ALL VARS'!G3</f>
        <v>-6.0894480094293875E-4</v>
      </c>
      <c r="D3" s="16">
        <f>'ALL VARS'!H3</f>
        <v>8.1792696244475296E-3</v>
      </c>
      <c r="E3" s="16">
        <f>'ALL VARS'!W3</f>
        <v>1.3920669668449529E-4</v>
      </c>
      <c r="F3" s="16">
        <f>'ALL VARS'!Y3</f>
        <v>-2.1051545115046552E-3</v>
      </c>
      <c r="G3" s="16">
        <f>'ALL VARS'!J3</f>
        <v>30.092000099999996</v>
      </c>
    </row>
    <row r="4" spans="1:14" x14ac:dyDescent="0.25">
      <c r="A4" s="24">
        <f>'ALL VARS'!A4</f>
        <v>43978</v>
      </c>
      <c r="B4" s="16">
        <f>'ALL VARS'!F4</f>
        <v>-6.0894480094293875E-4</v>
      </c>
      <c r="C4" s="16">
        <f>'ALL VARS'!G4</f>
        <v>8.1792696244475296E-3</v>
      </c>
      <c r="D4" s="16">
        <f>'ALL VARS'!H4</f>
        <v>4.8223739412853626E-3</v>
      </c>
      <c r="E4" s="16">
        <f>'ALL VARS'!W4</f>
        <v>-3.5609529572036467E-3</v>
      </c>
      <c r="F4" s="16">
        <f>'ALL VARS'!Y4</f>
        <v>5.1920506334967281E-2</v>
      </c>
      <c r="G4" s="16">
        <f>'ALL VARS'!J4</f>
        <v>30.634000099999998</v>
      </c>
      <c r="I4" s="26" t="s">
        <v>40</v>
      </c>
      <c r="J4" s="26"/>
    </row>
    <row r="5" spans="1:14" x14ac:dyDescent="0.25">
      <c r="A5" s="24">
        <f>'ALL VARS'!A5</f>
        <v>43977</v>
      </c>
      <c r="B5" s="16">
        <f>'ALL VARS'!F5</f>
        <v>8.1792696244475296E-3</v>
      </c>
      <c r="C5" s="16">
        <f>'ALL VARS'!G5</f>
        <v>4.8223739412853626E-3</v>
      </c>
      <c r="D5" s="16">
        <f>'ALL VARS'!H5</f>
        <v>1.0849210535487055E-2</v>
      </c>
      <c r="E5" s="16">
        <f>'ALL VARS'!W5</f>
        <v>2.2717113236016386E-3</v>
      </c>
      <c r="F5" s="16">
        <f>'ALL VARS'!Y5</f>
        <v>-3.3222662502126549E-2</v>
      </c>
      <c r="G5" s="16">
        <f>'ALL VARS'!J5</f>
        <v>30.590000099999997</v>
      </c>
      <c r="I5" s="18" t="s">
        <v>41</v>
      </c>
      <c r="J5" s="18">
        <v>0.35693238567699231</v>
      </c>
    </row>
    <row r="6" spans="1:14" x14ac:dyDescent="0.25">
      <c r="A6" s="24">
        <f>'ALL VARS'!A6</f>
        <v>43976</v>
      </c>
      <c r="B6" s="16">
        <f>'ALL VARS'!F6</f>
        <v>4.8223739412853626E-3</v>
      </c>
      <c r="C6" s="16">
        <f>'ALL VARS'!G6</f>
        <v>1.0849210535487055E-2</v>
      </c>
      <c r="D6" s="16">
        <f>'ALL VARS'!H6</f>
        <v>1.9280759189597432E-3</v>
      </c>
      <c r="E6" s="16">
        <f>'ALL VARS'!W6</f>
        <v>-1.1963390519316018E-2</v>
      </c>
      <c r="F6" s="16">
        <f>'ALL VARS'!Y6</f>
        <v>0.1750663818064935</v>
      </c>
      <c r="G6" s="16">
        <f>'ALL VARS'!J6</f>
        <v>30.581000099999997</v>
      </c>
      <c r="I6" s="18" t="s">
        <v>42</v>
      </c>
      <c r="J6" s="18">
        <v>0.12740072794506918</v>
      </c>
    </row>
    <row r="7" spans="1:14" x14ac:dyDescent="0.25">
      <c r="A7" s="24">
        <f>'ALL VARS'!A7</f>
        <v>43973</v>
      </c>
      <c r="B7" s="16">
        <f>'ALL VARS'!F7</f>
        <v>1.0849210535487055E-2</v>
      </c>
      <c r="C7" s="16">
        <f>'ALL VARS'!G7</f>
        <v>1.9280759189597432E-3</v>
      </c>
      <c r="D7" s="16">
        <f>'ALL VARS'!H7</f>
        <v>-7.5144837132717695E-3</v>
      </c>
      <c r="E7" s="16">
        <f>'ALL VARS'!W7</f>
        <v>7.4224151691076282E-4</v>
      </c>
      <c r="F7" s="16">
        <f>'ALL VARS'!Y7</f>
        <v>-1.086827802773275E-2</v>
      </c>
      <c r="G7" s="16">
        <f>'ALL VARS'!J7</f>
        <v>30.572000099999997</v>
      </c>
      <c r="I7" s="18" t="s">
        <v>42</v>
      </c>
      <c r="J7" s="18">
        <v>2.0486511558885288E-2</v>
      </c>
    </row>
    <row r="8" spans="1:14" x14ac:dyDescent="0.25">
      <c r="A8" s="24">
        <f>'ALL VARS'!A8</f>
        <v>43972</v>
      </c>
      <c r="B8" s="16">
        <f>'ALL VARS'!F8</f>
        <v>1.9280759189597432E-3</v>
      </c>
      <c r="C8" s="16">
        <f>'ALL VARS'!G8</f>
        <v>-7.5144837132717695E-3</v>
      </c>
      <c r="D8" s="16">
        <f>'ALL VARS'!H8</f>
        <v>7.5307923146686901E-3</v>
      </c>
      <c r="E8" s="16">
        <f>'ALL VARS'!W8</f>
        <v>1.5145366119592391E-3</v>
      </c>
      <c r="F8" s="16">
        <f>'ALL VARS'!Y8</f>
        <v>-2.1887339348361401E-2</v>
      </c>
      <c r="G8" s="16">
        <f>'ALL VARS'!J8</f>
        <v>30.763000099999999</v>
      </c>
      <c r="I8" s="18" t="s">
        <v>43</v>
      </c>
      <c r="J8" s="18">
        <v>2.0231251081239701E-2</v>
      </c>
    </row>
    <row r="9" spans="1:14" ht="15.75" thickBot="1" x14ac:dyDescent="0.3">
      <c r="A9" s="24">
        <f>'ALL VARS'!A9</f>
        <v>43971</v>
      </c>
      <c r="B9" s="16">
        <f>'ALL VARS'!F9</f>
        <v>-7.5144837132717695E-3</v>
      </c>
      <c r="C9" s="16">
        <f>'ALL VARS'!G9</f>
        <v>7.5307923146686901E-3</v>
      </c>
      <c r="D9" s="16">
        <f>'ALL VARS'!H9</f>
        <v>1.6845500851389788E-2</v>
      </c>
      <c r="E9" s="16">
        <f>'ALL VARS'!W9</f>
        <v>8.7604672078830364E-3</v>
      </c>
      <c r="F9" s="16">
        <f>'ALL VARS'!Y9</f>
        <v>-0.12123180442344797</v>
      </c>
      <c r="G9" s="16">
        <f>'ALL VARS'!J9</f>
        <v>31.375999999999998</v>
      </c>
      <c r="I9" s="28" t="s">
        <v>44</v>
      </c>
      <c r="J9" s="28">
        <v>47</v>
      </c>
    </row>
    <row r="10" spans="1:14" x14ac:dyDescent="0.25">
      <c r="A10" s="24">
        <f>'ALL VARS'!A10</f>
        <v>43970</v>
      </c>
      <c r="B10" s="16">
        <f>'ALL VARS'!F10</f>
        <v>7.5307923146686901E-3</v>
      </c>
      <c r="C10" s="16">
        <f>'ALL VARS'!G10</f>
        <v>1.6845500851389788E-2</v>
      </c>
      <c r="D10" s="16">
        <f>'ALL VARS'!H10</f>
        <v>8.9044014875318926E-3</v>
      </c>
      <c r="E10" s="16">
        <f>'ALL VARS'!W10</f>
        <v>8.3455874052259706E-3</v>
      </c>
      <c r="F10" s="16">
        <f>'ALL VARS'!Y10</f>
        <v>-0.11292004561382747</v>
      </c>
      <c r="G10" s="16">
        <f>'ALL VARS'!J10</f>
        <v>31.683999999999997</v>
      </c>
    </row>
    <row r="11" spans="1:14" ht="15.75" thickBot="1" x14ac:dyDescent="0.3">
      <c r="A11" s="24">
        <f>'ALL VARS'!A11</f>
        <v>43966</v>
      </c>
      <c r="B11" s="16">
        <f>'ALL VARS'!F11</f>
        <v>1.6845500851389788E-2</v>
      </c>
      <c r="C11" s="16">
        <f>'ALL VARS'!G11</f>
        <v>8.9044014875318926E-3</v>
      </c>
      <c r="D11" s="16">
        <f>'ALL VARS'!H11</f>
        <v>4.4817694802564231E-4</v>
      </c>
      <c r="E11" s="16">
        <f>'ALL VARS'!W11</f>
        <v>-7.4675970629340827E-3</v>
      </c>
      <c r="F11" s="16">
        <f>'ALL VARS'!Y11</f>
        <v>9.2101674195359806E-2</v>
      </c>
      <c r="G11" s="16">
        <f>'ALL VARS'!J11</f>
        <v>32.881000200000003</v>
      </c>
      <c r="I11" s="18" t="s">
        <v>45</v>
      </c>
    </row>
    <row r="12" spans="1:14" x14ac:dyDescent="0.25">
      <c r="A12" s="24">
        <f>'ALL VARS'!A12</f>
        <v>43965</v>
      </c>
      <c r="B12" s="16">
        <f>'ALL VARS'!F12</f>
        <v>8.9044014875318926E-3</v>
      </c>
      <c r="C12" s="16">
        <f>'ALL VARS'!G12</f>
        <v>4.4817694802564231E-4</v>
      </c>
      <c r="D12" s="16">
        <f>'ALL VARS'!H12</f>
        <v>-2.5401176991557837E-2</v>
      </c>
      <c r="E12" s="16">
        <f>'ALL VARS'!W12</f>
        <v>5.2177766315999914E-3</v>
      </c>
      <c r="F12" s="16">
        <f>'ALL VARS'!Y12</f>
        <v>-6.3549955952460588E-2</v>
      </c>
      <c r="G12" s="16">
        <f>'ALL VARS'!J12</f>
        <v>33.0350003</v>
      </c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A13" s="24">
        <f>'ALL VARS'!A13</f>
        <v>43964</v>
      </c>
      <c r="B13" s="16">
        <f>'ALL VARS'!F13</f>
        <v>4.4817694802564231E-4</v>
      </c>
      <c r="C13" s="16">
        <f>'ALL VARS'!G13</f>
        <v>-2.5401176991557837E-2</v>
      </c>
      <c r="D13" s="16">
        <f>'ALL VARS'!H13</f>
        <v>-1.4698871572495898E-2</v>
      </c>
      <c r="E13" s="16">
        <f>'ALL VARS'!W13</f>
        <v>2.1353922332834766E-3</v>
      </c>
      <c r="F13" s="16">
        <f>'ALL VARS'!Y13</f>
        <v>-2.6872861954099488E-2</v>
      </c>
      <c r="G13" s="16">
        <f>'ALL VARS'!J13</f>
        <v>32.630000399999993</v>
      </c>
      <c r="I13" s="18" t="s">
        <v>46</v>
      </c>
      <c r="J13" s="18">
        <v>5</v>
      </c>
      <c r="K13" s="18">
        <v>2.5098735015545437E-3</v>
      </c>
      <c r="L13" s="18">
        <v>5.0197470031090874E-4</v>
      </c>
      <c r="M13" s="18">
        <v>1.2264118811586784</v>
      </c>
      <c r="N13" s="18">
        <v>0.31423909392868543</v>
      </c>
    </row>
    <row r="14" spans="1:14" x14ac:dyDescent="0.25">
      <c r="A14" s="24">
        <f>'ALL VARS'!A14</f>
        <v>43963</v>
      </c>
      <c r="B14" s="16">
        <f>'ALL VARS'!F14</f>
        <v>-2.5401176991557837E-2</v>
      </c>
      <c r="C14" s="16">
        <f>'ALL VARS'!G14</f>
        <v>-1.4698871572495898E-2</v>
      </c>
      <c r="D14" s="16">
        <f>'ALL VARS'!H14</f>
        <v>9.1270288220883112E-3</v>
      </c>
      <c r="E14" s="16">
        <f>'ALL VARS'!W14</f>
        <v>-1.1690442426449081E-2</v>
      </c>
      <c r="F14" s="16">
        <f>'ALL VARS'!Y14</f>
        <v>0.14649888113797185</v>
      </c>
      <c r="G14" s="16">
        <f>'ALL VARS'!J14</f>
        <v>32.683000299999996</v>
      </c>
      <c r="I14" s="18" t="s">
        <v>47</v>
      </c>
      <c r="J14" s="18">
        <v>42</v>
      </c>
      <c r="K14" s="18">
        <v>1.7190747853110831E-2</v>
      </c>
      <c r="L14" s="18">
        <v>4.0930352031216263E-4</v>
      </c>
    </row>
    <row r="15" spans="1:14" ht="15.75" thickBot="1" x14ac:dyDescent="0.3">
      <c r="A15" s="24">
        <f>'ALL VARS'!A15</f>
        <v>43962</v>
      </c>
      <c r="B15" s="16">
        <f>'ALL VARS'!F15</f>
        <v>-1.4698871572495898E-2</v>
      </c>
      <c r="C15" s="16">
        <f>'ALL VARS'!G15</f>
        <v>9.1270288220883112E-3</v>
      </c>
      <c r="D15" s="16">
        <f>'ALL VARS'!H15</f>
        <v>8.9592894728179693E-3</v>
      </c>
      <c r="E15" s="16">
        <f>'ALL VARS'!W15</f>
        <v>1.5915756643559884E-3</v>
      </c>
      <c r="F15" s="16">
        <f>'ALL VARS'!Y15</f>
        <v>-1.9034462867754016E-2</v>
      </c>
      <c r="G15" s="16">
        <f>'ALL VARS'!J15</f>
        <v>33.2550004</v>
      </c>
      <c r="I15" s="28" t="s">
        <v>48</v>
      </c>
      <c r="J15" s="28">
        <v>47</v>
      </c>
      <c r="K15" s="28">
        <v>1.9700621354665375E-2</v>
      </c>
      <c r="L15" s="28"/>
      <c r="M15" s="28"/>
      <c r="N15" s="28"/>
    </row>
    <row r="16" spans="1:14" ht="15.75" thickBot="1" x14ac:dyDescent="0.3">
      <c r="A16" s="24">
        <f>'ALL VARS'!A16</f>
        <v>43959</v>
      </c>
      <c r="B16" s="16">
        <f>'ALL VARS'!F16</f>
        <v>9.1270288220883112E-3</v>
      </c>
      <c r="C16" s="16">
        <f>'ALL VARS'!G16</f>
        <v>8.9592894728179693E-3</v>
      </c>
      <c r="D16" s="16">
        <f>'ALL VARS'!H16</f>
        <v>2.0228309928424119E-4</v>
      </c>
      <c r="E16" s="16">
        <f>'ALL VARS'!W16</f>
        <v>4.2867611724490213E-3</v>
      </c>
      <c r="F16" s="16">
        <f>'ALL VARS'!Y16</f>
        <v>-4.785958203611812E-2</v>
      </c>
      <c r="G16" s="16">
        <f>'ALL VARS'!J16</f>
        <v>34.050000400000002</v>
      </c>
    </row>
    <row r="17" spans="1:17" x14ac:dyDescent="0.25">
      <c r="A17" s="24">
        <f>'ALL VARS'!A17</f>
        <v>43958</v>
      </c>
      <c r="B17" s="16">
        <f>'ALL VARS'!F17</f>
        <v>8.9592894728179693E-3</v>
      </c>
      <c r="C17" s="16">
        <f>'ALL VARS'!G17</f>
        <v>2.0228309928424119E-4</v>
      </c>
      <c r="D17" s="16">
        <f>'ALL VARS'!H17</f>
        <v>1.2895694256002256E-3</v>
      </c>
      <c r="E17" s="16">
        <f>'ALL VARS'!W17</f>
        <v>-3.5819131495890924E-3</v>
      </c>
      <c r="F17" s="16">
        <f>'ALL VARS'!Y17</f>
        <v>3.6429878542621308E-2</v>
      </c>
      <c r="G17" s="16">
        <f>'ALL VARS'!J17</f>
        <v>35.044000400000002</v>
      </c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1:17" x14ac:dyDescent="0.25">
      <c r="A18" s="24">
        <f>'ALL VARS'!A18</f>
        <v>43957</v>
      </c>
      <c r="B18" s="16">
        <f>'ALL VARS'!F18</f>
        <v>2.0228309928424119E-4</v>
      </c>
      <c r="C18" s="16">
        <f>'ALL VARS'!G18</f>
        <v>1.2895694256002256E-3</v>
      </c>
      <c r="D18" s="16">
        <f>'ALL VARS'!H18</f>
        <v>4.5167588335029351E-3</v>
      </c>
      <c r="E18" s="16">
        <f>'ALL VARS'!W18</f>
        <v>-3.8911296934307027E-4</v>
      </c>
      <c r="F18" s="16">
        <f>'ALL VARS'!Y18</f>
        <v>3.6516339737215071E-3</v>
      </c>
      <c r="G18" s="16">
        <f>'ALL VARS'!J18</f>
        <v>35.830000499999997</v>
      </c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4">
        <f>'ALL VARS'!A19</f>
        <v>43956</v>
      </c>
      <c r="B19" s="16">
        <f>'ALL VARS'!F19</f>
        <v>1.2895694256002256E-3</v>
      </c>
      <c r="C19" s="16">
        <f>'ALL VARS'!G19</f>
        <v>4.5167588335029351E-3</v>
      </c>
      <c r="D19" s="16">
        <f>'ALL VARS'!H19</f>
        <v>8.5292501975474666E-3</v>
      </c>
      <c r="E19" s="16">
        <f>'ALL VARS'!W19</f>
        <v>3.6088050963376506E-3</v>
      </c>
      <c r="F19" s="16">
        <f>'ALL VARS'!Y19</f>
        <v>-2.9608472499275864E-2</v>
      </c>
      <c r="G19" s="16">
        <f>'ALL VARS'!J19</f>
        <v>37.010000400000003</v>
      </c>
      <c r="I19" s="18" t="s">
        <v>36</v>
      </c>
      <c r="J19" s="18">
        <v>-3.0056626696331541E-2</v>
      </c>
      <c r="K19" s="18">
        <v>0.12059286837199368</v>
      </c>
      <c r="L19" s="18">
        <v>-0.24924049906181558</v>
      </c>
      <c r="M19" s="18">
        <v>0.80438965741363144</v>
      </c>
      <c r="N19" s="18">
        <v>-0.27342288784824526</v>
      </c>
      <c r="O19" s="18">
        <v>0.21330963445558218</v>
      </c>
      <c r="P19" s="18">
        <v>-0.27342288784824526</v>
      </c>
      <c r="Q19" s="18">
        <v>0.21330963445558218</v>
      </c>
    </row>
    <row r="20" spans="1:17" x14ac:dyDescent="0.25">
      <c r="A20" s="24">
        <f>'ALL VARS'!A20</f>
        <v>43955</v>
      </c>
      <c r="B20" s="16">
        <f>'ALL VARS'!F20</f>
        <v>4.5167588335029351E-3</v>
      </c>
      <c r="C20" s="16">
        <f>'ALL VARS'!G20</f>
        <v>8.5292501975474666E-3</v>
      </c>
      <c r="D20" s="16">
        <f>'ALL VARS'!H20</f>
        <v>-1.0852015661224153E-2</v>
      </c>
      <c r="E20" s="16">
        <f>'ALL VARS'!W20</f>
        <v>-3.4532711014385658E-3</v>
      </c>
      <c r="F20" s="16">
        <f>'ALL VARS'!Y20</f>
        <v>2.5618121067293234E-2</v>
      </c>
      <c r="G20" s="16">
        <f>'ALL VARS'!J20</f>
        <v>37.796000499999998</v>
      </c>
      <c r="I20" s="18" t="s">
        <v>37</v>
      </c>
      <c r="J20" s="18">
        <v>-0.16903887744248267</v>
      </c>
      <c r="K20" s="18">
        <v>0.1147497478253805</v>
      </c>
      <c r="L20" s="18">
        <v>-1.473108923077689</v>
      </c>
      <c r="M20" s="18">
        <v>0.14817711601625722</v>
      </c>
      <c r="N20" s="18">
        <v>-0.40061324393191383</v>
      </c>
      <c r="O20" s="18">
        <v>6.25354890469485E-2</v>
      </c>
      <c r="P20" s="18">
        <v>-0.40061324393191383</v>
      </c>
      <c r="Q20" s="18">
        <v>6.25354890469485E-2</v>
      </c>
    </row>
    <row r="21" spans="1:17" x14ac:dyDescent="0.25">
      <c r="A21" s="24">
        <f>'ALL VARS'!A21</f>
        <v>43952</v>
      </c>
      <c r="B21" s="16">
        <f>'ALL VARS'!F21</f>
        <v>8.5292501975474666E-3</v>
      </c>
      <c r="C21" s="16">
        <f>'ALL VARS'!G21</f>
        <v>-1.0852015661224153E-2</v>
      </c>
      <c r="D21" s="16">
        <f>'ALL VARS'!H21</f>
        <v>-2.9379858648651246E-2</v>
      </c>
      <c r="E21" s="16">
        <f>'ALL VARS'!W21</f>
        <v>-2.434916385736674E-3</v>
      </c>
      <c r="F21" s="16">
        <f>'ALL VARS'!Y21</f>
        <v>1.7829695235045375E-2</v>
      </c>
      <c r="G21" s="16">
        <f>'ALL VARS'!J21</f>
        <v>37.892000799999991</v>
      </c>
      <c r="I21" s="18" t="s">
        <v>22</v>
      </c>
      <c r="J21" s="18">
        <v>-0.45383580032252252</v>
      </c>
      <c r="K21" s="18">
        <v>0.49728705759174968</v>
      </c>
      <c r="L21" s="18">
        <v>-0.91262339004024773</v>
      </c>
      <c r="M21" s="18">
        <v>0.3666497139590712</v>
      </c>
      <c r="N21" s="18">
        <v>-1.4574017122968554</v>
      </c>
      <c r="O21" s="18">
        <v>0.54973011165181052</v>
      </c>
      <c r="P21" s="18">
        <v>-1.4574017122968554</v>
      </c>
      <c r="Q21" s="18">
        <v>0.54973011165181052</v>
      </c>
    </row>
    <row r="22" spans="1:17" x14ac:dyDescent="0.25">
      <c r="A22" s="24">
        <f>'ALL VARS'!A22</f>
        <v>43951</v>
      </c>
      <c r="B22" s="16">
        <f>'ALL VARS'!F22</f>
        <v>-1.0852015661224153E-2</v>
      </c>
      <c r="C22" s="16">
        <f>'ALL VARS'!G22</f>
        <v>-2.9379858648651246E-2</v>
      </c>
      <c r="D22" s="16">
        <f>'ALL VARS'!H22</f>
        <v>2.904386379946032E-2</v>
      </c>
      <c r="E22" s="16">
        <f>'ALL VARS'!W22</f>
        <v>-6.257889059890118E-3</v>
      </c>
      <c r="F22" s="16">
        <f>'ALL VARS'!Y22</f>
        <v>4.2093742789659917E-2</v>
      </c>
      <c r="G22" s="16">
        <f>'ALL VARS'!J22</f>
        <v>38.488000700000001</v>
      </c>
      <c r="I22" s="18" t="s">
        <v>88</v>
      </c>
      <c r="J22" s="18">
        <v>1.2494270312875777E-2</v>
      </c>
      <c r="K22" s="18">
        <v>3.5326038342781467E-2</v>
      </c>
      <c r="L22" s="18">
        <v>0.35368444634632684</v>
      </c>
      <c r="M22" s="18">
        <v>0.72534470055014943</v>
      </c>
      <c r="N22" s="18">
        <v>-5.8796561299754364E-2</v>
      </c>
      <c r="O22" s="18">
        <v>8.3785101925505923E-2</v>
      </c>
      <c r="P22" s="18">
        <v>-5.8796561299754364E-2</v>
      </c>
      <c r="Q22" s="18">
        <v>8.3785101925505923E-2</v>
      </c>
    </row>
    <row r="23" spans="1:17" ht="15.75" thickBot="1" x14ac:dyDescent="0.3">
      <c r="A23" s="24">
        <f>'ALL VARS'!A23</f>
        <v>43950</v>
      </c>
      <c r="B23" s="16">
        <f>'ALL VARS'!F23</f>
        <v>-2.9379858648651246E-2</v>
      </c>
      <c r="C23" s="16">
        <f>'ALL VARS'!G23</f>
        <v>2.904386379946032E-2</v>
      </c>
      <c r="D23" s="16">
        <f>'ALL VARS'!H23</f>
        <v>1.0667882350970269E-2</v>
      </c>
      <c r="E23" s="16">
        <f>'ALL VARS'!W23</f>
        <v>8.9372641890552197E-5</v>
      </c>
      <c r="F23" s="16">
        <f>'ALL VARS'!Y23</f>
        <v>-5.1527870986725675E-4</v>
      </c>
      <c r="G23" s="16">
        <f>'ALL VARS'!J23</f>
        <v>39.449000699999999</v>
      </c>
      <c r="I23" s="28" t="s">
        <v>4</v>
      </c>
      <c r="J23" s="28">
        <v>1.3723784142389683E-4</v>
      </c>
      <c r="K23" s="28">
        <v>7.156221930263389E-5</v>
      </c>
      <c r="L23" s="28">
        <v>1.9177415507968421</v>
      </c>
      <c r="M23" s="28">
        <v>6.196064817007145E-2</v>
      </c>
      <c r="N23" s="28">
        <v>-7.180563963829652E-6</v>
      </c>
      <c r="O23" s="28">
        <v>2.8165624681162331E-4</v>
      </c>
      <c r="P23" s="28">
        <v>-7.180563963829652E-6</v>
      </c>
      <c r="Q23" s="28">
        <v>2.8165624681162331E-4</v>
      </c>
    </row>
    <row r="24" spans="1:17" x14ac:dyDescent="0.25">
      <c r="A24" s="24">
        <f>'ALL VARS'!A24</f>
        <v>43949</v>
      </c>
      <c r="B24" s="16">
        <f>'ALL VARS'!F24</f>
        <v>2.904386379946032E-2</v>
      </c>
      <c r="C24" s="16">
        <f>'ALL VARS'!G24</f>
        <v>1.0667882350970269E-2</v>
      </c>
      <c r="D24" s="16">
        <f>'ALL VARS'!H24</f>
        <v>1.5373998778727917E-2</v>
      </c>
      <c r="E24" s="16">
        <f>'ALL VARS'!W24</f>
        <v>-2.3627544575136358E-3</v>
      </c>
      <c r="F24" s="16">
        <f>'ALL VARS'!Y24</f>
        <v>1.2632486823670921E-2</v>
      </c>
      <c r="G24" s="16">
        <f>'ALL VARS'!J24</f>
        <v>39.868000500000008</v>
      </c>
    </row>
    <row r="25" spans="1:17" x14ac:dyDescent="0.25">
      <c r="A25" s="24">
        <f>'ALL VARS'!A25</f>
        <v>43948</v>
      </c>
      <c r="B25" s="16">
        <f>'ALL VARS'!F25</f>
        <v>1.0667882350970269E-2</v>
      </c>
      <c r="C25" s="16">
        <f>'ALL VARS'!G25</f>
        <v>1.5373998778727917E-2</v>
      </c>
      <c r="D25" s="16">
        <f>'ALL VARS'!H25</f>
        <v>1.1879839917270655E-2</v>
      </c>
      <c r="E25" s="16">
        <f>'ALL VARS'!W25</f>
        <v>-6.3268426066481207E-3</v>
      </c>
      <c r="F25" s="16">
        <f>'ALL VARS'!Y25</f>
        <v>2.8840967787417997E-2</v>
      </c>
      <c r="G25" s="16">
        <f>'ALL VARS'!J25</f>
        <v>40.656000200000001</v>
      </c>
    </row>
    <row r="26" spans="1:17" x14ac:dyDescent="0.25">
      <c r="A26" s="24">
        <f>'ALL VARS'!A26</f>
        <v>43945</v>
      </c>
      <c r="B26" s="16">
        <f>'ALL VARS'!F26</f>
        <v>1.5373998778727917E-2</v>
      </c>
      <c r="C26" s="16">
        <f>'ALL VARS'!G26</f>
        <v>1.1879839917270655E-2</v>
      </c>
      <c r="D26" s="16">
        <f>'ALL VARS'!H26</f>
        <v>-2.5965891780394849E-3</v>
      </c>
      <c r="E26" s="16">
        <f>'ALL VARS'!W26</f>
        <v>-1.4570747688227757E-3</v>
      </c>
      <c r="F26" s="16">
        <f>'ALL VARS'!Y26</f>
        <v>5.8057275504973934E-3</v>
      </c>
      <c r="G26" s="16">
        <f>'ALL VARS'!J26</f>
        <v>41.230000000000004</v>
      </c>
    </row>
    <row r="27" spans="1:17" x14ac:dyDescent="0.25">
      <c r="A27" s="24">
        <f>'ALL VARS'!A27</f>
        <v>43944</v>
      </c>
      <c r="B27" s="16">
        <f>'ALL VARS'!F27</f>
        <v>1.1879839917270655E-2</v>
      </c>
      <c r="C27" s="16">
        <f>'ALL VARS'!G27</f>
        <v>-2.5965891780394849E-3</v>
      </c>
      <c r="D27" s="16">
        <f>'ALL VARS'!H27</f>
        <v>2.4971169199914333E-2</v>
      </c>
      <c r="E27" s="16">
        <f>'ALL VARS'!W27</f>
        <v>-8.1397416950628222E-3</v>
      </c>
      <c r="F27" s="16">
        <f>'ALL VARS'!Y27</f>
        <v>3.0829347483889873E-2</v>
      </c>
      <c r="G27" s="16">
        <f>'ALL VARS'!J27</f>
        <v>41.42699970000001</v>
      </c>
    </row>
    <row r="28" spans="1:17" x14ac:dyDescent="0.25">
      <c r="A28" s="24">
        <f>'ALL VARS'!A28</f>
        <v>43943</v>
      </c>
      <c r="B28" s="16">
        <f>'ALL VARS'!F28</f>
        <v>-2.5965891780394849E-3</v>
      </c>
      <c r="C28" s="16">
        <f>'ALL VARS'!G28</f>
        <v>2.4971169199914333E-2</v>
      </c>
      <c r="D28" s="16">
        <f>'ALL VARS'!H28</f>
        <v>-3.1150323670921017E-2</v>
      </c>
      <c r="E28" s="16">
        <f>'ALL VARS'!W28</f>
        <v>6.2544682571715783E-3</v>
      </c>
      <c r="F28" s="16">
        <f>'ALL VARS'!Y28</f>
        <v>-2.0736747135542175E-2</v>
      </c>
      <c r="G28" s="16">
        <f>'ALL VARS'!J28</f>
        <v>41.898999799999999</v>
      </c>
    </row>
    <row r="29" spans="1:17" x14ac:dyDescent="0.25">
      <c r="A29" s="24">
        <f>'ALL VARS'!A29</f>
        <v>43942</v>
      </c>
      <c r="B29" s="16">
        <f>'ALL VARS'!F29</f>
        <v>2.4971169199914333E-2</v>
      </c>
      <c r="C29" s="16">
        <f>'ALL VARS'!G29</f>
        <v>-3.1150323670921017E-2</v>
      </c>
      <c r="D29" s="16">
        <f>'ALL VARS'!H29</f>
        <v>1.9776887879946956E-3</v>
      </c>
      <c r="E29" s="16">
        <f>'ALL VARS'!W29</f>
        <v>9.399022068945043E-4</v>
      </c>
      <c r="F29" s="16">
        <f>'ALL VARS'!Y29</f>
        <v>-3.1322325767873826E-3</v>
      </c>
      <c r="G29" s="16">
        <f>'ALL VARS'!J29</f>
        <v>41.881999999999998</v>
      </c>
    </row>
    <row r="30" spans="1:17" x14ac:dyDescent="0.25">
      <c r="A30" s="24">
        <f>'ALL VARS'!A30</f>
        <v>43941</v>
      </c>
      <c r="B30" s="16">
        <f>'ALL VARS'!F30</f>
        <v>-3.1150323670921017E-2</v>
      </c>
      <c r="C30" s="16">
        <f>'ALL VARS'!G30</f>
        <v>1.9776887879946956E-3</v>
      </c>
      <c r="D30" s="16">
        <f>'ALL VARS'!H30</f>
        <v>3.3138402111040632E-2</v>
      </c>
      <c r="E30" s="16">
        <f>'ALL VARS'!W30</f>
        <v>1.5092006869835773E-2</v>
      </c>
      <c r="F30" s="16">
        <f>'ALL VARS'!Y30</f>
        <v>-4.5811927420867607E-2</v>
      </c>
      <c r="G30" s="16">
        <f>'ALL VARS'!J30</f>
        <v>42.178999699999999</v>
      </c>
    </row>
    <row r="31" spans="1:17" x14ac:dyDescent="0.25">
      <c r="A31" s="24">
        <f>'ALL VARS'!A31</f>
        <v>43938</v>
      </c>
      <c r="B31" s="16">
        <f>'ALL VARS'!F31</f>
        <v>1.9776887879946956E-3</v>
      </c>
      <c r="C31" s="16">
        <f>'ALL VARS'!G31</f>
        <v>3.3138402111040632E-2</v>
      </c>
      <c r="D31" s="16">
        <f>'ALL VARS'!H31</f>
        <v>-4.2482631253185207E-3</v>
      </c>
      <c r="E31" s="16">
        <f>'ALL VARS'!W31</f>
        <v>-2.0035314346432759E-4</v>
      </c>
      <c r="F31" s="16">
        <f>'ALL VARS'!Y31</f>
        <v>3.5252326209231556E-4</v>
      </c>
      <c r="G31" s="16">
        <f>'ALL VARS'!J31</f>
        <v>43.4549995</v>
      </c>
    </row>
    <row r="32" spans="1:17" x14ac:dyDescent="0.25">
      <c r="A32" s="24">
        <f>'ALL VARS'!A32</f>
        <v>43937</v>
      </c>
      <c r="B32" s="16">
        <f>'ALL VARS'!F32</f>
        <v>3.3138402111040632E-2</v>
      </c>
      <c r="C32" s="16">
        <f>'ALL VARS'!G32</f>
        <v>-4.2482631253185207E-3</v>
      </c>
      <c r="D32" s="16">
        <f>'ALL VARS'!H32</f>
        <v>-2.1026256366684357E-2</v>
      </c>
      <c r="E32" s="16">
        <f>'ALL VARS'!W32</f>
        <v>-2.5983841384834668E-4</v>
      </c>
      <c r="F32" s="16">
        <f>'ALL VARS'!Y32</f>
        <v>1.6762049804999263E-5</v>
      </c>
      <c r="G32" s="16">
        <f>'ALL VARS'!J32</f>
        <v>45.149999499999993</v>
      </c>
    </row>
    <row r="33" spans="1:7" x14ac:dyDescent="0.25">
      <c r="A33" s="24">
        <f>'ALL VARS'!A33</f>
        <v>43936</v>
      </c>
      <c r="B33" s="16">
        <f>'ALL VARS'!F33</f>
        <v>-4.2482631253185207E-3</v>
      </c>
      <c r="C33" s="16">
        <f>'ALL VARS'!G33</f>
        <v>-2.1026256366684357E-2</v>
      </c>
      <c r="D33" s="16">
        <f>'ALL VARS'!H33</f>
        <v>1.2965422809946055E-2</v>
      </c>
      <c r="E33" s="16">
        <f>'ALL VARS'!W33</f>
        <v>-4.8918098363505596E-3</v>
      </c>
      <c r="F33" s="16">
        <f>'ALL VARS'!Y33</f>
        <v>-5.8970307060513183E-3</v>
      </c>
      <c r="G33" s="16">
        <f>'ALL VARS'!J33</f>
        <v>46.419999600000004</v>
      </c>
    </row>
    <row r="34" spans="1:7" x14ac:dyDescent="0.25">
      <c r="A34" s="24">
        <f>'ALL VARS'!A34</f>
        <v>43935</v>
      </c>
      <c r="B34" s="16">
        <f>'ALL VARS'!F34</f>
        <v>-2.1026256366684357E-2</v>
      </c>
      <c r="C34" s="16">
        <f>'ALL VARS'!G34</f>
        <v>1.2965422809946055E-2</v>
      </c>
      <c r="D34" s="16">
        <f>'ALL VARS'!H34</f>
        <v>-6.4023280464834062E-3</v>
      </c>
      <c r="E34" s="16">
        <f>'ALL VARS'!W34</f>
        <v>1.6972061336973533E-3</v>
      </c>
      <c r="F34" s="16">
        <f>'ALL VARS'!Y34</f>
        <v>5.3249689457998605E-3</v>
      </c>
      <c r="G34" s="16">
        <f>'ALL VARS'!J34</f>
        <v>48.352000000000004</v>
      </c>
    </row>
    <row r="35" spans="1:7" x14ac:dyDescent="0.25">
      <c r="A35" s="24">
        <f>'ALL VARS'!A35</f>
        <v>43934</v>
      </c>
      <c r="B35" s="16">
        <f>'ALL VARS'!F35</f>
        <v>1.2965422809946055E-2</v>
      </c>
      <c r="C35" s="16">
        <f>'ALL VARS'!G35</f>
        <v>-6.4023280464834062E-3</v>
      </c>
      <c r="D35" s="16">
        <f>'ALL VARS'!H35</f>
        <v>1.729890853793448E-2</v>
      </c>
      <c r="E35" s="16">
        <f>'ALL VARS'!W35</f>
        <v>-6.1817702594409536E-3</v>
      </c>
      <c r="F35" s="16">
        <f>'ALL VARS'!Y35</f>
        <v>-3.4460224443090819E-2</v>
      </c>
      <c r="G35" s="16">
        <f>'ALL VARS'!J35</f>
        <v>50.789000299999998</v>
      </c>
    </row>
    <row r="36" spans="1:7" x14ac:dyDescent="0.25">
      <c r="A36" s="24">
        <f>'ALL VARS'!A36</f>
        <v>43930</v>
      </c>
      <c r="B36" s="16">
        <f>'ALL VARS'!F36</f>
        <v>-6.4023280464834062E-3</v>
      </c>
      <c r="C36" s="16">
        <f>'ALL VARS'!G36</f>
        <v>1.729890853793448E-2</v>
      </c>
      <c r="D36" s="16">
        <f>'ALL VARS'!H36</f>
        <v>2.2888078899761091E-2</v>
      </c>
      <c r="E36" s="16">
        <f>'ALL VARS'!W36</f>
        <v>9.7581869367338089E-3</v>
      </c>
      <c r="F36" s="16">
        <f>'ALL VARS'!Y36</f>
        <v>7.3259505345983314E-2</v>
      </c>
      <c r="G36" s="16">
        <f>'ALL VARS'!J36</f>
        <v>52.722000499999993</v>
      </c>
    </row>
    <row r="37" spans="1:7" x14ac:dyDescent="0.25">
      <c r="A37" s="24">
        <f>'ALL VARS'!A37</f>
        <v>43929</v>
      </c>
      <c r="B37" s="16">
        <f>'ALL VARS'!F37</f>
        <v>1.729890853793448E-2</v>
      </c>
      <c r="C37" s="16">
        <f>'ALL VARS'!G37</f>
        <v>2.2888078899761091E-2</v>
      </c>
      <c r="D37" s="16">
        <f>'ALL VARS'!H37</f>
        <v>1.5743313464585205E-3</v>
      </c>
      <c r="E37" s="16">
        <f>'ALL VARS'!W37</f>
        <v>-1.2297746236059619E-3</v>
      </c>
      <c r="F37" s="16">
        <f>'ALL VARS'!Y37</f>
        <v>-1.1765858609938175E-2</v>
      </c>
      <c r="G37" s="16">
        <f>'ALL VARS'!J37</f>
        <v>54.782000800000006</v>
      </c>
    </row>
    <row r="38" spans="1:7" x14ac:dyDescent="0.25">
      <c r="A38" s="24">
        <f>'ALL VARS'!A38</f>
        <v>43928</v>
      </c>
      <c r="B38" s="16">
        <f>'ALL VARS'!F38</f>
        <v>2.2888078899761091E-2</v>
      </c>
      <c r="C38" s="16">
        <f>'ALL VARS'!G38</f>
        <v>1.5743313464585205E-3</v>
      </c>
      <c r="D38" s="16">
        <f>'ALL VARS'!H38</f>
        <v>5.0578545857092143E-2</v>
      </c>
      <c r="E38" s="16">
        <f>'ALL VARS'!W38</f>
        <v>-7.1723386329397574E-3</v>
      </c>
      <c r="F38" s="16">
        <f>'ALL VARS'!Y38</f>
        <v>-7.9358279738619336E-2</v>
      </c>
      <c r="G38" s="16">
        <f>'ALL VARS'!J38</f>
        <v>56.279000499999995</v>
      </c>
    </row>
    <row r="39" spans="1:7" x14ac:dyDescent="0.25">
      <c r="A39" s="24">
        <f>'ALL VARS'!A39</f>
        <v>43927</v>
      </c>
      <c r="B39" s="16">
        <f>'ALL VARS'!F39</f>
        <v>1.5743313464585205E-3</v>
      </c>
      <c r="C39" s="16">
        <f>'ALL VARS'!G39</f>
        <v>5.0578545857092143E-2</v>
      </c>
      <c r="D39" s="16">
        <f>'ALL VARS'!H39</f>
        <v>-1.2177617796472343E-2</v>
      </c>
      <c r="E39" s="16">
        <f>'ALL VARS'!W39</f>
        <v>-4.5687447281879439E-4</v>
      </c>
      <c r="F39" s="16">
        <f>'ALL VARS'!Y39</f>
        <v>-5.8020733863421046E-3</v>
      </c>
      <c r="G39" s="16">
        <f>'ALL VARS'!J39</f>
        <v>57.914000299999998</v>
      </c>
    </row>
    <row r="40" spans="1:7" x14ac:dyDescent="0.25">
      <c r="A40" s="24">
        <f>'ALL VARS'!A40</f>
        <v>43924</v>
      </c>
      <c r="B40" s="16">
        <f>'ALL VARS'!F40</f>
        <v>5.0578545857092143E-2</v>
      </c>
      <c r="C40" s="16">
        <f>'ALL VARS'!G40</f>
        <v>-1.2177617796472343E-2</v>
      </c>
      <c r="D40" s="16">
        <f>'ALL VARS'!H40</f>
        <v>1.7194200807451526E-2</v>
      </c>
      <c r="E40" s="16">
        <f>'ALL VARS'!W40</f>
        <v>-8.8855990083988642E-3</v>
      </c>
      <c r="F40" s="16">
        <f>'ALL VARS'!Y40</f>
        <v>-0.12993848144701931</v>
      </c>
      <c r="G40" s="16">
        <f>'ALL VARS'!J40</f>
        <v>59.8380005</v>
      </c>
    </row>
    <row r="41" spans="1:7" x14ac:dyDescent="0.25">
      <c r="A41" s="24">
        <f>'ALL VARS'!A41</f>
        <v>43923</v>
      </c>
      <c r="B41" s="16">
        <f>'ALL VARS'!F41</f>
        <v>-1.2177617796472343E-2</v>
      </c>
      <c r="C41" s="16">
        <f>'ALL VARS'!G41</f>
        <v>1.7194200807451526E-2</v>
      </c>
      <c r="D41" s="16">
        <f>'ALL VARS'!H41</f>
        <v>-3.7551904604495374E-2</v>
      </c>
      <c r="E41" s="16">
        <f>'ALL VARS'!W41</f>
        <v>-5.0727590262987015E-3</v>
      </c>
      <c r="F41" s="16">
        <f>'ALL VARS'!Y41</f>
        <v>-8.4879897217894837E-2</v>
      </c>
      <c r="G41" s="16">
        <f>'ALL VARS'!J41</f>
        <v>61.947000500000001</v>
      </c>
    </row>
    <row r="42" spans="1:7" x14ac:dyDescent="0.25">
      <c r="A42" s="24">
        <f>'ALL VARS'!A42</f>
        <v>43922</v>
      </c>
      <c r="B42" s="16">
        <f>'ALL VARS'!F42</f>
        <v>1.7194200807451526E-2</v>
      </c>
      <c r="C42" s="16">
        <f>'ALL VARS'!G42</f>
        <v>-3.7551904604495374E-2</v>
      </c>
      <c r="D42" s="16">
        <f>'ALL VARS'!H42</f>
        <v>2.6099613068988042E-2</v>
      </c>
      <c r="E42" s="16">
        <f>'ALL VARS'!W42</f>
        <v>7.8005471767174112E-3</v>
      </c>
      <c r="F42" s="16">
        <f>'ALL VARS'!Y42</f>
        <v>0.14564784707572817</v>
      </c>
      <c r="G42" s="16">
        <f>'ALL VARS'!J42</f>
        <v>63.886000100000004</v>
      </c>
    </row>
    <row r="43" spans="1:7" x14ac:dyDescent="0.25">
      <c r="A43" s="24">
        <f>'ALL VARS'!A43</f>
        <v>43921</v>
      </c>
      <c r="B43" s="16">
        <f>'ALL VARS'!F43</f>
        <v>-3.7551904604495374E-2</v>
      </c>
      <c r="C43" s="16">
        <f>'ALL VARS'!G43</f>
        <v>2.6099613068988042E-2</v>
      </c>
      <c r="D43" s="16">
        <f>'ALL VARS'!H43</f>
        <v>2.7648809446036929E-2</v>
      </c>
      <c r="E43" s="16">
        <f>'ALL VARS'!W43</f>
        <v>-7.2398129983529131E-4</v>
      </c>
      <c r="F43" s="16">
        <f>'ALL VARS'!Y43</f>
        <v>-1.5137356771205887E-2</v>
      </c>
      <c r="G43" s="16">
        <f>'ALL VARS'!J43</f>
        <v>66.123000399999995</v>
      </c>
    </row>
    <row r="44" spans="1:7" x14ac:dyDescent="0.25">
      <c r="A44" s="24">
        <f>'ALL VARS'!A44</f>
        <v>43920</v>
      </c>
      <c r="B44" s="16">
        <f>'ALL VARS'!F44</f>
        <v>2.6099613068988042E-2</v>
      </c>
      <c r="C44" s="16">
        <f>'ALL VARS'!G44</f>
        <v>2.7648809446036929E-2</v>
      </c>
      <c r="D44" s="16">
        <f>'ALL VARS'!H44</f>
        <v>-5.1117326046437227E-2</v>
      </c>
      <c r="E44" s="16">
        <f>'ALL VARS'!W44</f>
        <v>1.5554733397967077E-2</v>
      </c>
      <c r="F44" s="16">
        <f>'ALL VARS'!Y44</f>
        <v>0.36506168149456952</v>
      </c>
      <c r="G44" s="16">
        <f>'ALL VARS'!J44</f>
        <v>68.684000400000002</v>
      </c>
    </row>
    <row r="45" spans="1:7" x14ac:dyDescent="0.25">
      <c r="A45" s="24">
        <f>'ALL VARS'!A45</f>
        <v>43917</v>
      </c>
      <c r="B45" s="16">
        <f>'ALL VARS'!F45</f>
        <v>2.7648809446036929E-2</v>
      </c>
      <c r="C45" s="16">
        <f>'ALL VARS'!G45</f>
        <v>-5.1117326046437227E-2</v>
      </c>
      <c r="D45" s="16">
        <f>'ALL VARS'!H45</f>
        <v>1.7657086927428463E-2</v>
      </c>
      <c r="E45" s="16">
        <f>'ALL VARS'!W45</f>
        <v>-6.056739979982898E-3</v>
      </c>
      <c r="F45" s="16">
        <f>'ALL VARS'!Y45</f>
        <v>-0.13747886086834535</v>
      </c>
      <c r="G45" s="16">
        <f>'ALL VARS'!J45</f>
        <v>67.91300050000001</v>
      </c>
    </row>
    <row r="46" spans="1:7" x14ac:dyDescent="0.25">
      <c r="A46" s="24">
        <f>'ALL VARS'!A46</f>
        <v>43916</v>
      </c>
      <c r="B46" s="16">
        <f>'ALL VARS'!F46</f>
        <v>-5.1117326046437227E-2</v>
      </c>
      <c r="C46" s="16">
        <f>'ALL VARS'!G46</f>
        <v>1.7657086927428463E-2</v>
      </c>
      <c r="D46" s="16">
        <f>'ALL VARS'!H46</f>
        <v>4.5191001874909938E-2</v>
      </c>
      <c r="E46" s="16">
        <f>'ALL VARS'!W46</f>
        <v>-5.085061833605015E-3</v>
      </c>
      <c r="F46" s="16">
        <f>'ALL VARS'!Y46</f>
        <v>-0.12278131771742137</v>
      </c>
      <c r="G46" s="16">
        <f>'ALL VARS'!J46</f>
        <v>69.360000600000006</v>
      </c>
    </row>
    <row r="47" spans="1:7" x14ac:dyDescent="0.25">
      <c r="A47" s="24">
        <f>'ALL VARS'!A47</f>
        <v>43915</v>
      </c>
      <c r="B47" s="16">
        <f>'ALL VARS'!F47</f>
        <v>1.7657086927428463E-2</v>
      </c>
      <c r="C47" s="16">
        <f>'ALL VARS'!G47</f>
        <v>4.5191001874909938E-2</v>
      </c>
      <c r="D47" s="16">
        <f>'ALL VARS'!H47</f>
        <v>0.11957070036068938</v>
      </c>
      <c r="E47" s="16">
        <f>'ALL VARS'!W47</f>
        <v>1.2419150912283468E-3</v>
      </c>
      <c r="F47" s="16">
        <f>'ALL VARS'!Y47</f>
        <v>2.8738525843243958E-2</v>
      </c>
      <c r="G47" s="16">
        <f>'ALL VARS'!J47</f>
        <v>68.355000700000005</v>
      </c>
    </row>
    <row r="48" spans="1:7" x14ac:dyDescent="0.25">
      <c r="A48" s="24">
        <f>'ALL VARS'!A48</f>
        <v>43914</v>
      </c>
      <c r="B48" s="16">
        <f>'ALL VARS'!F48</f>
        <v>4.5191001874909938E-2</v>
      </c>
      <c r="C48" s="16">
        <f>'ALL VARS'!G48</f>
        <v>0.11957070036068938</v>
      </c>
      <c r="D48" s="16">
        <f>'ALL VARS'!H48</f>
        <v>-5.2591151998453836E-2</v>
      </c>
      <c r="E48" s="16">
        <f>'ALL VARS'!W48</f>
        <v>-1.5335211430256503E-3</v>
      </c>
      <c r="F48" s="16">
        <f>'ALL VARS'!Y48</f>
        <v>-3.3282763531260751E-2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EFD-CED0-4BCE-BDDF-9EA108F02198}">
  <sheetPr codeName="Feuil18"/>
  <dimension ref="A1:Q48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VARS'!AA1</f>
        <v>Sent_t_k, k=2</v>
      </c>
      <c r="F1" s="16" t="str">
        <f>'ALL VARS'!AC1</f>
        <v>Sent_t_k, k=2 * (VIX_10_t  minus VIX_bar_10)</v>
      </c>
      <c r="G1" s="16" t="str">
        <f>'ALL VARS'!J1</f>
        <v>VIX_10_t</v>
      </c>
    </row>
    <row r="2" spans="1:14" x14ac:dyDescent="0.25">
      <c r="A2" s="24">
        <f>'ALL VARS'!A2</f>
        <v>43980</v>
      </c>
      <c r="B2" s="16">
        <f>'ALL VARS'!F2</f>
        <v>2.3093919546915233E-2</v>
      </c>
      <c r="C2" s="16">
        <f>'ALL VARS'!G2</f>
        <v>-4.5798180601685388E-3</v>
      </c>
      <c r="D2" s="16">
        <f>'ALL VARS'!H2</f>
        <v>-6.0894480094293875E-4</v>
      </c>
      <c r="E2" s="16">
        <f>'ALL VARS'!AA2</f>
        <v>-3.9797236618121191E-3</v>
      </c>
      <c r="F2" s="16">
        <f>'ALL VARS'!AC2</f>
        <v>6.2845841282929957E-2</v>
      </c>
      <c r="G2" s="16">
        <f>'ALL VARS'!J2</f>
        <v>29.423000200000001</v>
      </c>
      <c r="I2" s="18" t="s">
        <v>39</v>
      </c>
    </row>
    <row r="3" spans="1:14" ht="15.75" thickBot="1" x14ac:dyDescent="0.3">
      <c r="A3" s="24">
        <f>'ALL VARS'!A3</f>
        <v>43979</v>
      </c>
      <c r="B3" s="16">
        <f>'ALL VARS'!F3</f>
        <v>-4.5798180601685388E-3</v>
      </c>
      <c r="C3" s="16">
        <f>'ALL VARS'!G3</f>
        <v>-6.0894480094293875E-4</v>
      </c>
      <c r="D3" s="16">
        <f>'ALL VARS'!H3</f>
        <v>8.1792696244475296E-3</v>
      </c>
      <c r="E3" s="16">
        <f>'ALL VARS'!AA3</f>
        <v>1.3922479831146258E-4</v>
      </c>
      <c r="F3" s="16">
        <f>'ALL VARS'!AC3</f>
        <v>-2.1054282535198266E-3</v>
      </c>
      <c r="G3" s="16">
        <f>'ALL VARS'!J3</f>
        <v>30.092000099999996</v>
      </c>
    </row>
    <row r="4" spans="1:14" x14ac:dyDescent="0.25">
      <c r="A4" s="24">
        <f>'ALL VARS'!A4</f>
        <v>43978</v>
      </c>
      <c r="B4" s="16">
        <f>'ALL VARS'!F4</f>
        <v>-6.0894480094293875E-4</v>
      </c>
      <c r="C4" s="16">
        <f>'ALL VARS'!G4</f>
        <v>8.1792696244475296E-3</v>
      </c>
      <c r="D4" s="16">
        <f>'ALL VARS'!H4</f>
        <v>4.8223739412853626E-3</v>
      </c>
      <c r="E4" s="16">
        <f>'ALL VARS'!AA4</f>
        <v>-3.5611298229558694E-3</v>
      </c>
      <c r="F4" s="16">
        <f>'ALL VARS'!AC4</f>
        <v>5.1923085127644153E-2</v>
      </c>
      <c r="G4" s="16">
        <f>'ALL VARS'!J4</f>
        <v>30.634000099999998</v>
      </c>
      <c r="I4" s="26" t="s">
        <v>40</v>
      </c>
      <c r="J4" s="26"/>
    </row>
    <row r="5" spans="1:14" x14ac:dyDescent="0.25">
      <c r="A5" s="24">
        <f>'ALL VARS'!A5</f>
        <v>43977</v>
      </c>
      <c r="B5" s="16">
        <f>'ALL VARS'!F5</f>
        <v>8.1792696244475296E-3</v>
      </c>
      <c r="C5" s="16">
        <f>'ALL VARS'!G5</f>
        <v>4.8223739412853626E-3</v>
      </c>
      <c r="D5" s="16">
        <f>'ALL VARS'!H5</f>
        <v>1.0849210535487055E-2</v>
      </c>
      <c r="E5" s="16">
        <f>'ALL VARS'!AA5</f>
        <v>2.2715899837558381E-3</v>
      </c>
      <c r="F5" s="16">
        <f>'ALL VARS'!AC5</f>
        <v>-3.3220887966470013E-2</v>
      </c>
      <c r="G5" s="16">
        <f>'ALL VARS'!J5</f>
        <v>30.590000099999997</v>
      </c>
      <c r="I5" s="18" t="s">
        <v>41</v>
      </c>
      <c r="J5" s="18">
        <v>0.44238528857206499</v>
      </c>
    </row>
    <row r="6" spans="1:14" x14ac:dyDescent="0.25">
      <c r="A6" s="24">
        <f>'ALL VARS'!A6</f>
        <v>43976</v>
      </c>
      <c r="B6" s="16">
        <f>'ALL VARS'!F6</f>
        <v>4.8223739412853626E-3</v>
      </c>
      <c r="C6" s="16">
        <f>'ALL VARS'!G6</f>
        <v>1.0849210535487055E-2</v>
      </c>
      <c r="D6" s="16">
        <f>'ALL VARS'!H6</f>
        <v>1.9280759189597432E-3</v>
      </c>
      <c r="E6" s="16">
        <f>'ALL VARS'!AA6</f>
        <v>-1.1966886213536851E-2</v>
      </c>
      <c r="F6" s="16">
        <f>'ALL VARS'!AC6</f>
        <v>0.1751175360790348</v>
      </c>
      <c r="G6" s="16">
        <f>'ALL VARS'!J6</f>
        <v>30.581000099999997</v>
      </c>
      <c r="I6" s="18" t="s">
        <v>42</v>
      </c>
      <c r="J6" s="18">
        <v>0.19570474354498921</v>
      </c>
    </row>
    <row r="7" spans="1:14" x14ac:dyDescent="0.25">
      <c r="A7" s="24">
        <f>'ALL VARS'!A7</f>
        <v>43973</v>
      </c>
      <c r="B7" s="16">
        <f>'ALL VARS'!F7</f>
        <v>1.0849210535487055E-2</v>
      </c>
      <c r="C7" s="16">
        <f>'ALL VARS'!G7</f>
        <v>1.9280759189597432E-3</v>
      </c>
      <c r="D7" s="16">
        <f>'ALL VARS'!H7</f>
        <v>-7.5144837132717695E-3</v>
      </c>
      <c r="E7" s="16">
        <f>'ALL VARS'!AA7</f>
        <v>6.829273949933305E-3</v>
      </c>
      <c r="F7" s="16">
        <f>'ALL VARS'!AC7</f>
        <v>-9.9997704688285852E-2</v>
      </c>
      <c r="G7" s="16">
        <f>'ALL VARS'!J7</f>
        <v>30.572000099999997</v>
      </c>
      <c r="I7" s="18" t="s">
        <v>42</v>
      </c>
      <c r="J7" s="18">
        <v>9.5295671501654827E-2</v>
      </c>
    </row>
    <row r="8" spans="1:14" x14ac:dyDescent="0.25">
      <c r="A8" s="24">
        <f>'ALL VARS'!A8</f>
        <v>43972</v>
      </c>
      <c r="B8" s="16">
        <f>'ALL VARS'!F8</f>
        <v>1.9280759189597432E-3</v>
      </c>
      <c r="C8" s="16">
        <f>'ALL VARS'!G8</f>
        <v>-7.5144837132717695E-3</v>
      </c>
      <c r="D8" s="16">
        <f>'ALL VARS'!H8</f>
        <v>7.5307923146686901E-3</v>
      </c>
      <c r="E8" s="16">
        <f>'ALL VARS'!AA8</f>
        <v>1.5145415361475247E-3</v>
      </c>
      <c r="F8" s="16">
        <f>'ALL VARS'!AC8</f>
        <v>-2.1887410510312306E-2</v>
      </c>
      <c r="G8" s="16">
        <f>'ALL VARS'!J8</f>
        <v>30.763000099999999</v>
      </c>
      <c r="I8" s="18" t="s">
        <v>43</v>
      </c>
      <c r="J8" s="18">
        <v>1.9423302343401398E-2</v>
      </c>
    </row>
    <row r="9" spans="1:14" ht="15.75" thickBot="1" x14ac:dyDescent="0.3">
      <c r="A9" s="24">
        <f>'ALL VARS'!A9</f>
        <v>43971</v>
      </c>
      <c r="B9" s="16">
        <f>'ALL VARS'!F9</f>
        <v>-7.5144837132717695E-3</v>
      </c>
      <c r="C9" s="16">
        <f>'ALL VARS'!G9</f>
        <v>7.5307923146686901E-3</v>
      </c>
      <c r="D9" s="16">
        <f>'ALL VARS'!H9</f>
        <v>1.6845500851389788E-2</v>
      </c>
      <c r="E9" s="16">
        <f>'ALL VARS'!AA9</f>
        <v>8.7602504281608495E-3</v>
      </c>
      <c r="F9" s="16">
        <f>'ALL VARS'!AC9</f>
        <v>-0.12122880451530842</v>
      </c>
      <c r="G9" s="16">
        <f>'ALL VARS'!J9</f>
        <v>31.375999999999998</v>
      </c>
      <c r="I9" s="28" t="s">
        <v>44</v>
      </c>
      <c r="J9" s="28">
        <v>47</v>
      </c>
    </row>
    <row r="10" spans="1:14" x14ac:dyDescent="0.25">
      <c r="A10" s="24">
        <f>'ALL VARS'!A10</f>
        <v>43970</v>
      </c>
      <c r="B10" s="16">
        <f>'ALL VARS'!F10</f>
        <v>7.5307923146686901E-3</v>
      </c>
      <c r="C10" s="16">
        <f>'ALL VARS'!G10</f>
        <v>1.6845500851389788E-2</v>
      </c>
      <c r="D10" s="16">
        <f>'ALL VARS'!H10</f>
        <v>8.9044014875318926E-3</v>
      </c>
      <c r="E10" s="16">
        <f>'ALL VARS'!AA10</f>
        <v>0.10563345255546264</v>
      </c>
      <c r="F10" s="16">
        <f>'ALL VARS'!AC10</f>
        <v>-1.4292743819853322</v>
      </c>
      <c r="G10" s="16">
        <f>'ALL VARS'!J10</f>
        <v>31.683999999999997</v>
      </c>
    </row>
    <row r="11" spans="1:14" ht="15.75" thickBot="1" x14ac:dyDescent="0.3">
      <c r="A11" s="24">
        <f>'ALL VARS'!A11</f>
        <v>43966</v>
      </c>
      <c r="B11" s="16">
        <f>'ALL VARS'!F11</f>
        <v>1.6845500851389788E-2</v>
      </c>
      <c r="C11" s="16">
        <f>'ALL VARS'!G11</f>
        <v>8.9044014875318926E-3</v>
      </c>
      <c r="D11" s="16">
        <f>'ALL VARS'!H11</f>
        <v>4.4817694802564231E-4</v>
      </c>
      <c r="E11" s="16">
        <f>'ALL VARS'!AA11</f>
        <v>-2.8211767729283792E-3</v>
      </c>
      <c r="F11" s="16">
        <f>'ALL VARS'!AC11</f>
        <v>3.479500859486314E-2</v>
      </c>
      <c r="G11" s="16">
        <f>'ALL VARS'!J11</f>
        <v>32.881000200000003</v>
      </c>
      <c r="I11" s="18" t="s">
        <v>45</v>
      </c>
    </row>
    <row r="12" spans="1:14" x14ac:dyDescent="0.25">
      <c r="A12" s="24">
        <f>'ALL VARS'!A12</f>
        <v>43965</v>
      </c>
      <c r="B12" s="16">
        <f>'ALL VARS'!F12</f>
        <v>8.9044014875318926E-3</v>
      </c>
      <c r="C12" s="16">
        <f>'ALL VARS'!G12</f>
        <v>4.4817694802564231E-4</v>
      </c>
      <c r="D12" s="16">
        <f>'ALL VARS'!H12</f>
        <v>-2.5401176991557837E-2</v>
      </c>
      <c r="E12" s="16">
        <f>'ALL VARS'!AA12</f>
        <v>8.1938723304662245E-2</v>
      </c>
      <c r="F12" s="16">
        <f>'ALL VARS'!AC12</f>
        <v>-0.99797339450604139</v>
      </c>
      <c r="G12" s="16">
        <f>'ALL VARS'!J12</f>
        <v>33.0350003</v>
      </c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A13" s="24">
        <f>'ALL VARS'!A13</f>
        <v>43964</v>
      </c>
      <c r="B13" s="16">
        <f>'ALL VARS'!F13</f>
        <v>4.4817694802564231E-4</v>
      </c>
      <c r="C13" s="16">
        <f>'ALL VARS'!G13</f>
        <v>-2.5401176991557837E-2</v>
      </c>
      <c r="D13" s="16">
        <f>'ALL VARS'!H13</f>
        <v>-1.4698871572495898E-2</v>
      </c>
      <c r="E13" s="16">
        <f>'ALL VARS'!AA13</f>
        <v>2.1362410423807297E-3</v>
      </c>
      <c r="F13" s="16">
        <f>'ALL VARS'!AC13</f>
        <v>-2.6883543799495542E-2</v>
      </c>
      <c r="G13" s="16">
        <f>'ALL VARS'!J13</f>
        <v>32.630000399999993</v>
      </c>
      <c r="I13" s="18" t="s">
        <v>46</v>
      </c>
      <c r="J13" s="18">
        <v>5</v>
      </c>
      <c r="K13" s="18">
        <v>3.8555050498917248E-3</v>
      </c>
      <c r="L13" s="18">
        <v>7.7110100997834492E-4</v>
      </c>
      <c r="M13" s="18">
        <v>2.0439258252294112</v>
      </c>
      <c r="N13" s="18">
        <v>9.2487211371698741E-2</v>
      </c>
    </row>
    <row r="14" spans="1:14" x14ac:dyDescent="0.25">
      <c r="A14" s="24">
        <f>'ALL VARS'!A14</f>
        <v>43963</v>
      </c>
      <c r="B14" s="16">
        <f>'ALL VARS'!F14</f>
        <v>-2.5401176991557837E-2</v>
      </c>
      <c r="C14" s="16">
        <f>'ALL VARS'!G14</f>
        <v>-1.4698871572495898E-2</v>
      </c>
      <c r="D14" s="16">
        <f>'ALL VARS'!H14</f>
        <v>9.1270288220883112E-3</v>
      </c>
      <c r="E14" s="16">
        <f>'ALL VARS'!AA14</f>
        <v>-2.6453647036272405E-3</v>
      </c>
      <c r="F14" s="16">
        <f>'ALL VARS'!AC14</f>
        <v>3.3150410835305545E-2</v>
      </c>
      <c r="G14" s="16">
        <f>'ALL VARS'!J14</f>
        <v>32.683000299999996</v>
      </c>
      <c r="I14" s="18" t="s">
        <v>47</v>
      </c>
      <c r="J14" s="18">
        <v>42</v>
      </c>
      <c r="K14" s="18">
        <v>1.584511630477365E-2</v>
      </c>
      <c r="L14" s="18">
        <v>3.7726467392318216E-4</v>
      </c>
    </row>
    <row r="15" spans="1:14" ht="15.75" thickBot="1" x14ac:dyDescent="0.3">
      <c r="A15" s="24">
        <f>'ALL VARS'!A15</f>
        <v>43962</v>
      </c>
      <c r="B15" s="16">
        <f>'ALL VARS'!F15</f>
        <v>-1.4698871572495898E-2</v>
      </c>
      <c r="C15" s="16">
        <f>'ALL VARS'!G15</f>
        <v>9.1270288220883112E-3</v>
      </c>
      <c r="D15" s="16">
        <f>'ALL VARS'!H15</f>
        <v>8.9592894728179693E-3</v>
      </c>
      <c r="E15" s="16">
        <f>'ALL VARS'!AA15</f>
        <v>4.2863747882977331E-2</v>
      </c>
      <c r="F15" s="16">
        <f>'ALL VARS'!AC15</f>
        <v>-0.51262936203629439</v>
      </c>
      <c r="G15" s="16">
        <f>'ALL VARS'!J15</f>
        <v>33.2550004</v>
      </c>
      <c r="I15" s="28" t="s">
        <v>48</v>
      </c>
      <c r="J15" s="28">
        <v>47</v>
      </c>
      <c r="K15" s="28">
        <v>1.9700621354665375E-2</v>
      </c>
      <c r="L15" s="28"/>
      <c r="M15" s="28"/>
      <c r="N15" s="28"/>
    </row>
    <row r="16" spans="1:14" ht="15.75" thickBot="1" x14ac:dyDescent="0.3">
      <c r="A16" s="24">
        <f>'ALL VARS'!A16</f>
        <v>43959</v>
      </c>
      <c r="B16" s="16">
        <f>'ALL VARS'!F16</f>
        <v>9.1270288220883112E-3</v>
      </c>
      <c r="C16" s="16">
        <f>'ALL VARS'!G16</f>
        <v>8.9592894728179693E-3</v>
      </c>
      <c r="D16" s="16">
        <f>'ALL VARS'!H16</f>
        <v>2.0228309928424119E-4</v>
      </c>
      <c r="E16" s="16">
        <f>'ALL VARS'!AA16</f>
        <v>2.8136761843105738E-2</v>
      </c>
      <c r="F16" s="16">
        <f>'ALL VARS'!AC16</f>
        <v>-0.31413311996840693</v>
      </c>
      <c r="G16" s="16">
        <f>'ALL VARS'!J16</f>
        <v>34.050000400000002</v>
      </c>
    </row>
    <row r="17" spans="1:17" x14ac:dyDescent="0.25">
      <c r="A17" s="24">
        <f>'ALL VARS'!A17</f>
        <v>43958</v>
      </c>
      <c r="B17" s="16">
        <f>'ALL VARS'!F17</f>
        <v>8.9592894728179693E-3</v>
      </c>
      <c r="C17" s="16">
        <f>'ALL VARS'!G17</f>
        <v>2.0228309928424119E-4</v>
      </c>
      <c r="D17" s="16">
        <f>'ALL VARS'!H17</f>
        <v>1.2895694256002256E-3</v>
      </c>
      <c r="E17" s="16">
        <f>'ALL VARS'!AA17</f>
        <v>-3.582024853674988E-3</v>
      </c>
      <c r="F17" s="16">
        <f>'ALL VARS'!AC17</f>
        <v>3.6431014629989128E-2</v>
      </c>
      <c r="G17" s="16">
        <f>'ALL VARS'!J17</f>
        <v>35.044000400000002</v>
      </c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1:17" x14ac:dyDescent="0.25">
      <c r="A18" s="24">
        <f>'ALL VARS'!A18</f>
        <v>43957</v>
      </c>
      <c r="B18" s="16">
        <f>'ALL VARS'!F18</f>
        <v>2.0228309928424119E-4</v>
      </c>
      <c r="C18" s="16">
        <f>'ALL VARS'!G18</f>
        <v>1.2895694256002256E-3</v>
      </c>
      <c r="D18" s="16">
        <f>'ALL VARS'!H18</f>
        <v>4.5167588335029351E-3</v>
      </c>
      <c r="E18" s="16">
        <f>'ALL VARS'!AA18</f>
        <v>-3.8913929979446024E-4</v>
      </c>
      <c r="F18" s="16">
        <f>'ALL VARS'!AC18</f>
        <v>3.6518810720667545E-3</v>
      </c>
      <c r="G18" s="16">
        <f>'ALL VARS'!J18</f>
        <v>35.830000499999997</v>
      </c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4">
        <f>'ALL VARS'!A19</f>
        <v>43956</v>
      </c>
      <c r="B19" s="16">
        <f>'ALL VARS'!F19</f>
        <v>1.2895694256002256E-3</v>
      </c>
      <c r="C19" s="16">
        <f>'ALL VARS'!G19</f>
        <v>4.5167588335029351E-3</v>
      </c>
      <c r="D19" s="16">
        <f>'ALL VARS'!H19</f>
        <v>8.5292501975474666E-3</v>
      </c>
      <c r="E19" s="16">
        <f>'ALL VARS'!AA19</f>
        <v>3.6089485401624034E-3</v>
      </c>
      <c r="F19" s="16">
        <f>'ALL VARS'!AC19</f>
        <v>-2.9609649385371681E-2</v>
      </c>
      <c r="G19" s="16">
        <f>'ALL VARS'!J19</f>
        <v>37.010000400000003</v>
      </c>
      <c r="I19" s="18" t="s">
        <v>36</v>
      </c>
      <c r="J19" s="18">
        <v>-2.7737356747935229E-2</v>
      </c>
      <c r="K19" s="18">
        <v>0.11555543192372772</v>
      </c>
      <c r="L19" s="18">
        <v>-0.24003507482230044</v>
      </c>
      <c r="M19" s="18">
        <v>0.8114707758238584</v>
      </c>
      <c r="N19" s="18">
        <v>-0.26093765957449266</v>
      </c>
      <c r="O19" s="18">
        <v>0.20546294607862223</v>
      </c>
      <c r="P19" s="18">
        <v>-0.26093765957449266</v>
      </c>
      <c r="Q19" s="18">
        <v>0.20546294607862223</v>
      </c>
    </row>
    <row r="20" spans="1:17" x14ac:dyDescent="0.25">
      <c r="A20" s="24">
        <f>'ALL VARS'!A20</f>
        <v>43955</v>
      </c>
      <c r="B20" s="16">
        <f>'ALL VARS'!F20</f>
        <v>4.5167588335029351E-3</v>
      </c>
      <c r="C20" s="16">
        <f>'ALL VARS'!G20</f>
        <v>8.5292501975474666E-3</v>
      </c>
      <c r="D20" s="16">
        <f>'ALL VARS'!H20</f>
        <v>-1.0852015661224153E-2</v>
      </c>
      <c r="E20" s="16">
        <f>'ALL VARS'!AA20</f>
        <v>-1.9611588317032309E-2</v>
      </c>
      <c r="F20" s="16">
        <f>'ALL VARS'!AC20</f>
        <v>0.14548873490365472</v>
      </c>
      <c r="G20" s="16">
        <f>'ALL VARS'!J20</f>
        <v>37.796000499999998</v>
      </c>
      <c r="I20" s="18" t="s">
        <v>37</v>
      </c>
      <c r="J20" s="18">
        <v>-0.1341346772149743</v>
      </c>
      <c r="K20" s="18">
        <v>0.10980452144173278</v>
      </c>
      <c r="L20" s="18">
        <v>-1.2215769938595125</v>
      </c>
      <c r="M20" s="18">
        <v>0.22868018109074517</v>
      </c>
      <c r="N20" s="18">
        <v>-0.35572917282327099</v>
      </c>
      <c r="O20" s="18">
        <v>8.7459818393322369E-2</v>
      </c>
      <c r="P20" s="18">
        <v>-0.35572917282327099</v>
      </c>
      <c r="Q20" s="18">
        <v>8.7459818393322369E-2</v>
      </c>
    </row>
    <row r="21" spans="1:17" x14ac:dyDescent="0.25">
      <c r="A21" s="24">
        <f>'ALL VARS'!A21</f>
        <v>43952</v>
      </c>
      <c r="B21" s="16">
        <f>'ALL VARS'!F21</f>
        <v>8.5292501975474666E-3</v>
      </c>
      <c r="C21" s="16">
        <f>'ALL VARS'!G21</f>
        <v>-1.0852015661224153E-2</v>
      </c>
      <c r="D21" s="16">
        <f>'ALL VARS'!H21</f>
        <v>-2.9379858648651246E-2</v>
      </c>
      <c r="E21" s="16">
        <f>'ALL VARS'!AA21</f>
        <v>-2.4349354257541199E-3</v>
      </c>
      <c r="F21" s="16">
        <f>'ALL VARS'!AC21</f>
        <v>1.7829834655729519E-2</v>
      </c>
      <c r="G21" s="16">
        <f>'ALL VARS'!J21</f>
        <v>37.892000799999991</v>
      </c>
      <c r="I21" s="18" t="s">
        <v>23</v>
      </c>
      <c r="J21" s="18">
        <v>9.4196179321267004E-2</v>
      </c>
      <c r="K21" s="18">
        <v>8.5449505404669765E-2</v>
      </c>
      <c r="L21" s="18">
        <v>1.1023607319337303</v>
      </c>
      <c r="M21" s="18">
        <v>0.27658178609304535</v>
      </c>
      <c r="N21" s="18">
        <v>-7.8247904050782968E-2</v>
      </c>
      <c r="O21" s="18">
        <v>0.26664026269331698</v>
      </c>
      <c r="P21" s="18">
        <v>-7.8247904050782968E-2</v>
      </c>
      <c r="Q21" s="18">
        <v>0.26664026269331698</v>
      </c>
    </row>
    <row r="22" spans="1:17" x14ac:dyDescent="0.25">
      <c r="A22" s="24">
        <f>'ALL VARS'!A22</f>
        <v>43951</v>
      </c>
      <c r="B22" s="16">
        <f>'ALL VARS'!F22</f>
        <v>-1.0852015661224153E-2</v>
      </c>
      <c r="C22" s="16">
        <f>'ALL VARS'!G22</f>
        <v>-2.9379858648651246E-2</v>
      </c>
      <c r="D22" s="16">
        <f>'ALL VARS'!H22</f>
        <v>2.904386379946032E-2</v>
      </c>
      <c r="E22" s="16">
        <f>'ALL VARS'!AA22</f>
        <v>-1.461115374105099E-2</v>
      </c>
      <c r="F22" s="16">
        <f>'ALL VARS'!AC22</f>
        <v>9.8282047116823923E-2</v>
      </c>
      <c r="G22" s="16">
        <f>'ALL VARS'!J22</f>
        <v>38.488000700000001</v>
      </c>
      <c r="I22" s="18" t="s">
        <v>89</v>
      </c>
      <c r="J22" s="18">
        <v>1.6232525933143359E-2</v>
      </c>
      <c r="K22" s="18">
        <v>7.7524339290396408E-3</v>
      </c>
      <c r="L22" s="18">
        <v>2.0938618866957848</v>
      </c>
      <c r="M22" s="18">
        <v>4.2347386692813752E-2</v>
      </c>
      <c r="N22" s="18">
        <v>5.8748086863954357E-4</v>
      </c>
      <c r="O22" s="18">
        <v>3.1877570997647174E-2</v>
      </c>
      <c r="P22" s="18">
        <v>5.8748086863954357E-4</v>
      </c>
      <c r="Q22" s="18">
        <v>3.1877570997647174E-2</v>
      </c>
    </row>
    <row r="23" spans="1:17" ht="15.75" thickBot="1" x14ac:dyDescent="0.3">
      <c r="A23" s="24">
        <f>'ALL VARS'!A23</f>
        <v>43950</v>
      </c>
      <c r="B23" s="16">
        <f>'ALL VARS'!F23</f>
        <v>-2.9379858648651246E-2</v>
      </c>
      <c r="C23" s="16">
        <f>'ALL VARS'!G23</f>
        <v>2.904386379946032E-2</v>
      </c>
      <c r="D23" s="16">
        <f>'ALL VARS'!H23</f>
        <v>1.0667882350970269E-2</v>
      </c>
      <c r="E23" s="16">
        <f>'ALL VARS'!AA23</f>
        <v>8.9373622720029892E-5</v>
      </c>
      <c r="F23" s="16">
        <f>'ALL VARS'!AC23</f>
        <v>-5.1528436484776503E-4</v>
      </c>
      <c r="G23" s="16">
        <f>'ALL VARS'!J23</f>
        <v>39.449000699999999</v>
      </c>
      <c r="I23" s="28" t="s">
        <v>4</v>
      </c>
      <c r="J23" s="28">
        <v>1.8763125636096171E-4</v>
      </c>
      <c r="K23" s="28">
        <v>7.1329658197108735E-5</v>
      </c>
      <c r="L23" s="28">
        <v>2.6304802392641653</v>
      </c>
      <c r="M23" s="28">
        <v>1.1868663787108649E-2</v>
      </c>
      <c r="N23" s="28">
        <v>4.3682178285082789E-5</v>
      </c>
      <c r="O23" s="28">
        <v>3.3158033443684063E-4</v>
      </c>
      <c r="P23" s="28">
        <v>4.3682178285082789E-5</v>
      </c>
      <c r="Q23" s="28">
        <v>3.3158033443684063E-4</v>
      </c>
    </row>
    <row r="24" spans="1:17" x14ac:dyDescent="0.25">
      <c r="A24" s="24">
        <f>'ALL VARS'!A24</f>
        <v>43949</v>
      </c>
      <c r="B24" s="16">
        <f>'ALL VARS'!F24</f>
        <v>2.904386379946032E-2</v>
      </c>
      <c r="C24" s="16">
        <f>'ALL VARS'!G24</f>
        <v>1.0667882350970269E-2</v>
      </c>
      <c r="D24" s="16">
        <f>'ALL VARS'!H24</f>
        <v>1.5373998778727917E-2</v>
      </c>
      <c r="E24" s="16">
        <f>'ALL VARS'!AA24</f>
        <v>-2.3628370573706733E-3</v>
      </c>
      <c r="F24" s="16">
        <f>'ALL VARS'!AC24</f>
        <v>1.2632928444509832E-2</v>
      </c>
      <c r="G24" s="16">
        <f>'ALL VARS'!J24</f>
        <v>39.868000500000008</v>
      </c>
    </row>
    <row r="25" spans="1:17" x14ac:dyDescent="0.25">
      <c r="A25" s="24">
        <f>'ALL VARS'!A25</f>
        <v>43948</v>
      </c>
      <c r="B25" s="16">
        <f>'ALL VARS'!F25</f>
        <v>1.0667882350970269E-2</v>
      </c>
      <c r="C25" s="16">
        <f>'ALL VARS'!G25</f>
        <v>1.5373998778727917E-2</v>
      </c>
      <c r="D25" s="16">
        <f>'ALL VARS'!H25</f>
        <v>1.1879839917270655E-2</v>
      </c>
      <c r="E25" s="16">
        <f>'ALL VARS'!AA25</f>
        <v>-6.3268942419939245E-3</v>
      </c>
      <c r="F25" s="16">
        <f>'ALL VARS'!AC25</f>
        <v>2.884120316759696E-2</v>
      </c>
      <c r="G25" s="16">
        <f>'ALL VARS'!J25</f>
        <v>40.656000200000001</v>
      </c>
    </row>
    <row r="26" spans="1:17" x14ac:dyDescent="0.25">
      <c r="A26" s="24">
        <f>'ALL VARS'!A26</f>
        <v>43945</v>
      </c>
      <c r="B26" s="16">
        <f>'ALL VARS'!F26</f>
        <v>1.5373998778727917E-2</v>
      </c>
      <c r="C26" s="16">
        <f>'ALL VARS'!G26</f>
        <v>1.1879839917270655E-2</v>
      </c>
      <c r="D26" s="16">
        <f>'ALL VARS'!H26</f>
        <v>-2.5965891780394849E-3</v>
      </c>
      <c r="E26" s="16">
        <f>'ALL VARS'!AA26</f>
        <v>-3.9555882986564843E-4</v>
      </c>
      <c r="F26" s="16">
        <f>'ALL VARS'!AC26</f>
        <v>1.5761077231808349E-3</v>
      </c>
      <c r="G26" s="16">
        <f>'ALL VARS'!J26</f>
        <v>41.230000000000004</v>
      </c>
    </row>
    <row r="27" spans="1:17" x14ac:dyDescent="0.25">
      <c r="A27" s="24">
        <f>'ALL VARS'!A27</f>
        <v>43944</v>
      </c>
      <c r="B27" s="16">
        <f>'ALL VARS'!F27</f>
        <v>1.1879839917270655E-2</v>
      </c>
      <c r="C27" s="16">
        <f>'ALL VARS'!G27</f>
        <v>-2.5965891780394849E-3</v>
      </c>
      <c r="D27" s="16">
        <f>'ALL VARS'!H27</f>
        <v>2.4971169199914333E-2</v>
      </c>
      <c r="E27" s="16">
        <f>'ALL VARS'!AA27</f>
        <v>-0.15415521598755705</v>
      </c>
      <c r="F27" s="16">
        <f>'ALL VARS'!AC27</f>
        <v>0.58386431635995695</v>
      </c>
      <c r="G27" s="16">
        <f>'ALL VARS'!J27</f>
        <v>41.42699970000001</v>
      </c>
    </row>
    <row r="28" spans="1:17" x14ac:dyDescent="0.25">
      <c r="A28" s="24">
        <f>'ALL VARS'!A28</f>
        <v>43943</v>
      </c>
      <c r="B28" s="16">
        <f>'ALL VARS'!F28</f>
        <v>-2.5965891780394849E-3</v>
      </c>
      <c r="C28" s="16">
        <f>'ALL VARS'!G28</f>
        <v>2.4971169199914333E-2</v>
      </c>
      <c r="D28" s="16">
        <f>'ALL VARS'!H28</f>
        <v>-3.1150323670921017E-2</v>
      </c>
      <c r="E28" s="16">
        <f>'ALL VARS'!AA28</f>
        <v>9.3617849514414364E-4</v>
      </c>
      <c r="F28" s="16">
        <f>'ALL VARS'!AC28</f>
        <v>-3.1039084266318855E-3</v>
      </c>
      <c r="G28" s="16">
        <f>'ALL VARS'!J28</f>
        <v>41.898999799999999</v>
      </c>
    </row>
    <row r="29" spans="1:17" x14ac:dyDescent="0.25">
      <c r="A29" s="24">
        <f>'ALL VARS'!A29</f>
        <v>43942</v>
      </c>
      <c r="B29" s="16">
        <f>'ALL VARS'!F29</f>
        <v>2.4971169199914333E-2</v>
      </c>
      <c r="C29" s="16">
        <f>'ALL VARS'!G29</f>
        <v>-3.1150323670921017E-2</v>
      </c>
      <c r="D29" s="16">
        <f>'ALL VARS'!H29</f>
        <v>1.9776887879946956E-3</v>
      </c>
      <c r="E29" s="16">
        <f>'ALL VARS'!AA29</f>
        <v>9.3990944887703521E-4</v>
      </c>
      <c r="F29" s="16">
        <f>'ALL VARS'!AC29</f>
        <v>-3.132256710759446E-3</v>
      </c>
      <c r="G29" s="16">
        <f>'ALL VARS'!J29</f>
        <v>41.881999999999998</v>
      </c>
    </row>
    <row r="30" spans="1:17" x14ac:dyDescent="0.25">
      <c r="A30" s="24">
        <f>'ALL VARS'!A30</f>
        <v>43941</v>
      </c>
      <c r="B30" s="16">
        <f>'ALL VARS'!F30</f>
        <v>-3.1150323670921017E-2</v>
      </c>
      <c r="C30" s="16">
        <f>'ALL VARS'!G30</f>
        <v>1.9776887879946956E-3</v>
      </c>
      <c r="D30" s="16">
        <f>'ALL VARS'!H30</f>
        <v>3.3138402111040632E-2</v>
      </c>
      <c r="E30" s="16">
        <f>'ALL VARS'!AA30</f>
        <v>5.5835721330073926E-3</v>
      </c>
      <c r="F30" s="16">
        <f>'ALL VARS'!AC30</f>
        <v>-1.6948985215330548E-2</v>
      </c>
      <c r="G30" s="16">
        <f>'ALL VARS'!J30</f>
        <v>42.178999699999999</v>
      </c>
    </row>
    <row r="31" spans="1:17" x14ac:dyDescent="0.25">
      <c r="A31" s="24">
        <f>'ALL VARS'!A31</f>
        <v>43938</v>
      </c>
      <c r="B31" s="16">
        <f>'ALL VARS'!F31</f>
        <v>1.9776887879946956E-3</v>
      </c>
      <c r="C31" s="16">
        <f>'ALL VARS'!G31</f>
        <v>3.3138402111040632E-2</v>
      </c>
      <c r="D31" s="16">
        <f>'ALL VARS'!H31</f>
        <v>-4.2482631253185207E-3</v>
      </c>
      <c r="E31" s="16">
        <f>'ALL VARS'!AA31</f>
        <v>-2.0034335113167491E-4</v>
      </c>
      <c r="F31" s="16">
        <f>'ALL VARS'!AC31</f>
        <v>3.525060323898486E-4</v>
      </c>
      <c r="G31" s="16">
        <f>'ALL VARS'!J31</f>
        <v>43.4549995</v>
      </c>
    </row>
    <row r="32" spans="1:17" x14ac:dyDescent="0.25">
      <c r="A32" s="24">
        <f>'ALL VARS'!A32</f>
        <v>43937</v>
      </c>
      <c r="B32" s="16">
        <f>'ALL VARS'!F32</f>
        <v>3.3138402111040632E-2</v>
      </c>
      <c r="C32" s="16">
        <f>'ALL VARS'!G32</f>
        <v>-4.2482631253185207E-3</v>
      </c>
      <c r="D32" s="16">
        <f>'ALL VARS'!H32</f>
        <v>-2.1026256366684357E-2</v>
      </c>
      <c r="E32" s="16">
        <f>'ALL VARS'!AA32</f>
        <v>-2.5984904172533335E-4</v>
      </c>
      <c r="F32" s="16">
        <f>'ALL VARS'!AC32</f>
        <v>1.6762735404178898E-5</v>
      </c>
      <c r="G32" s="16">
        <f>'ALL VARS'!J32</f>
        <v>45.149999499999993</v>
      </c>
    </row>
    <row r="33" spans="1:7" x14ac:dyDescent="0.25">
      <c r="A33" s="24">
        <f>'ALL VARS'!A33</f>
        <v>43936</v>
      </c>
      <c r="B33" s="16">
        <f>'ALL VARS'!F33</f>
        <v>-4.2482631253185207E-3</v>
      </c>
      <c r="C33" s="16">
        <f>'ALL VARS'!G33</f>
        <v>-2.1026256366684357E-2</v>
      </c>
      <c r="D33" s="16">
        <f>'ALL VARS'!H33</f>
        <v>1.2965422809946055E-2</v>
      </c>
      <c r="E33" s="16">
        <f>'ALL VARS'!AA33</f>
        <v>-9.3827200684367715E-2</v>
      </c>
      <c r="F33" s="16">
        <f>'ALL VARS'!AC33</f>
        <v>-0.11310780713244895</v>
      </c>
      <c r="G33" s="16">
        <f>'ALL VARS'!J33</f>
        <v>46.419999600000004</v>
      </c>
    </row>
    <row r="34" spans="1:7" x14ac:dyDescent="0.25">
      <c r="A34" s="24">
        <f>'ALL VARS'!A34</f>
        <v>43935</v>
      </c>
      <c r="B34" s="16">
        <f>'ALL VARS'!F34</f>
        <v>-2.1026256366684357E-2</v>
      </c>
      <c r="C34" s="16">
        <f>'ALL VARS'!G34</f>
        <v>1.2965422809946055E-2</v>
      </c>
      <c r="D34" s="16">
        <f>'ALL VARS'!H34</f>
        <v>-6.4023280464834062E-3</v>
      </c>
      <c r="E34" s="16">
        <f>'ALL VARS'!AA34</f>
        <v>1.4704015034069231E-2</v>
      </c>
      <c r="F34" s="16">
        <f>'ALL VARS'!AC34</f>
        <v>4.6133714626885244E-2</v>
      </c>
      <c r="G34" s="16">
        <f>'ALL VARS'!J34</f>
        <v>48.352000000000004</v>
      </c>
    </row>
    <row r="35" spans="1:7" x14ac:dyDescent="0.25">
      <c r="A35" s="24">
        <f>'ALL VARS'!A35</f>
        <v>43934</v>
      </c>
      <c r="B35" s="16">
        <f>'ALL VARS'!F35</f>
        <v>1.2965422809946055E-2</v>
      </c>
      <c r="C35" s="16">
        <f>'ALL VARS'!G35</f>
        <v>-6.4023280464834062E-3</v>
      </c>
      <c r="D35" s="16">
        <f>'ALL VARS'!H35</f>
        <v>1.729890853793448E-2</v>
      </c>
      <c r="E35" s="16">
        <f>'ALL VARS'!AA35</f>
        <v>-6.1824379942844046E-3</v>
      </c>
      <c r="F35" s="16">
        <f>'ALL VARS'!AC35</f>
        <v>-3.4463946725156971E-2</v>
      </c>
      <c r="G35" s="16">
        <f>'ALL VARS'!J35</f>
        <v>50.789000299999998</v>
      </c>
    </row>
    <row r="36" spans="1:7" x14ac:dyDescent="0.25">
      <c r="A36" s="24">
        <f>'ALL VARS'!A36</f>
        <v>43930</v>
      </c>
      <c r="B36" s="16">
        <f>'ALL VARS'!F36</f>
        <v>-6.4023280464834062E-3</v>
      </c>
      <c r="C36" s="16">
        <f>'ALL VARS'!G36</f>
        <v>1.729890853793448E-2</v>
      </c>
      <c r="D36" s="16">
        <f>'ALL VARS'!H36</f>
        <v>2.2888078899761091E-2</v>
      </c>
      <c r="E36" s="16">
        <f>'ALL VARS'!AA36</f>
        <v>1.1306443595853824E-2</v>
      </c>
      <c r="F36" s="16">
        <f>'ALL VARS'!AC36</f>
        <v>8.4883029032415333E-2</v>
      </c>
      <c r="G36" s="16">
        <f>'ALL VARS'!J36</f>
        <v>52.722000499999993</v>
      </c>
    </row>
    <row r="37" spans="1:7" x14ac:dyDescent="0.25">
      <c r="A37" s="24">
        <f>'ALL VARS'!A37</f>
        <v>43929</v>
      </c>
      <c r="B37" s="16">
        <f>'ALL VARS'!F37</f>
        <v>1.729890853793448E-2</v>
      </c>
      <c r="C37" s="16">
        <f>'ALL VARS'!G37</f>
        <v>2.2888078899761091E-2</v>
      </c>
      <c r="D37" s="16">
        <f>'ALL VARS'!H37</f>
        <v>1.5743313464585205E-3</v>
      </c>
      <c r="E37" s="16">
        <f>'ALL VARS'!AA37</f>
        <v>-2.263750268659717E-3</v>
      </c>
      <c r="F37" s="16">
        <f>'ALL VARS'!AC37</f>
        <v>-2.1658412100877784E-2</v>
      </c>
      <c r="G37" s="16">
        <f>'ALL VARS'!J37</f>
        <v>54.782000800000006</v>
      </c>
    </row>
    <row r="38" spans="1:7" x14ac:dyDescent="0.25">
      <c r="A38" s="24">
        <f>'ALL VARS'!A38</f>
        <v>43928</v>
      </c>
      <c r="B38" s="16">
        <f>'ALL VARS'!F38</f>
        <v>2.2888078899761091E-2</v>
      </c>
      <c r="C38" s="16">
        <f>'ALL VARS'!G38</f>
        <v>1.5743313464585205E-3</v>
      </c>
      <c r="D38" s="16">
        <f>'ALL VARS'!H38</f>
        <v>5.0578545857092143E-2</v>
      </c>
      <c r="E38" s="16">
        <f>'ALL VARS'!AA38</f>
        <v>-7.1723618513524681E-3</v>
      </c>
      <c r="F38" s="16">
        <f>'ALL VARS'!AC38</f>
        <v>-7.9358536638549096E-2</v>
      </c>
      <c r="G38" s="16">
        <f>'ALL VARS'!J38</f>
        <v>56.279000499999995</v>
      </c>
    </row>
    <row r="39" spans="1:7" x14ac:dyDescent="0.25">
      <c r="A39" s="24">
        <f>'ALL VARS'!A39</f>
        <v>43927</v>
      </c>
      <c r="B39" s="16">
        <f>'ALL VARS'!F39</f>
        <v>1.5743313464585205E-3</v>
      </c>
      <c r="C39" s="16">
        <f>'ALL VARS'!G39</f>
        <v>5.0578545857092143E-2</v>
      </c>
      <c r="D39" s="16">
        <f>'ALL VARS'!H39</f>
        <v>-1.2177617796472343E-2</v>
      </c>
      <c r="E39" s="16">
        <f>'ALL VARS'!AA39</f>
        <v>-4.4339116250188826E-3</v>
      </c>
      <c r="F39" s="16">
        <f>'ALL VARS'!AC39</f>
        <v>-5.6308422044665941E-2</v>
      </c>
      <c r="G39" s="16">
        <f>'ALL VARS'!J39</f>
        <v>57.914000299999998</v>
      </c>
    </row>
    <row r="40" spans="1:7" x14ac:dyDescent="0.25">
      <c r="A40" s="24">
        <f>'ALL VARS'!A40</f>
        <v>43924</v>
      </c>
      <c r="B40" s="16">
        <f>'ALL VARS'!F40</f>
        <v>5.0578545857092143E-2</v>
      </c>
      <c r="C40" s="16">
        <f>'ALL VARS'!G40</f>
        <v>-1.2177617796472343E-2</v>
      </c>
      <c r="D40" s="16">
        <f>'ALL VARS'!H40</f>
        <v>1.7194200807451526E-2</v>
      </c>
      <c r="E40" s="16">
        <f>'ALL VARS'!AA40</f>
        <v>-8.8854706097890382E-3</v>
      </c>
      <c r="F40" s="16">
        <f>'ALL VARS'!AC40</f>
        <v>-0.12993660381104172</v>
      </c>
      <c r="G40" s="16">
        <f>'ALL VARS'!J40</f>
        <v>59.8380005</v>
      </c>
    </row>
    <row r="41" spans="1:7" x14ac:dyDescent="0.25">
      <c r="A41" s="24">
        <f>'ALL VARS'!A41</f>
        <v>43923</v>
      </c>
      <c r="B41" s="16">
        <f>'ALL VARS'!F41</f>
        <v>-1.2177617796472343E-2</v>
      </c>
      <c r="C41" s="16">
        <f>'ALL VARS'!G41</f>
        <v>1.7194200807451526E-2</v>
      </c>
      <c r="D41" s="16">
        <f>'ALL VARS'!H41</f>
        <v>-3.7551904604495374E-2</v>
      </c>
      <c r="E41" s="16">
        <f>'ALL VARS'!AA41</f>
        <v>-5.0734229836763003E-3</v>
      </c>
      <c r="F41" s="16">
        <f>'ALL VARS'!AC41</f>
        <v>-8.489100687906255E-2</v>
      </c>
      <c r="G41" s="16">
        <f>'ALL VARS'!J41</f>
        <v>61.947000500000001</v>
      </c>
    </row>
    <row r="42" spans="1:7" x14ac:dyDescent="0.25">
      <c r="A42" s="24">
        <f>'ALL VARS'!A42</f>
        <v>43922</v>
      </c>
      <c r="B42" s="16">
        <f>'ALL VARS'!F42</f>
        <v>1.7194200807451526E-2</v>
      </c>
      <c r="C42" s="16">
        <f>'ALL VARS'!G42</f>
        <v>-3.7551904604495374E-2</v>
      </c>
      <c r="D42" s="16">
        <f>'ALL VARS'!H42</f>
        <v>2.6099613068988042E-2</v>
      </c>
      <c r="E42" s="16">
        <f>'ALL VARS'!AA42</f>
        <v>1.5602237417408E-3</v>
      </c>
      <c r="F42" s="16">
        <f>'ALL VARS'!AC42</f>
        <v>2.9131703686024218E-2</v>
      </c>
      <c r="G42" s="16">
        <f>'ALL VARS'!J42</f>
        <v>63.886000100000004</v>
      </c>
    </row>
    <row r="43" spans="1:7" x14ac:dyDescent="0.25">
      <c r="A43" s="24">
        <f>'ALL VARS'!A43</f>
        <v>43921</v>
      </c>
      <c r="B43" s="16">
        <f>'ALL VARS'!F43</f>
        <v>-3.7551904604495374E-2</v>
      </c>
      <c r="C43" s="16">
        <f>'ALL VARS'!G43</f>
        <v>2.6099613068988042E-2</v>
      </c>
      <c r="D43" s="16">
        <f>'ALL VARS'!H43</f>
        <v>2.7648809446036929E-2</v>
      </c>
      <c r="E43" s="16">
        <f>'ALL VARS'!AA43</f>
        <v>-7.2395325777838907E-4</v>
      </c>
      <c r="F43" s="16">
        <f>'ALL VARS'!AC43</f>
        <v>-1.5136770454100701E-2</v>
      </c>
      <c r="G43" s="16">
        <f>'ALL VARS'!J43</f>
        <v>66.123000399999995</v>
      </c>
    </row>
    <row r="44" spans="1:7" x14ac:dyDescent="0.25">
      <c r="A44" s="24">
        <f>'ALL VARS'!A44</f>
        <v>43920</v>
      </c>
      <c r="B44" s="16">
        <f>'ALL VARS'!F44</f>
        <v>2.6099613068988042E-2</v>
      </c>
      <c r="C44" s="16">
        <f>'ALL VARS'!G44</f>
        <v>2.7648809446036929E-2</v>
      </c>
      <c r="D44" s="16">
        <f>'ALL VARS'!H44</f>
        <v>-5.1117326046437227E-2</v>
      </c>
      <c r="E44" s="16">
        <f>'ALL VARS'!AA44</f>
        <v>1.2187239745035489E-3</v>
      </c>
      <c r="F44" s="16">
        <f>'ALL VARS'!AC44</f>
        <v>2.8602831821480001E-2</v>
      </c>
      <c r="G44" s="16">
        <f>'ALL VARS'!J44</f>
        <v>68.684000400000002</v>
      </c>
    </row>
    <row r="45" spans="1:7" x14ac:dyDescent="0.25">
      <c r="A45" s="24">
        <f>'ALL VARS'!A45</f>
        <v>43917</v>
      </c>
      <c r="B45" s="16">
        <f>'ALL VARS'!F45</f>
        <v>2.7648809446036929E-2</v>
      </c>
      <c r="C45" s="16">
        <f>'ALL VARS'!G45</f>
        <v>-5.1117326046437227E-2</v>
      </c>
      <c r="D45" s="16">
        <f>'ALL VARS'!H45</f>
        <v>1.7657086927428463E-2</v>
      </c>
      <c r="E45" s="16">
        <f>'ALL VARS'!AA45</f>
        <v>-6.0568796149322972E-3</v>
      </c>
      <c r="F45" s="16">
        <f>'ALL VARS'!AC45</f>
        <v>-0.13748203037105541</v>
      </c>
      <c r="G45" s="16">
        <f>'ALL VARS'!J45</f>
        <v>67.91300050000001</v>
      </c>
    </row>
    <row r="46" spans="1:7" x14ac:dyDescent="0.25">
      <c r="A46" s="24">
        <f>'ALL VARS'!A46</f>
        <v>43916</v>
      </c>
      <c r="B46" s="16">
        <f>'ALL VARS'!F46</f>
        <v>-5.1117326046437227E-2</v>
      </c>
      <c r="C46" s="16">
        <f>'ALL VARS'!G46</f>
        <v>1.7657086927428463E-2</v>
      </c>
      <c r="D46" s="16">
        <f>'ALL VARS'!H46</f>
        <v>4.5191001874909938E-2</v>
      </c>
      <c r="E46" s="16">
        <f>'ALL VARS'!AA46</f>
        <v>-8.0581010020851537E-2</v>
      </c>
      <c r="F46" s="16">
        <f>'ALL VARS'!AC46</f>
        <v>-1.9456680994470279</v>
      </c>
      <c r="G46" s="16">
        <f>'ALL VARS'!J46</f>
        <v>69.360000600000006</v>
      </c>
    </row>
    <row r="47" spans="1:7" x14ac:dyDescent="0.25">
      <c r="A47" s="24">
        <f>'ALL VARS'!A47</f>
        <v>43915</v>
      </c>
      <c r="B47" s="16">
        <f>'ALL VARS'!F47</f>
        <v>1.7657086927428463E-2</v>
      </c>
      <c r="C47" s="16">
        <f>'ALL VARS'!G47</f>
        <v>4.5191001874909938E-2</v>
      </c>
      <c r="D47" s="16">
        <f>'ALL VARS'!H47</f>
        <v>0.11957070036068938</v>
      </c>
      <c r="E47" s="16">
        <f>'ALL VARS'!AA47</f>
        <v>1.2419913174925709E-3</v>
      </c>
      <c r="F47" s="16">
        <f>'ALL VARS'!AC47</f>
        <v>2.8740289756477487E-2</v>
      </c>
      <c r="G47" s="16">
        <f>'ALL VARS'!J47</f>
        <v>68.355000700000005</v>
      </c>
    </row>
    <row r="48" spans="1:7" x14ac:dyDescent="0.25">
      <c r="A48" s="24">
        <f>'ALL VARS'!A48</f>
        <v>43914</v>
      </c>
      <c r="B48" s="16">
        <f>'ALL VARS'!F48</f>
        <v>4.5191001874909938E-2</v>
      </c>
      <c r="C48" s="16">
        <f>'ALL VARS'!G48</f>
        <v>0.11957070036068938</v>
      </c>
      <c r="D48" s="16">
        <f>'ALL VARS'!H48</f>
        <v>-5.2591151998453836E-2</v>
      </c>
      <c r="E48" s="16">
        <f>'ALL VARS'!AA48</f>
        <v>-1.1790363237885312E-2</v>
      </c>
      <c r="F48" s="16">
        <f>'ALL VARS'!AC48</f>
        <v>-0.2558920516869867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3110-D652-43CD-B048-718239552822}">
  <sheetPr codeName="Feuil19"/>
  <dimension ref="A1:Q48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VARS'!AE1</f>
        <v>Sent_t_k, k=3</v>
      </c>
      <c r="F1" s="16" t="str">
        <f>'ALL VARS'!AG1</f>
        <v>Sent_t_k, k=3 * (VIX_10_t  minus VIX_bar_10)</v>
      </c>
      <c r="G1" s="16" t="str">
        <f>'ALL VARS'!J1</f>
        <v>VIX_10_t</v>
      </c>
    </row>
    <row r="2" spans="1:14" x14ac:dyDescent="0.25">
      <c r="A2" s="24">
        <f>'ALL VARS'!A2</f>
        <v>43980</v>
      </c>
      <c r="B2" s="16">
        <f>'ALL VARS'!F2</f>
        <v>2.3093919546915233E-2</v>
      </c>
      <c r="C2" s="16">
        <f>'ALL VARS'!G2</f>
        <v>-4.5798180601685388E-3</v>
      </c>
      <c r="D2" s="16">
        <f>'ALL VARS'!H2</f>
        <v>-6.0894480094293875E-4</v>
      </c>
      <c r="E2" s="16">
        <f>'ALL VARS'!AE2</f>
        <v>-3.9798217536506728E-3</v>
      </c>
      <c r="F2" s="16">
        <f>'ALL VARS'!AG2</f>
        <v>6.2847390301063066E-2</v>
      </c>
      <c r="G2" s="16">
        <f>'ALL VARS'!J2</f>
        <v>29.423000200000001</v>
      </c>
      <c r="I2" s="18" t="s">
        <v>39</v>
      </c>
    </row>
    <row r="3" spans="1:14" ht="15.75" thickBot="1" x14ac:dyDescent="0.3">
      <c r="A3" s="24">
        <f>'ALL VARS'!A3</f>
        <v>43979</v>
      </c>
      <c r="B3" s="16">
        <f>'ALL VARS'!F3</f>
        <v>-4.5798180601685388E-3</v>
      </c>
      <c r="C3" s="16">
        <f>'ALL VARS'!G3</f>
        <v>-6.0894480094293875E-4</v>
      </c>
      <c r="D3" s="16">
        <f>'ALL VARS'!H3</f>
        <v>8.1792696244475296E-3</v>
      </c>
      <c r="E3" s="16">
        <f>'ALL VARS'!AE3</f>
        <v>1.3921647057884599E-4</v>
      </c>
      <c r="F3" s="16">
        <f>'ALL VARS'!AG3</f>
        <v>-2.1053023173090986E-3</v>
      </c>
      <c r="G3" s="16">
        <f>'ALL VARS'!J3</f>
        <v>30.092000099999996</v>
      </c>
    </row>
    <row r="4" spans="1:14" x14ac:dyDescent="0.25">
      <c r="A4" s="24">
        <f>'ALL VARS'!A4</f>
        <v>43978</v>
      </c>
      <c r="B4" s="16">
        <f>'ALL VARS'!F4</f>
        <v>-6.0894480094293875E-4</v>
      </c>
      <c r="C4" s="16">
        <f>'ALL VARS'!G4</f>
        <v>8.1792696244475296E-3</v>
      </c>
      <c r="D4" s="16">
        <f>'ALL VARS'!H4</f>
        <v>4.8223739412853626E-3</v>
      </c>
      <c r="E4" s="16">
        <f>'ALL VARS'!AE4</f>
        <v>-3.5606154811124438E-3</v>
      </c>
      <c r="F4" s="16">
        <f>'ALL VARS'!AG4</f>
        <v>5.1915585761811225E-2</v>
      </c>
      <c r="G4" s="16">
        <f>'ALL VARS'!J4</f>
        <v>30.634000099999998</v>
      </c>
      <c r="I4" s="26" t="s">
        <v>40</v>
      </c>
      <c r="J4" s="26"/>
    </row>
    <row r="5" spans="1:14" x14ac:dyDescent="0.25">
      <c r="A5" s="24">
        <f>'ALL VARS'!A5</f>
        <v>43977</v>
      </c>
      <c r="B5" s="16">
        <f>'ALL VARS'!F5</f>
        <v>8.1792696244475296E-3</v>
      </c>
      <c r="C5" s="16">
        <f>'ALL VARS'!G5</f>
        <v>4.8223739412853626E-3</v>
      </c>
      <c r="D5" s="16">
        <f>'ALL VARS'!H5</f>
        <v>1.0849210535487055E-2</v>
      </c>
      <c r="E5" s="16">
        <f>'ALL VARS'!AE5</f>
        <v>1.8336339409687766E-2</v>
      </c>
      <c r="F5" s="16">
        <f>'ALL VARS'!AG5</f>
        <v>-0.26815995914775115</v>
      </c>
      <c r="G5" s="16">
        <f>'ALL VARS'!J5</f>
        <v>30.590000099999997</v>
      </c>
      <c r="I5" s="18" t="s">
        <v>41</v>
      </c>
      <c r="J5" s="18">
        <v>0.40998229522181256</v>
      </c>
    </row>
    <row r="6" spans="1:14" x14ac:dyDescent="0.25">
      <c r="A6" s="24">
        <f>'ALL VARS'!A6</f>
        <v>43976</v>
      </c>
      <c r="B6" s="16">
        <f>'ALL VARS'!F6</f>
        <v>4.8223739412853626E-3</v>
      </c>
      <c r="C6" s="16">
        <f>'ALL VARS'!G6</f>
        <v>1.0849210535487055E-2</v>
      </c>
      <c r="D6" s="16">
        <f>'ALL VARS'!H6</f>
        <v>1.9280759189597432E-3</v>
      </c>
      <c r="E6" s="16">
        <f>'ALL VARS'!AE6</f>
        <v>-1.1964713310661899E-2</v>
      </c>
      <c r="F6" s="16">
        <f>'ALL VARS'!AG6</f>
        <v>0.17508573888544485</v>
      </c>
      <c r="G6" s="16">
        <f>'ALL VARS'!J6</f>
        <v>30.581000099999997</v>
      </c>
      <c r="I6" s="18" t="s">
        <v>42</v>
      </c>
      <c r="J6" s="18">
        <v>0.16808548239534549</v>
      </c>
    </row>
    <row r="7" spans="1:14" x14ac:dyDescent="0.25">
      <c r="A7" s="24">
        <f>'ALL VARS'!A7</f>
        <v>43973</v>
      </c>
      <c r="B7" s="16">
        <f>'ALL VARS'!F7</f>
        <v>1.0849210535487055E-2</v>
      </c>
      <c r="C7" s="16">
        <f>'ALL VARS'!G7</f>
        <v>1.9280759189597432E-3</v>
      </c>
      <c r="D7" s="16">
        <f>'ALL VARS'!H7</f>
        <v>-7.5144837132717695E-3</v>
      </c>
      <c r="E7" s="16">
        <f>'ALL VARS'!AE7</f>
        <v>7.4224460685514359E-4</v>
      </c>
      <c r="F7" s="16">
        <f>'ALL VARS'!AG7</f>
        <v>-1.0868323272270891E-2</v>
      </c>
      <c r="G7" s="16">
        <f>'ALL VARS'!J7</f>
        <v>30.572000099999997</v>
      </c>
      <c r="I7" s="18" t="s">
        <v>42</v>
      </c>
      <c r="J7" s="18">
        <v>6.5046004528235529E-2</v>
      </c>
    </row>
    <row r="8" spans="1:14" x14ac:dyDescent="0.25">
      <c r="A8" s="24">
        <f>'ALL VARS'!A8</f>
        <v>43972</v>
      </c>
      <c r="B8" s="16">
        <f>'ALL VARS'!F8</f>
        <v>1.9280759189597432E-3</v>
      </c>
      <c r="C8" s="16">
        <f>'ALL VARS'!G8</f>
        <v>-7.5144837132717695E-3</v>
      </c>
      <c r="D8" s="16">
        <f>'ALL VARS'!H8</f>
        <v>7.5307923146686901E-3</v>
      </c>
      <c r="E8" s="16">
        <f>'ALL VARS'!AE8</f>
        <v>1.5147639909597423E-3</v>
      </c>
      <c r="F8" s="16">
        <f>'ALL VARS'!AG8</f>
        <v>-2.1890625318014039E-2</v>
      </c>
      <c r="G8" s="16">
        <f>'ALL VARS'!J8</f>
        <v>30.763000099999999</v>
      </c>
      <c r="I8" s="18" t="s">
        <v>43</v>
      </c>
      <c r="J8" s="18">
        <v>1.9753982667022101E-2</v>
      </c>
    </row>
    <row r="9" spans="1:14" ht="15.75" thickBot="1" x14ac:dyDescent="0.3">
      <c r="A9" s="24">
        <f>'ALL VARS'!A9</f>
        <v>43971</v>
      </c>
      <c r="B9" s="16">
        <f>'ALL VARS'!F9</f>
        <v>-7.5144837132717695E-3</v>
      </c>
      <c r="C9" s="16">
        <f>'ALL VARS'!G9</f>
        <v>7.5307923146686901E-3</v>
      </c>
      <c r="D9" s="16">
        <f>'ALL VARS'!H9</f>
        <v>1.6845500851389788E-2</v>
      </c>
      <c r="E9" s="16">
        <f>'ALL VARS'!AE9</f>
        <v>8.7605665985715977E-3</v>
      </c>
      <c r="F9" s="16">
        <f>'ALL VARS'!AG9</f>
        <v>-0.12123317984238753</v>
      </c>
      <c r="G9" s="16">
        <f>'ALL VARS'!J9</f>
        <v>31.375999999999998</v>
      </c>
      <c r="I9" s="28" t="s">
        <v>44</v>
      </c>
      <c r="J9" s="28">
        <v>47</v>
      </c>
    </row>
    <row r="10" spans="1:14" x14ac:dyDescent="0.25">
      <c r="A10" s="24">
        <f>'ALL VARS'!A10</f>
        <v>43970</v>
      </c>
      <c r="B10" s="16">
        <f>'ALL VARS'!F10</f>
        <v>7.5307923146686901E-3</v>
      </c>
      <c r="C10" s="16">
        <f>'ALL VARS'!G10</f>
        <v>1.6845500851389788E-2</v>
      </c>
      <c r="D10" s="16">
        <f>'ALL VARS'!H10</f>
        <v>8.9044014875318926E-3</v>
      </c>
      <c r="E10" s="16">
        <f>'ALL VARS'!AE10</f>
        <v>8.3454580998488931E-3</v>
      </c>
      <c r="F10" s="16">
        <f>'ALL VARS'!AG10</f>
        <v>-0.11291829604625736</v>
      </c>
      <c r="G10" s="16">
        <f>'ALL VARS'!J10</f>
        <v>31.683999999999997</v>
      </c>
    </row>
    <row r="11" spans="1:14" ht="15.75" thickBot="1" x14ac:dyDescent="0.3">
      <c r="A11" s="24">
        <f>'ALL VARS'!A11</f>
        <v>43966</v>
      </c>
      <c r="B11" s="16">
        <f>'ALL VARS'!F11</f>
        <v>1.6845500851389788E-2</v>
      </c>
      <c r="C11" s="16">
        <f>'ALL VARS'!G11</f>
        <v>8.9044014875318926E-3</v>
      </c>
      <c r="D11" s="16">
        <f>'ALL VARS'!H11</f>
        <v>4.4817694802564231E-4</v>
      </c>
      <c r="E11" s="16">
        <f>'ALL VARS'!AE11</f>
        <v>-2.8211577105299855E-3</v>
      </c>
      <c r="F11" s="16">
        <f>'ALL VARS'!AG11</f>
        <v>3.4794773488604533E-2</v>
      </c>
      <c r="G11" s="16">
        <f>'ALL VARS'!J11</f>
        <v>32.881000200000003</v>
      </c>
      <c r="I11" s="18" t="s">
        <v>45</v>
      </c>
    </row>
    <row r="12" spans="1:14" x14ac:dyDescent="0.25">
      <c r="A12" s="24">
        <f>'ALL VARS'!A12</f>
        <v>43965</v>
      </c>
      <c r="B12" s="16">
        <f>'ALL VARS'!F12</f>
        <v>8.9044014875318926E-3</v>
      </c>
      <c r="C12" s="16">
        <f>'ALL VARS'!G12</f>
        <v>4.4817694802564231E-4</v>
      </c>
      <c r="D12" s="16">
        <f>'ALL VARS'!H12</f>
        <v>-2.5401176991557837E-2</v>
      </c>
      <c r="E12" s="16">
        <f>'ALL VARS'!AE12</f>
        <v>7.8871176383527114E-2</v>
      </c>
      <c r="F12" s="16">
        <f>'ALL VARS'!AG12</f>
        <v>-0.96061218004936466</v>
      </c>
      <c r="G12" s="16">
        <f>'ALL VARS'!J12</f>
        <v>33.0350003</v>
      </c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A13" s="24">
        <f>'ALL VARS'!A13</f>
        <v>43964</v>
      </c>
      <c r="B13" s="16">
        <f>'ALL VARS'!F13</f>
        <v>4.4817694802564231E-4</v>
      </c>
      <c r="C13" s="16">
        <f>'ALL VARS'!G13</f>
        <v>-2.5401176991557837E-2</v>
      </c>
      <c r="D13" s="16">
        <f>'ALL VARS'!H13</f>
        <v>-1.4698871572495898E-2</v>
      </c>
      <c r="E13" s="16">
        <f>'ALL VARS'!AE13</f>
        <v>2.135346429041922E-3</v>
      </c>
      <c r="F13" s="16">
        <f>'ALL VARS'!AG13</f>
        <v>-2.6872285530227084E-2</v>
      </c>
      <c r="G13" s="16">
        <f>'ALL VARS'!J13</f>
        <v>32.630000399999993</v>
      </c>
      <c r="I13" s="18" t="s">
        <v>46</v>
      </c>
      <c r="J13" s="18">
        <v>5</v>
      </c>
      <c r="K13" s="18">
        <v>3.3113884438869742E-3</v>
      </c>
      <c r="L13" s="18">
        <v>6.6227768877739489E-4</v>
      </c>
      <c r="M13" s="18">
        <v>1.6971912645379259</v>
      </c>
      <c r="N13" s="18">
        <v>0.15697171467901563</v>
      </c>
    </row>
    <row r="14" spans="1:14" x14ac:dyDescent="0.25">
      <c r="A14" s="24">
        <f>'ALL VARS'!A14</f>
        <v>43963</v>
      </c>
      <c r="B14" s="16">
        <f>'ALL VARS'!F14</f>
        <v>-2.5401176991557837E-2</v>
      </c>
      <c r="C14" s="16">
        <f>'ALL VARS'!G14</f>
        <v>-1.4698871572495898E-2</v>
      </c>
      <c r="D14" s="16">
        <f>'ALL VARS'!H14</f>
        <v>9.1270288220883112E-3</v>
      </c>
      <c r="E14" s="16">
        <f>'ALL VARS'!AE14</f>
        <v>-1.4721901458676289E-2</v>
      </c>
      <c r="F14" s="16">
        <f>'ALL VARS'!AG14</f>
        <v>0.1844876364165674</v>
      </c>
      <c r="G14" s="16">
        <f>'ALL VARS'!J14</f>
        <v>32.683000299999996</v>
      </c>
      <c r="I14" s="18" t="s">
        <v>47</v>
      </c>
      <c r="J14" s="18">
        <v>42</v>
      </c>
      <c r="K14" s="18">
        <v>1.6389232910778401E-2</v>
      </c>
      <c r="L14" s="18">
        <v>3.9021983120900953E-4</v>
      </c>
    </row>
    <row r="15" spans="1:14" ht="15.75" thickBot="1" x14ac:dyDescent="0.3">
      <c r="A15" s="24">
        <f>'ALL VARS'!A15</f>
        <v>43962</v>
      </c>
      <c r="B15" s="16">
        <f>'ALL VARS'!F15</f>
        <v>-1.4698871572495898E-2</v>
      </c>
      <c r="C15" s="16">
        <f>'ALL VARS'!G15</f>
        <v>9.1270288220883112E-3</v>
      </c>
      <c r="D15" s="16">
        <f>'ALL VARS'!H15</f>
        <v>8.9592894728179693E-3</v>
      </c>
      <c r="E15" s="16">
        <f>'ALL VARS'!AE15</f>
        <v>9.06511203372788E-3</v>
      </c>
      <c r="F15" s="16">
        <f>'ALL VARS'!AG15</f>
        <v>-0.10841428545456146</v>
      </c>
      <c r="G15" s="16">
        <f>'ALL VARS'!J15</f>
        <v>33.2550004</v>
      </c>
      <c r="I15" s="28" t="s">
        <v>48</v>
      </c>
      <c r="J15" s="28">
        <v>47</v>
      </c>
      <c r="K15" s="28">
        <v>1.9700621354665375E-2</v>
      </c>
      <c r="L15" s="28"/>
      <c r="M15" s="28"/>
      <c r="N15" s="28"/>
    </row>
    <row r="16" spans="1:14" ht="15.75" thickBot="1" x14ac:dyDescent="0.3">
      <c r="A16" s="24">
        <f>'ALL VARS'!A16</f>
        <v>43959</v>
      </c>
      <c r="B16" s="16">
        <f>'ALL VARS'!F16</f>
        <v>9.1270288220883112E-3</v>
      </c>
      <c r="C16" s="16">
        <f>'ALL VARS'!G16</f>
        <v>8.9592894728179693E-3</v>
      </c>
      <c r="D16" s="16">
        <f>'ALL VARS'!H16</f>
        <v>2.0228309928424119E-4</v>
      </c>
      <c r="E16" s="16">
        <f>'ALL VARS'!AE16</f>
        <v>4.2870673284897722E-3</v>
      </c>
      <c r="F16" s="16">
        <f>'ALL VARS'!AG16</f>
        <v>-4.7863000117872319E-2</v>
      </c>
      <c r="G16" s="16">
        <f>'ALL VARS'!J16</f>
        <v>34.050000400000002</v>
      </c>
    </row>
    <row r="17" spans="1:17" x14ac:dyDescent="0.25">
      <c r="A17" s="24">
        <f>'ALL VARS'!A17</f>
        <v>43958</v>
      </c>
      <c r="B17" s="16">
        <f>'ALL VARS'!F17</f>
        <v>8.9592894728179693E-3</v>
      </c>
      <c r="C17" s="16">
        <f>'ALL VARS'!G17</f>
        <v>2.0228309928424119E-4</v>
      </c>
      <c r="D17" s="16">
        <f>'ALL VARS'!H17</f>
        <v>1.2895694256002256E-3</v>
      </c>
      <c r="E17" s="16">
        <f>'ALL VARS'!AE17</f>
        <v>-3.0093028263110756E-2</v>
      </c>
      <c r="F17" s="16">
        <f>'ALL VARS'!AG17</f>
        <v>0.30606140317236841</v>
      </c>
      <c r="G17" s="16">
        <f>'ALL VARS'!J17</f>
        <v>35.044000400000002</v>
      </c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1:17" x14ac:dyDescent="0.25">
      <c r="A18" s="24">
        <f>'ALL VARS'!A18</f>
        <v>43957</v>
      </c>
      <c r="B18" s="16">
        <f>'ALL VARS'!F18</f>
        <v>2.0228309928424119E-4</v>
      </c>
      <c r="C18" s="16">
        <f>'ALL VARS'!G18</f>
        <v>1.2895694256002256E-3</v>
      </c>
      <c r="D18" s="16">
        <f>'ALL VARS'!H18</f>
        <v>4.5167588335029351E-3</v>
      </c>
      <c r="E18" s="16">
        <f>'ALL VARS'!AE18</f>
        <v>-3.3260198391362921E-3</v>
      </c>
      <c r="F18" s="16">
        <f>'ALL VARS'!AG18</f>
        <v>3.121306149822406E-2</v>
      </c>
      <c r="G18" s="16">
        <f>'ALL VARS'!J18</f>
        <v>35.830000499999997</v>
      </c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4">
        <f>'ALL VARS'!A19</f>
        <v>43956</v>
      </c>
      <c r="B19" s="16">
        <f>'ALL VARS'!F19</f>
        <v>1.2895694256002256E-3</v>
      </c>
      <c r="C19" s="16">
        <f>'ALL VARS'!G19</f>
        <v>4.5167588335029351E-3</v>
      </c>
      <c r="D19" s="16">
        <f>'ALL VARS'!H19</f>
        <v>8.5292501975474666E-3</v>
      </c>
      <c r="E19" s="16">
        <f>'ALL VARS'!AE19</f>
        <v>4.9249058986688923E-2</v>
      </c>
      <c r="F19" s="16">
        <f>'ALL VARS'!AG19</f>
        <v>-0.40406432868940989</v>
      </c>
      <c r="G19" s="16">
        <f>'ALL VARS'!J19</f>
        <v>37.010000400000003</v>
      </c>
      <c r="I19" s="18" t="s">
        <v>36</v>
      </c>
      <c r="J19" s="18">
        <v>-1.7566958095095536E-2</v>
      </c>
      <c r="K19" s="18">
        <v>0.11865121223271916</v>
      </c>
      <c r="L19" s="18">
        <v>-0.14805544557471692</v>
      </c>
      <c r="M19" s="18">
        <v>0.88300754433404882</v>
      </c>
      <c r="N19" s="18">
        <v>-0.25701479851917425</v>
      </c>
      <c r="O19" s="18">
        <v>0.22188088232898318</v>
      </c>
      <c r="P19" s="18">
        <v>-0.25701479851917425</v>
      </c>
      <c r="Q19" s="18">
        <v>0.22188088232898318</v>
      </c>
    </row>
    <row r="20" spans="1:17" x14ac:dyDescent="0.25">
      <c r="A20" s="24">
        <f>'ALL VARS'!A20</f>
        <v>43955</v>
      </c>
      <c r="B20" s="16">
        <f>'ALL VARS'!F20</f>
        <v>4.5167588335029351E-3</v>
      </c>
      <c r="C20" s="16">
        <f>'ALL VARS'!G20</f>
        <v>8.5292501975474666E-3</v>
      </c>
      <c r="D20" s="16">
        <f>'ALL VARS'!H20</f>
        <v>-1.0852015661224153E-2</v>
      </c>
      <c r="E20" s="16">
        <f>'ALL VARS'!AE20</f>
        <v>-2.0688179906048758E-2</v>
      </c>
      <c r="F20" s="16">
        <f>'ALL VARS'!AG20</f>
        <v>0.15347543877291178</v>
      </c>
      <c r="G20" s="16">
        <f>'ALL VARS'!J20</f>
        <v>37.796000499999998</v>
      </c>
      <c r="I20" s="18" t="s">
        <v>37</v>
      </c>
      <c r="J20" s="18">
        <v>-0.18297718463981572</v>
      </c>
      <c r="K20" s="18">
        <v>0.11032210189904411</v>
      </c>
      <c r="L20" s="18">
        <v>-1.658572321321963</v>
      </c>
      <c r="M20" s="18">
        <v>0.10465297861751127</v>
      </c>
      <c r="N20" s="18">
        <v>-0.40561619989874875</v>
      </c>
      <c r="O20" s="18">
        <v>3.966183061911735E-2</v>
      </c>
      <c r="P20" s="18">
        <v>-0.40561619989874875</v>
      </c>
      <c r="Q20" s="18">
        <v>3.966183061911735E-2</v>
      </c>
    </row>
    <row r="21" spans="1:17" x14ac:dyDescent="0.25">
      <c r="A21" s="24">
        <f>'ALL VARS'!A21</f>
        <v>43952</v>
      </c>
      <c r="B21" s="16">
        <f>'ALL VARS'!F21</f>
        <v>8.5292501975474666E-3</v>
      </c>
      <c r="C21" s="16">
        <f>'ALL VARS'!G21</f>
        <v>-1.0852015661224153E-2</v>
      </c>
      <c r="D21" s="16">
        <f>'ALL VARS'!H21</f>
        <v>-2.9379858648651246E-2</v>
      </c>
      <c r="E21" s="16">
        <f>'ALL VARS'!AE21</f>
        <v>-2.4350595179123964E-3</v>
      </c>
      <c r="F21" s="16">
        <f>'ALL VARS'!AG21</f>
        <v>1.7830743321577795E-2</v>
      </c>
      <c r="G21" s="16">
        <f>'ALL VARS'!J21</f>
        <v>37.892000799999991</v>
      </c>
      <c r="I21" s="18" t="s">
        <v>24</v>
      </c>
      <c r="J21" s="18">
        <v>-0.18752424148997468</v>
      </c>
      <c r="K21" s="18">
        <v>0.11846219318565993</v>
      </c>
      <c r="L21" s="18">
        <v>-1.5829880947424064</v>
      </c>
      <c r="M21" s="18">
        <v>0.12092625046471583</v>
      </c>
      <c r="N21" s="18">
        <v>-0.42659062603369902</v>
      </c>
      <c r="O21" s="18">
        <v>5.1542143053749628E-2</v>
      </c>
      <c r="P21" s="18">
        <v>-0.42659062603369902</v>
      </c>
      <c r="Q21" s="18">
        <v>5.1542143053749628E-2</v>
      </c>
    </row>
    <row r="22" spans="1:17" x14ac:dyDescent="0.25">
      <c r="A22" s="24">
        <f>'ALL VARS'!A22</f>
        <v>43951</v>
      </c>
      <c r="B22" s="16">
        <f>'ALL VARS'!F22</f>
        <v>-1.0852015661224153E-2</v>
      </c>
      <c r="C22" s="16">
        <f>'ALL VARS'!G22</f>
        <v>-2.9379858648651246E-2</v>
      </c>
      <c r="D22" s="16">
        <f>'ALL VARS'!H22</f>
        <v>2.904386379946032E-2</v>
      </c>
      <c r="E22" s="16">
        <f>'ALL VARS'!AE22</f>
        <v>-2.081331569868099E-3</v>
      </c>
      <c r="F22" s="16">
        <f>'ALL VARS'!AG22</f>
        <v>1.4000094108981408E-2</v>
      </c>
      <c r="G22" s="16">
        <f>'ALL VARS'!J22</f>
        <v>38.488000700000001</v>
      </c>
      <c r="I22" s="18" t="s">
        <v>90</v>
      </c>
      <c r="J22" s="18">
        <v>-2.7412626892410821E-3</v>
      </c>
      <c r="K22" s="18">
        <v>9.4104655926385613E-3</v>
      </c>
      <c r="L22" s="18">
        <v>-0.2912993690116103</v>
      </c>
      <c r="M22" s="18">
        <v>0.77225620384198368</v>
      </c>
      <c r="N22" s="18">
        <v>-2.1732351116747508E-2</v>
      </c>
      <c r="O22" s="18">
        <v>1.6249825738265344E-2</v>
      </c>
      <c r="P22" s="18">
        <v>-2.1732351116747508E-2</v>
      </c>
      <c r="Q22" s="18">
        <v>1.6249825738265344E-2</v>
      </c>
    </row>
    <row r="23" spans="1:17" ht="15.75" thickBot="1" x14ac:dyDescent="0.3">
      <c r="A23" s="24">
        <f>'ALL VARS'!A23</f>
        <v>43950</v>
      </c>
      <c r="B23" s="16">
        <f>'ALL VARS'!F23</f>
        <v>-2.9379858648651246E-2</v>
      </c>
      <c r="C23" s="16">
        <f>'ALL VARS'!G23</f>
        <v>2.904386379946032E-2</v>
      </c>
      <c r="D23" s="16">
        <f>'ALL VARS'!H23</f>
        <v>1.0667882350970269E-2</v>
      </c>
      <c r="E23" s="16">
        <f>'ALL VARS'!AE23</f>
        <v>7.7778522529771551E-4</v>
      </c>
      <c r="F23" s="16">
        <f>'ALL VARS'!AG23</f>
        <v>-4.4843271829876109E-3</v>
      </c>
      <c r="G23" s="16">
        <f>'ALL VARS'!J23</f>
        <v>39.449000699999999</v>
      </c>
      <c r="I23" s="28" t="s">
        <v>4</v>
      </c>
      <c r="J23" s="28">
        <v>1.1490731256533783E-4</v>
      </c>
      <c r="K23" s="28">
        <v>7.5504826549824679E-5</v>
      </c>
      <c r="L23" s="28">
        <v>1.5218538710172647</v>
      </c>
      <c r="M23" s="28">
        <v>0.13553977083638477</v>
      </c>
      <c r="N23" s="28">
        <v>-3.7467596369343773E-5</v>
      </c>
      <c r="O23" s="28">
        <v>2.6728222150001942E-4</v>
      </c>
      <c r="P23" s="28">
        <v>-3.7467596369343773E-5</v>
      </c>
      <c r="Q23" s="28">
        <v>2.6728222150001942E-4</v>
      </c>
    </row>
    <row r="24" spans="1:17" x14ac:dyDescent="0.25">
      <c r="A24" s="24">
        <f>'ALL VARS'!A24</f>
        <v>43949</v>
      </c>
      <c r="B24" s="16">
        <f>'ALL VARS'!F24</f>
        <v>2.904386379946032E-2</v>
      </c>
      <c r="C24" s="16">
        <f>'ALL VARS'!G24</f>
        <v>1.0667882350970269E-2</v>
      </c>
      <c r="D24" s="16">
        <f>'ALL VARS'!H24</f>
        <v>1.5373998778727917E-2</v>
      </c>
      <c r="E24" s="16">
        <f>'ALL VARS'!AE24</f>
        <v>-6.7563955073636547E-3</v>
      </c>
      <c r="F24" s="16">
        <f>'ALL VARS'!AG24</f>
        <v>3.612312610430795E-2</v>
      </c>
      <c r="G24" s="16">
        <f>'ALL VARS'!J24</f>
        <v>39.868000500000008</v>
      </c>
    </row>
    <row r="25" spans="1:17" x14ac:dyDescent="0.25">
      <c r="A25" s="24">
        <f>'ALL VARS'!A25</f>
        <v>43948</v>
      </c>
      <c r="B25" s="16">
        <f>'ALL VARS'!F25</f>
        <v>1.0667882350970269E-2</v>
      </c>
      <c r="C25" s="16">
        <f>'ALL VARS'!G25</f>
        <v>1.5373998778727917E-2</v>
      </c>
      <c r="D25" s="16">
        <f>'ALL VARS'!H25</f>
        <v>1.1879839917270655E-2</v>
      </c>
      <c r="E25" s="16">
        <f>'ALL VARS'!AE25</f>
        <v>-6.3269162402149609E-3</v>
      </c>
      <c r="F25" s="16">
        <f>'ALL VARS'!AG25</f>
        <v>2.8841303446681447E-2</v>
      </c>
      <c r="G25" s="16">
        <f>'ALL VARS'!J25</f>
        <v>40.656000200000001</v>
      </c>
    </row>
    <row r="26" spans="1:17" x14ac:dyDescent="0.25">
      <c r="A26" s="24">
        <f>'ALL VARS'!A26</f>
        <v>43945</v>
      </c>
      <c r="B26" s="16">
        <f>'ALL VARS'!F26</f>
        <v>1.5373998778727917E-2</v>
      </c>
      <c r="C26" s="16">
        <f>'ALL VARS'!G26</f>
        <v>1.1879839917270655E-2</v>
      </c>
      <c r="D26" s="16">
        <f>'ALL VARS'!H26</f>
        <v>-2.5965891780394849E-3</v>
      </c>
      <c r="E26" s="16">
        <f>'ALL VARS'!AE26</f>
        <v>-3.9556462087361418E-4</v>
      </c>
      <c r="F26" s="16">
        <f>'ALL VARS'!AG26</f>
        <v>1.5761307975042747E-3</v>
      </c>
      <c r="G26" s="16">
        <f>'ALL VARS'!J26</f>
        <v>41.230000000000004</v>
      </c>
    </row>
    <row r="27" spans="1:17" x14ac:dyDescent="0.25">
      <c r="A27" s="24">
        <f>'ALL VARS'!A27</f>
        <v>43944</v>
      </c>
      <c r="B27" s="16">
        <f>'ALL VARS'!F27</f>
        <v>1.1879839917270655E-2</v>
      </c>
      <c r="C27" s="16">
        <f>'ALL VARS'!G27</f>
        <v>-2.5965891780394849E-3</v>
      </c>
      <c r="D27" s="16">
        <f>'ALL VARS'!H27</f>
        <v>2.4971169199914333E-2</v>
      </c>
      <c r="E27" s="16">
        <f>'ALL VARS'!AE27</f>
        <v>-8.140031331253848E-3</v>
      </c>
      <c r="F27" s="16">
        <f>'ALL VARS'!AG27</f>
        <v>3.0830444483661065E-2</v>
      </c>
      <c r="G27" s="16">
        <f>'ALL VARS'!J27</f>
        <v>41.42699970000001</v>
      </c>
    </row>
    <row r="28" spans="1:17" x14ac:dyDescent="0.25">
      <c r="A28" s="24">
        <f>'ALL VARS'!A28</f>
        <v>43943</v>
      </c>
      <c r="B28" s="16">
        <f>'ALL VARS'!F28</f>
        <v>-2.5965891780394849E-3</v>
      </c>
      <c r="C28" s="16">
        <f>'ALL VARS'!G28</f>
        <v>2.4971169199914333E-2</v>
      </c>
      <c r="D28" s="16">
        <f>'ALL VARS'!H28</f>
        <v>-3.1150323670921017E-2</v>
      </c>
      <c r="E28" s="16">
        <f>'ALL VARS'!AE28</f>
        <v>1.3162351004172328E-2</v>
      </c>
      <c r="F28" s="16">
        <f>'ALL VARS'!AG28</f>
        <v>-4.3639896032696981E-2</v>
      </c>
      <c r="G28" s="16">
        <f>'ALL VARS'!J28</f>
        <v>41.898999799999999</v>
      </c>
    </row>
    <row r="29" spans="1:17" x14ac:dyDescent="0.25">
      <c r="A29" s="24">
        <f>'ALL VARS'!A29</f>
        <v>43942</v>
      </c>
      <c r="B29" s="16">
        <f>'ALL VARS'!F29</f>
        <v>2.4971169199914333E-2</v>
      </c>
      <c r="C29" s="16">
        <f>'ALL VARS'!G29</f>
        <v>-3.1150323670921017E-2</v>
      </c>
      <c r="D29" s="16">
        <f>'ALL VARS'!H29</f>
        <v>1.9776887879946956E-3</v>
      </c>
      <c r="E29" s="16">
        <f>'ALL VARS'!AE29</f>
        <v>1.4405125428120927E-2</v>
      </c>
      <c r="F29" s="16">
        <f>'ALL VARS'!AG29</f>
        <v>-4.8005210337518658E-2</v>
      </c>
      <c r="G29" s="16">
        <f>'ALL VARS'!J29</f>
        <v>41.881999999999998</v>
      </c>
    </row>
    <row r="30" spans="1:17" x14ac:dyDescent="0.25">
      <c r="A30" s="24">
        <f>'ALL VARS'!A30</f>
        <v>43941</v>
      </c>
      <c r="B30" s="16">
        <f>'ALL VARS'!F30</f>
        <v>-3.1150323670921017E-2</v>
      </c>
      <c r="C30" s="16">
        <f>'ALL VARS'!G30</f>
        <v>1.9776887879946956E-3</v>
      </c>
      <c r="D30" s="16">
        <f>'ALL VARS'!H30</f>
        <v>3.3138402111040632E-2</v>
      </c>
      <c r="E30" s="16">
        <f>'ALL VARS'!AE30</f>
        <v>4.1155622936773023E-2</v>
      </c>
      <c r="F30" s="16">
        <f>'ALL VARS'!AG30</f>
        <v>-0.12492827674948948</v>
      </c>
      <c r="G30" s="16">
        <f>'ALL VARS'!J30</f>
        <v>42.178999699999999</v>
      </c>
    </row>
    <row r="31" spans="1:17" x14ac:dyDescent="0.25">
      <c r="A31" s="24">
        <f>'ALL VARS'!A31</f>
        <v>43938</v>
      </c>
      <c r="B31" s="16">
        <f>'ALL VARS'!F31</f>
        <v>1.9776887879946956E-3</v>
      </c>
      <c r="C31" s="16">
        <f>'ALL VARS'!G31</f>
        <v>3.3138402111040632E-2</v>
      </c>
      <c r="D31" s="16">
        <f>'ALL VARS'!H31</f>
        <v>-4.2482631253185207E-3</v>
      </c>
      <c r="E31" s="16">
        <f>'ALL VARS'!AE31</f>
        <v>-2.0035101760917378E-4</v>
      </c>
      <c r="F31" s="16">
        <f>'ALL VARS'!AG31</f>
        <v>3.52519521629947E-4</v>
      </c>
      <c r="G31" s="16">
        <f>'ALL VARS'!J31</f>
        <v>43.4549995</v>
      </c>
    </row>
    <row r="32" spans="1:17" x14ac:dyDescent="0.25">
      <c r="A32" s="24">
        <f>'ALL VARS'!A32</f>
        <v>43937</v>
      </c>
      <c r="B32" s="16">
        <f>'ALL VARS'!F32</f>
        <v>3.3138402111040632E-2</v>
      </c>
      <c r="C32" s="16">
        <f>'ALL VARS'!G32</f>
        <v>-4.2482631253185207E-3</v>
      </c>
      <c r="D32" s="16">
        <f>'ALL VARS'!H32</f>
        <v>-2.1026256366684357E-2</v>
      </c>
      <c r="E32" s="16">
        <f>'ALL VARS'!AE32</f>
        <v>-1.5987603277906658E-3</v>
      </c>
      <c r="F32" s="16">
        <f>'ALL VARS'!AG32</f>
        <v>1.0313525180431902E-4</v>
      </c>
      <c r="G32" s="16">
        <f>'ALL VARS'!J32</f>
        <v>45.149999499999993</v>
      </c>
    </row>
    <row r="33" spans="1:7" x14ac:dyDescent="0.25">
      <c r="A33" s="24">
        <f>'ALL VARS'!A33</f>
        <v>43936</v>
      </c>
      <c r="B33" s="16">
        <f>'ALL VARS'!F33</f>
        <v>-4.2482631253185207E-3</v>
      </c>
      <c r="C33" s="16">
        <f>'ALL VARS'!G33</f>
        <v>-2.1026256366684357E-2</v>
      </c>
      <c r="D33" s="16">
        <f>'ALL VARS'!H33</f>
        <v>1.2965422809946055E-2</v>
      </c>
      <c r="E33" s="16">
        <f>'ALL VARS'!AE33</f>
        <v>-4.8918912088724287E-3</v>
      </c>
      <c r="F33" s="16">
        <f>'ALL VARS'!AG33</f>
        <v>-5.8971287998603877E-3</v>
      </c>
      <c r="G33" s="16">
        <f>'ALL VARS'!J33</f>
        <v>46.419999600000004</v>
      </c>
    </row>
    <row r="34" spans="1:7" x14ac:dyDescent="0.25">
      <c r="A34" s="24">
        <f>'ALL VARS'!A34</f>
        <v>43935</v>
      </c>
      <c r="B34" s="16">
        <f>'ALL VARS'!F34</f>
        <v>-2.1026256366684357E-2</v>
      </c>
      <c r="C34" s="16">
        <f>'ALL VARS'!G34</f>
        <v>1.2965422809946055E-2</v>
      </c>
      <c r="D34" s="16">
        <f>'ALL VARS'!H34</f>
        <v>-6.4023280464834062E-3</v>
      </c>
      <c r="E34" s="16">
        <f>'ALL VARS'!AE34</f>
        <v>1.5571135654968777E-2</v>
      </c>
      <c r="F34" s="16">
        <f>'ALL VARS'!AG34</f>
        <v>4.8854297758701898E-2</v>
      </c>
      <c r="G34" s="16">
        <f>'ALL VARS'!J34</f>
        <v>48.352000000000004</v>
      </c>
    </row>
    <row r="35" spans="1:7" x14ac:dyDescent="0.25">
      <c r="A35" s="24">
        <f>'ALL VARS'!A35</f>
        <v>43934</v>
      </c>
      <c r="B35" s="16">
        <f>'ALL VARS'!F35</f>
        <v>1.2965422809946055E-2</v>
      </c>
      <c r="C35" s="16">
        <f>'ALL VARS'!G35</f>
        <v>-6.4023280464834062E-3</v>
      </c>
      <c r="D35" s="16">
        <f>'ALL VARS'!H35</f>
        <v>1.729890853793448E-2</v>
      </c>
      <c r="E35" s="16">
        <f>'ALL VARS'!AE35</f>
        <v>-5.4089375490141513E-2</v>
      </c>
      <c r="F35" s="16">
        <f>'ALL VARS'!AG35</f>
        <v>-0.3015207523330794</v>
      </c>
      <c r="G35" s="16">
        <f>'ALL VARS'!J35</f>
        <v>50.789000299999998</v>
      </c>
    </row>
    <row r="36" spans="1:7" x14ac:dyDescent="0.25">
      <c r="A36" s="24">
        <f>'ALL VARS'!A36</f>
        <v>43930</v>
      </c>
      <c r="B36" s="16">
        <f>'ALL VARS'!F36</f>
        <v>-6.4023280464834062E-3</v>
      </c>
      <c r="C36" s="16">
        <f>'ALL VARS'!G36</f>
        <v>1.729890853793448E-2</v>
      </c>
      <c r="D36" s="16">
        <f>'ALL VARS'!H36</f>
        <v>2.2888078899761091E-2</v>
      </c>
      <c r="E36" s="16">
        <f>'ALL VARS'!AE36</f>
        <v>1.3995958575004331E-3</v>
      </c>
      <c r="F36" s="16">
        <f>'ALL VARS'!AG36</f>
        <v>1.0507453983976293E-2</v>
      </c>
      <c r="G36" s="16">
        <f>'ALL VARS'!J36</f>
        <v>52.722000499999993</v>
      </c>
    </row>
    <row r="37" spans="1:7" x14ac:dyDescent="0.25">
      <c r="A37" s="24">
        <f>'ALL VARS'!A37</f>
        <v>43929</v>
      </c>
      <c r="B37" s="16">
        <f>'ALL VARS'!F37</f>
        <v>1.729890853793448E-2</v>
      </c>
      <c r="C37" s="16">
        <f>'ALL VARS'!G37</f>
        <v>2.2888078899761091E-2</v>
      </c>
      <c r="D37" s="16">
        <f>'ALL VARS'!H37</f>
        <v>1.5743313464585205E-3</v>
      </c>
      <c r="E37" s="16">
        <f>'ALL VARS'!AE37</f>
        <v>-1.229785376597761E-3</v>
      </c>
      <c r="F37" s="16">
        <f>'ALL VARS'!AG37</f>
        <v>-1.1765961489098887E-2</v>
      </c>
      <c r="G37" s="16">
        <f>'ALL VARS'!J37</f>
        <v>54.782000800000006</v>
      </c>
    </row>
    <row r="38" spans="1:7" x14ac:dyDescent="0.25">
      <c r="A38" s="24">
        <f>'ALL VARS'!A38</f>
        <v>43928</v>
      </c>
      <c r="B38" s="16">
        <f>'ALL VARS'!F38</f>
        <v>2.2888078899761091E-2</v>
      </c>
      <c r="C38" s="16">
        <f>'ALL VARS'!G38</f>
        <v>1.5743313464585205E-3</v>
      </c>
      <c r="D38" s="16">
        <f>'ALL VARS'!H38</f>
        <v>5.0578545857092143E-2</v>
      </c>
      <c r="E38" s="16">
        <f>'ALL VARS'!AE38</f>
        <v>-2.3250662403076824E-2</v>
      </c>
      <c r="F38" s="16">
        <f>'ALL VARS'!AG38</f>
        <v>-0.25725675620188854</v>
      </c>
      <c r="G38" s="16">
        <f>'ALL VARS'!J38</f>
        <v>56.279000499999995</v>
      </c>
    </row>
    <row r="39" spans="1:7" x14ac:dyDescent="0.25">
      <c r="A39" s="24">
        <f>'ALL VARS'!A39</f>
        <v>43927</v>
      </c>
      <c r="B39" s="16">
        <f>'ALL VARS'!F39</f>
        <v>1.5743313464585205E-3</v>
      </c>
      <c r="C39" s="16">
        <f>'ALL VARS'!G39</f>
        <v>5.0578545857092143E-2</v>
      </c>
      <c r="D39" s="16">
        <f>'ALL VARS'!H39</f>
        <v>-1.2177617796472343E-2</v>
      </c>
      <c r="E39" s="16">
        <f>'ALL VARS'!AE39</f>
        <v>-4.5690593554150019E-4</v>
      </c>
      <c r="F39" s="16">
        <f>'ALL VARS'!AG39</f>
        <v>-5.80247294691494E-3</v>
      </c>
      <c r="G39" s="16">
        <f>'ALL VARS'!J39</f>
        <v>57.914000299999998</v>
      </c>
    </row>
    <row r="40" spans="1:7" x14ac:dyDescent="0.25">
      <c r="A40" s="24">
        <f>'ALL VARS'!A40</f>
        <v>43924</v>
      </c>
      <c r="B40" s="16">
        <f>'ALL VARS'!F40</f>
        <v>5.0578545857092143E-2</v>
      </c>
      <c r="C40" s="16">
        <f>'ALL VARS'!G40</f>
        <v>-1.2177617796472343E-2</v>
      </c>
      <c r="D40" s="16">
        <f>'ALL VARS'!H40</f>
        <v>1.7194200807451526E-2</v>
      </c>
      <c r="E40" s="16">
        <f>'ALL VARS'!AE40</f>
        <v>-0.10928384121435053</v>
      </c>
      <c r="F40" s="16">
        <f>'ALL VARS'!AG40</f>
        <v>-1.5981113215515994</v>
      </c>
      <c r="G40" s="16">
        <f>'ALL VARS'!J40</f>
        <v>59.8380005</v>
      </c>
    </row>
    <row r="41" spans="1:7" x14ac:dyDescent="0.25">
      <c r="A41" s="24">
        <f>'ALL VARS'!A41</f>
        <v>43923</v>
      </c>
      <c r="B41" s="16">
        <f>'ALL VARS'!F41</f>
        <v>-1.2177617796472343E-2</v>
      </c>
      <c r="C41" s="16">
        <f>'ALL VARS'!G41</f>
        <v>1.7194200807451526E-2</v>
      </c>
      <c r="D41" s="16">
        <f>'ALL VARS'!H41</f>
        <v>-3.7551904604495374E-2</v>
      </c>
      <c r="E41" s="16">
        <f>'ALL VARS'!AE41</f>
        <v>-5.0732335573699357E-3</v>
      </c>
      <c r="F41" s="16">
        <f>'ALL VARS'!AG41</f>
        <v>-8.4887837305004085E-2</v>
      </c>
      <c r="G41" s="16">
        <f>'ALL VARS'!J41</f>
        <v>61.947000500000001</v>
      </c>
    </row>
    <row r="42" spans="1:7" x14ac:dyDescent="0.25">
      <c r="A42" s="24">
        <f>'ALL VARS'!A42</f>
        <v>43922</v>
      </c>
      <c r="B42" s="16">
        <f>'ALL VARS'!F42</f>
        <v>1.7194200807451526E-2</v>
      </c>
      <c r="C42" s="16">
        <f>'ALL VARS'!G42</f>
        <v>-3.7551904604495374E-2</v>
      </c>
      <c r="D42" s="16">
        <f>'ALL VARS'!H42</f>
        <v>2.6099613068988042E-2</v>
      </c>
      <c r="E42" s="16">
        <f>'ALL VARS'!AE42</f>
        <v>1.5601840371188122E-3</v>
      </c>
      <c r="F42" s="16">
        <f>'ALL VARS'!AG42</f>
        <v>2.9130962341528704E-2</v>
      </c>
      <c r="G42" s="16">
        <f>'ALL VARS'!J42</f>
        <v>63.886000100000004</v>
      </c>
    </row>
    <row r="43" spans="1:7" x14ac:dyDescent="0.25">
      <c r="A43" s="24">
        <f>'ALL VARS'!A43</f>
        <v>43921</v>
      </c>
      <c r="B43" s="16">
        <f>'ALL VARS'!F43</f>
        <v>-3.7551904604495374E-2</v>
      </c>
      <c r="C43" s="16">
        <f>'ALL VARS'!G43</f>
        <v>2.6099613068988042E-2</v>
      </c>
      <c r="D43" s="16">
        <f>'ALL VARS'!H43</f>
        <v>2.7648809446036929E-2</v>
      </c>
      <c r="E43" s="16">
        <f>'ALL VARS'!AE43</f>
        <v>-7.2403282774974895E-4</v>
      </c>
      <c r="F43" s="16">
        <f>'ALL VARS'!AG43</f>
        <v>-1.5138434142161461E-2</v>
      </c>
      <c r="G43" s="16">
        <f>'ALL VARS'!J43</f>
        <v>66.123000399999995</v>
      </c>
    </row>
    <row r="44" spans="1:7" x14ac:dyDescent="0.25">
      <c r="A44" s="24">
        <f>'ALL VARS'!A44</f>
        <v>43920</v>
      </c>
      <c r="B44" s="16">
        <f>'ALL VARS'!F44</f>
        <v>2.6099613068988042E-2</v>
      </c>
      <c r="C44" s="16">
        <f>'ALL VARS'!G44</f>
        <v>2.7648809446036929E-2</v>
      </c>
      <c r="D44" s="16">
        <f>'ALL VARS'!H44</f>
        <v>-5.1117326046437227E-2</v>
      </c>
      <c r="E44" s="16">
        <f>'ALL VARS'!AE44</f>
        <v>1.2187704907452288E-3</v>
      </c>
      <c r="F44" s="16">
        <f>'ALL VARS'!AG44</f>
        <v>2.8603923534013413E-2</v>
      </c>
      <c r="G44" s="16">
        <f>'ALL VARS'!J44</f>
        <v>68.684000400000002</v>
      </c>
    </row>
    <row r="45" spans="1:7" x14ac:dyDescent="0.25">
      <c r="A45" s="24">
        <f>'ALL VARS'!A45</f>
        <v>43917</v>
      </c>
      <c r="B45" s="16">
        <f>'ALL VARS'!F45</f>
        <v>2.7648809446036929E-2</v>
      </c>
      <c r="C45" s="16">
        <f>'ALL VARS'!G45</f>
        <v>-5.1117326046437227E-2</v>
      </c>
      <c r="D45" s="16">
        <f>'ALL VARS'!H45</f>
        <v>1.7657086927428463E-2</v>
      </c>
      <c r="E45" s="16">
        <f>'ALL VARS'!AE45</f>
        <v>-2.6469691173722942E-2</v>
      </c>
      <c r="F45" s="16">
        <f>'ALL VARS'!AG45</f>
        <v>-0.60082205974287184</v>
      </c>
      <c r="G45" s="16">
        <f>'ALL VARS'!J45</f>
        <v>67.91300050000001</v>
      </c>
    </row>
    <row r="46" spans="1:7" x14ac:dyDescent="0.25">
      <c r="A46" s="24">
        <f>'ALL VARS'!A46</f>
        <v>43916</v>
      </c>
      <c r="B46" s="16">
        <f>'ALL VARS'!F46</f>
        <v>-5.1117326046437227E-2</v>
      </c>
      <c r="C46" s="16">
        <f>'ALL VARS'!G46</f>
        <v>1.7657086927428463E-2</v>
      </c>
      <c r="D46" s="16">
        <f>'ALL VARS'!H46</f>
        <v>4.5191001874909938E-2</v>
      </c>
      <c r="E46" s="16">
        <f>'ALL VARS'!AE46</f>
        <v>-4.2337027771192637E-2</v>
      </c>
      <c r="F46" s="16">
        <f>'ALL VARS'!AG46</f>
        <v>-1.0222483478240962</v>
      </c>
      <c r="G46" s="16">
        <f>'ALL VARS'!J46</f>
        <v>69.360000600000006</v>
      </c>
    </row>
    <row r="47" spans="1:7" x14ac:dyDescent="0.25">
      <c r="A47" s="24">
        <f>'ALL VARS'!A47</f>
        <v>43915</v>
      </c>
      <c r="B47" s="16">
        <f>'ALL VARS'!F47</f>
        <v>1.7657086927428463E-2</v>
      </c>
      <c r="C47" s="16">
        <f>'ALL VARS'!G47</f>
        <v>4.5191001874909938E-2</v>
      </c>
      <c r="D47" s="16">
        <f>'ALL VARS'!H47</f>
        <v>0.11957070036068938</v>
      </c>
      <c r="E47" s="16">
        <f>'ALL VARS'!AE47</f>
        <v>8.5324104378155189E-3</v>
      </c>
      <c r="F47" s="16">
        <f>'ALL VARS'!AG47</f>
        <v>0.19744417279751053</v>
      </c>
      <c r="G47" s="16">
        <f>'ALL VARS'!J47</f>
        <v>68.355000700000005</v>
      </c>
    </row>
    <row r="48" spans="1:7" x14ac:dyDescent="0.25">
      <c r="A48" s="24">
        <f>'ALL VARS'!A48</f>
        <v>43914</v>
      </c>
      <c r="B48" s="16">
        <f>'ALL VARS'!F48</f>
        <v>4.5191001874909938E-2</v>
      </c>
      <c r="C48" s="16">
        <f>'ALL VARS'!G48</f>
        <v>0.11957070036068938</v>
      </c>
      <c r="D48" s="16">
        <f>'ALL VARS'!H48</f>
        <v>-5.2591151998453836E-2</v>
      </c>
      <c r="E48" s="16">
        <f>'ALL VARS'!AE48</f>
        <v>-8.9073539322370183E-3</v>
      </c>
      <c r="F48" s="16">
        <f>'ALL VARS'!AG48</f>
        <v>-0.19332068290298854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1324-CDAF-4E54-80DC-083FA7F7BC9E}">
  <sheetPr codeName="Feuil20"/>
  <dimension ref="A1:Q48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VARS'!AI1</f>
        <v>Sent_t_k, k=4</v>
      </c>
      <c r="F1" s="16" t="str">
        <f>'ALL VARS'!AK1</f>
        <v>Sent_t_k, k=4 * (VIX_10_t  minus VIX_bar_10)</v>
      </c>
      <c r="G1" s="16" t="str">
        <f>'ALL VARS'!J1</f>
        <v>VIX_10_t</v>
      </c>
    </row>
    <row r="2" spans="1:14" x14ac:dyDescent="0.25">
      <c r="A2" s="24">
        <f>'ALL VARS'!A2</f>
        <v>43980</v>
      </c>
      <c r="B2" s="16">
        <f>'ALL VARS'!F2</f>
        <v>2.3093919546915233E-2</v>
      </c>
      <c r="C2" s="16">
        <f>'ALL VARS'!G2</f>
        <v>-4.5798180601685388E-3</v>
      </c>
      <c r="D2" s="16">
        <f>'ALL VARS'!H2</f>
        <v>-6.0894480094293875E-4</v>
      </c>
      <c r="E2" s="16">
        <f>'ALL VARS'!AI2</f>
        <v>-7.955194694050792E-2</v>
      </c>
      <c r="F2" s="16">
        <f>'ALL VARS'!AK2</f>
        <v>1.2562452712846801</v>
      </c>
      <c r="G2" s="16">
        <f>'ALL VARS'!J2</f>
        <v>29.423000200000001</v>
      </c>
      <c r="I2" s="18" t="s">
        <v>39</v>
      </c>
    </row>
    <row r="3" spans="1:14" ht="15.75" thickBot="1" x14ac:dyDescent="0.3">
      <c r="A3" s="24">
        <f>'ALL VARS'!A3</f>
        <v>43979</v>
      </c>
      <c r="B3" s="16">
        <f>'ALL VARS'!F3</f>
        <v>-4.5798180601685388E-3</v>
      </c>
      <c r="C3" s="16">
        <f>'ALL VARS'!G3</f>
        <v>-6.0894480094293875E-4</v>
      </c>
      <c r="D3" s="16">
        <f>'ALL VARS'!H3</f>
        <v>8.1792696244475296E-3</v>
      </c>
      <c r="E3" s="16">
        <f>'ALL VARS'!AI3</f>
        <v>1.8791543484551196E-3</v>
      </c>
      <c r="F3" s="16">
        <f>'ALL VARS'!AK3</f>
        <v>-2.8417528385360297E-2</v>
      </c>
      <c r="G3" s="16">
        <f>'ALL VARS'!J3</f>
        <v>30.092000099999996</v>
      </c>
    </row>
    <row r="4" spans="1:14" x14ac:dyDescent="0.25">
      <c r="A4" s="24">
        <f>'ALL VARS'!A4</f>
        <v>43978</v>
      </c>
      <c r="B4" s="16">
        <f>'ALL VARS'!F4</f>
        <v>-6.0894480094293875E-4</v>
      </c>
      <c r="C4" s="16">
        <f>'ALL VARS'!G4</f>
        <v>8.1792696244475296E-3</v>
      </c>
      <c r="D4" s="16">
        <f>'ALL VARS'!H4</f>
        <v>4.8223739412853626E-3</v>
      </c>
      <c r="E4" s="16">
        <f>'ALL VARS'!AI4</f>
        <v>-7.1014121345705353E-2</v>
      </c>
      <c r="F4" s="16">
        <f>'ALL VARS'!AK4</f>
        <v>1.0354220293034244</v>
      </c>
      <c r="G4" s="16">
        <f>'ALL VARS'!J4</f>
        <v>30.634000099999998</v>
      </c>
      <c r="I4" s="26" t="s">
        <v>40</v>
      </c>
      <c r="J4" s="26"/>
    </row>
    <row r="5" spans="1:14" x14ac:dyDescent="0.25">
      <c r="A5" s="24">
        <f>'ALL VARS'!A5</f>
        <v>43977</v>
      </c>
      <c r="B5" s="16">
        <f>'ALL VARS'!F5</f>
        <v>8.1792696244475296E-3</v>
      </c>
      <c r="C5" s="16">
        <f>'ALL VARS'!G5</f>
        <v>4.8223739412853626E-3</v>
      </c>
      <c r="D5" s="16">
        <f>'ALL VARS'!H5</f>
        <v>1.0849210535487055E-2</v>
      </c>
      <c r="E5" s="16">
        <f>'ALL VARS'!AI5</f>
        <v>2.2719340723243277E-3</v>
      </c>
      <c r="F5" s="16">
        <f>'ALL VARS'!AK5</f>
        <v>-3.3225920092807108E-2</v>
      </c>
      <c r="G5" s="16">
        <f>'ALL VARS'!J5</f>
        <v>30.590000099999997</v>
      </c>
      <c r="I5" s="18" t="s">
        <v>41</v>
      </c>
      <c r="J5" s="18">
        <v>0.39361408751017313</v>
      </c>
    </row>
    <row r="6" spans="1:14" x14ac:dyDescent="0.25">
      <c r="A6" s="24">
        <f>'ALL VARS'!A6</f>
        <v>43976</v>
      </c>
      <c r="B6" s="16">
        <f>'ALL VARS'!F6</f>
        <v>4.8223739412853626E-3</v>
      </c>
      <c r="C6" s="16">
        <f>'ALL VARS'!G6</f>
        <v>1.0849210535487055E-2</v>
      </c>
      <c r="D6" s="16">
        <f>'ALL VARS'!H6</f>
        <v>1.9280759189597432E-3</v>
      </c>
      <c r="E6" s="16">
        <f>'ALL VARS'!AI6</f>
        <v>-1.1964590791802263E-2</v>
      </c>
      <c r="F6" s="16">
        <f>'ALL VARS'!AK6</f>
        <v>0.17508394600462024</v>
      </c>
      <c r="G6" s="16">
        <f>'ALL VARS'!J6</f>
        <v>30.581000099999997</v>
      </c>
      <c r="I6" s="18" t="s">
        <v>42</v>
      </c>
      <c r="J6" s="18">
        <v>0.15493204988646622</v>
      </c>
    </row>
    <row r="7" spans="1:14" x14ac:dyDescent="0.25">
      <c r="A7" s="24">
        <f>'ALL VARS'!A7</f>
        <v>43973</v>
      </c>
      <c r="B7" s="16">
        <f>'ALL VARS'!F7</f>
        <v>1.0849210535487055E-2</v>
      </c>
      <c r="C7" s="16">
        <f>'ALL VARS'!G7</f>
        <v>1.9280759189597432E-3</v>
      </c>
      <c r="D7" s="16">
        <f>'ALL VARS'!H7</f>
        <v>-7.5144837132717695E-3</v>
      </c>
      <c r="E7" s="16">
        <f>'ALL VARS'!AI7</f>
        <v>7.4225155210289398E-4</v>
      </c>
      <c r="F7" s="16">
        <f>'ALL VARS'!AK7</f>
        <v>-1.0868424968122986E-2</v>
      </c>
      <c r="G7" s="16">
        <f>'ALL VARS'!J7</f>
        <v>30.572000099999997</v>
      </c>
      <c r="I7" s="18" t="s">
        <v>42</v>
      </c>
      <c r="J7" s="18">
        <v>5.0639864161367759E-2</v>
      </c>
    </row>
    <row r="8" spans="1:14" x14ac:dyDescent="0.25">
      <c r="A8" s="24">
        <f>'ALL VARS'!A8</f>
        <v>43972</v>
      </c>
      <c r="B8" s="16">
        <f>'ALL VARS'!F8</f>
        <v>1.9280759189597432E-3</v>
      </c>
      <c r="C8" s="16">
        <f>'ALL VARS'!G8</f>
        <v>-7.5144837132717695E-3</v>
      </c>
      <c r="D8" s="16">
        <f>'ALL VARS'!H8</f>
        <v>7.5307923146686901E-3</v>
      </c>
      <c r="E8" s="16">
        <f>'ALL VARS'!AI8</f>
        <v>9.5738014578356685E-3</v>
      </c>
      <c r="F8" s="16">
        <f>'ALL VARS'!AK8</f>
        <v>-0.13835587710911401</v>
      </c>
      <c r="G8" s="16">
        <f>'ALL VARS'!J8</f>
        <v>30.763000099999999</v>
      </c>
      <c r="I8" s="18" t="s">
        <v>43</v>
      </c>
      <c r="J8" s="18">
        <v>1.990953570537422E-2</v>
      </c>
    </row>
    <row r="9" spans="1:14" ht="15.75" thickBot="1" x14ac:dyDescent="0.3">
      <c r="A9" s="24">
        <f>'ALL VARS'!A9</f>
        <v>43971</v>
      </c>
      <c r="B9" s="16">
        <f>'ALL VARS'!F9</f>
        <v>-7.5144837132717695E-3</v>
      </c>
      <c r="C9" s="16">
        <f>'ALL VARS'!G9</f>
        <v>7.5307923146686901E-3</v>
      </c>
      <c r="D9" s="16">
        <f>'ALL VARS'!H9</f>
        <v>1.6845500851389788E-2</v>
      </c>
      <c r="E9" s="16">
        <f>'ALL VARS'!AI9</f>
        <v>0.13323096533654652</v>
      </c>
      <c r="F9" s="16">
        <f>'ALL VARS'!AK9</f>
        <v>-1.8437179147583918</v>
      </c>
      <c r="G9" s="16">
        <f>'ALL VARS'!J9</f>
        <v>31.375999999999998</v>
      </c>
      <c r="I9" s="28" t="s">
        <v>44</v>
      </c>
      <c r="J9" s="28">
        <v>47</v>
      </c>
    </row>
    <row r="10" spans="1:14" x14ac:dyDescent="0.25">
      <c r="A10" s="24">
        <f>'ALL VARS'!A10</f>
        <v>43970</v>
      </c>
      <c r="B10" s="16">
        <f>'ALL VARS'!F10</f>
        <v>7.5307923146686901E-3</v>
      </c>
      <c r="C10" s="16">
        <f>'ALL VARS'!G10</f>
        <v>1.6845500851389788E-2</v>
      </c>
      <c r="D10" s="16">
        <f>'ALL VARS'!H10</f>
        <v>8.9044014875318926E-3</v>
      </c>
      <c r="E10" s="16">
        <f>'ALL VARS'!AI10</f>
        <v>8.3453369595011574E-3</v>
      </c>
      <c r="F10" s="16">
        <f>'ALL VARS'!AK10</f>
        <v>-0.11291665695569036</v>
      </c>
      <c r="G10" s="16">
        <f>'ALL VARS'!J10</f>
        <v>31.683999999999997</v>
      </c>
    </row>
    <row r="11" spans="1:14" ht="15.75" thickBot="1" x14ac:dyDescent="0.3">
      <c r="A11" s="24">
        <f>'ALL VARS'!A11</f>
        <v>43966</v>
      </c>
      <c r="B11" s="16">
        <f>'ALL VARS'!F11</f>
        <v>1.6845500851389788E-2</v>
      </c>
      <c r="C11" s="16">
        <f>'ALL VARS'!G11</f>
        <v>8.9044014875318926E-3</v>
      </c>
      <c r="D11" s="16">
        <f>'ALL VARS'!H11</f>
        <v>4.4817694802564231E-4</v>
      </c>
      <c r="E11" s="16">
        <f>'ALL VARS'!AI11</f>
        <v>-2.7990992655536742E-2</v>
      </c>
      <c r="F11" s="16">
        <f>'ALL VARS'!AK11</f>
        <v>0.34522715463065295</v>
      </c>
      <c r="G11" s="16">
        <f>'ALL VARS'!J11</f>
        <v>32.881000200000003</v>
      </c>
      <c r="I11" s="18" t="s">
        <v>45</v>
      </c>
    </row>
    <row r="12" spans="1:14" x14ac:dyDescent="0.25">
      <c r="A12" s="24">
        <f>'ALL VARS'!A12</f>
        <v>43965</v>
      </c>
      <c r="B12" s="16">
        <f>'ALL VARS'!F12</f>
        <v>8.9044014875318926E-3</v>
      </c>
      <c r="C12" s="16">
        <f>'ALL VARS'!G12</f>
        <v>4.4817694802564231E-4</v>
      </c>
      <c r="D12" s="16">
        <f>'ALL VARS'!H12</f>
        <v>-2.5401176991557837E-2</v>
      </c>
      <c r="E12" s="16">
        <f>'ALL VARS'!AI12</f>
        <v>5.2180861460409036E-3</v>
      </c>
      <c r="F12" s="16">
        <f>'ALL VARS'!AK12</f>
        <v>-6.3553725686290807E-2</v>
      </c>
      <c r="G12" s="16">
        <f>'ALL VARS'!J12</f>
        <v>33.0350003</v>
      </c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A13" s="24">
        <f>'ALL VARS'!A13</f>
        <v>43964</v>
      </c>
      <c r="B13" s="16">
        <f>'ALL VARS'!F13</f>
        <v>4.4817694802564231E-4</v>
      </c>
      <c r="C13" s="16">
        <f>'ALL VARS'!G13</f>
        <v>-2.5401176991557837E-2</v>
      </c>
      <c r="D13" s="16">
        <f>'ALL VARS'!H13</f>
        <v>-1.4698871572495898E-2</v>
      </c>
      <c r="E13" s="16">
        <f>'ALL VARS'!AI13</f>
        <v>2.1353841939272334E-3</v>
      </c>
      <c r="F13" s="16">
        <f>'ALL VARS'!AK13</f>
        <v>-2.6872760782751595E-2</v>
      </c>
      <c r="G13" s="16">
        <f>'ALL VARS'!J13</f>
        <v>32.630000399999993</v>
      </c>
      <c r="I13" s="18" t="s">
        <v>46</v>
      </c>
      <c r="J13" s="18">
        <v>5</v>
      </c>
      <c r="K13" s="18">
        <v>3.0522576505153977E-3</v>
      </c>
      <c r="L13" s="18">
        <v>6.1045153010307952E-4</v>
      </c>
      <c r="M13" s="18">
        <v>1.5400290815329949</v>
      </c>
      <c r="N13" s="18">
        <v>0.19876198514030932</v>
      </c>
    </row>
    <row r="14" spans="1:14" x14ac:dyDescent="0.25">
      <c r="A14" s="24">
        <f>'ALL VARS'!A14</f>
        <v>43963</v>
      </c>
      <c r="B14" s="16">
        <f>'ALL VARS'!F14</f>
        <v>-2.5401176991557837E-2</v>
      </c>
      <c r="C14" s="16">
        <f>'ALL VARS'!G14</f>
        <v>-1.4698871572495898E-2</v>
      </c>
      <c r="D14" s="16">
        <f>'ALL VARS'!H14</f>
        <v>9.1270288220883112E-3</v>
      </c>
      <c r="E14" s="16">
        <f>'ALL VARS'!AI14</f>
        <v>-1.4973801806830672E-2</v>
      </c>
      <c r="F14" s="16">
        <f>'ALL VARS'!AK14</f>
        <v>0.18764432782453253</v>
      </c>
      <c r="G14" s="16">
        <f>'ALL VARS'!J14</f>
        <v>32.683000299999996</v>
      </c>
      <c r="I14" s="18" t="s">
        <v>47</v>
      </c>
      <c r="J14" s="18">
        <v>42</v>
      </c>
      <c r="K14" s="18">
        <v>1.6648363704149977E-2</v>
      </c>
      <c r="L14" s="18">
        <v>3.963896120035709E-4</v>
      </c>
    </row>
    <row r="15" spans="1:14" ht="15.75" thickBot="1" x14ac:dyDescent="0.3">
      <c r="A15" s="24">
        <f>'ALL VARS'!A15</f>
        <v>43962</v>
      </c>
      <c r="B15" s="16">
        <f>'ALL VARS'!F15</f>
        <v>-1.4698871572495898E-2</v>
      </c>
      <c r="C15" s="16">
        <f>'ALL VARS'!G15</f>
        <v>9.1270288220883112E-3</v>
      </c>
      <c r="D15" s="16">
        <f>'ALL VARS'!H15</f>
        <v>8.9592894728179693E-3</v>
      </c>
      <c r="E15" s="16">
        <f>'ALL VARS'!AI15</f>
        <v>1.5917358586429852E-3</v>
      </c>
      <c r="F15" s="16">
        <f>'ALL VARS'!AK15</f>
        <v>-1.9036378712709273E-2</v>
      </c>
      <c r="G15" s="16">
        <f>'ALL VARS'!J15</f>
        <v>33.2550004</v>
      </c>
      <c r="I15" s="28" t="s">
        <v>48</v>
      </c>
      <c r="J15" s="28">
        <v>47</v>
      </c>
      <c r="K15" s="28">
        <v>1.9700621354665375E-2</v>
      </c>
      <c r="L15" s="28"/>
      <c r="M15" s="28"/>
      <c r="N15" s="28"/>
    </row>
    <row r="16" spans="1:14" ht="15.75" thickBot="1" x14ac:dyDescent="0.3">
      <c r="A16" s="24">
        <f>'ALL VARS'!A16</f>
        <v>43959</v>
      </c>
      <c r="B16" s="16">
        <f>'ALL VARS'!F16</f>
        <v>9.1270288220883112E-3</v>
      </c>
      <c r="C16" s="16">
        <f>'ALL VARS'!G16</f>
        <v>8.9592894728179693E-3</v>
      </c>
      <c r="D16" s="16">
        <f>'ALL VARS'!H16</f>
        <v>2.0228309928424119E-4</v>
      </c>
      <c r="E16" s="16">
        <f>'ALL VARS'!AI16</f>
        <v>6.1766729341750308E-2</v>
      </c>
      <c r="F16" s="16">
        <f>'ALL VARS'!AK16</f>
        <v>-0.68959518179674317</v>
      </c>
      <c r="G16" s="16">
        <f>'ALL VARS'!J16</f>
        <v>34.050000400000002</v>
      </c>
    </row>
    <row r="17" spans="1:17" x14ac:dyDescent="0.25">
      <c r="A17" s="24">
        <f>'ALL VARS'!A17</f>
        <v>43958</v>
      </c>
      <c r="B17" s="16">
        <f>'ALL VARS'!F17</f>
        <v>8.9592894728179693E-3</v>
      </c>
      <c r="C17" s="16">
        <f>'ALL VARS'!G17</f>
        <v>2.0228309928424119E-4</v>
      </c>
      <c r="D17" s="16">
        <f>'ALL VARS'!H17</f>
        <v>1.2895694256002256E-3</v>
      </c>
      <c r="E17" s="16">
        <f>'ALL VARS'!AI17</f>
        <v>-3.5822543275427178E-3</v>
      </c>
      <c r="F17" s="16">
        <f>'ALL VARS'!AK17</f>
        <v>3.6433348495937573E-2</v>
      </c>
      <c r="G17" s="16">
        <f>'ALL VARS'!J17</f>
        <v>35.044000400000002</v>
      </c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1:17" x14ac:dyDescent="0.25">
      <c r="A18" s="24">
        <f>'ALL VARS'!A18</f>
        <v>43957</v>
      </c>
      <c r="B18" s="16">
        <f>'ALL VARS'!F18</f>
        <v>2.0228309928424119E-4</v>
      </c>
      <c r="C18" s="16">
        <f>'ALL VARS'!G18</f>
        <v>1.2895694256002256E-3</v>
      </c>
      <c r="D18" s="16">
        <f>'ALL VARS'!H18</f>
        <v>4.5167588335029351E-3</v>
      </c>
      <c r="E18" s="16">
        <f>'ALL VARS'!AI18</f>
        <v>-3.8914218522612484E-4</v>
      </c>
      <c r="F18" s="16">
        <f>'ALL VARS'!AK18</f>
        <v>3.6519081504247778E-3</v>
      </c>
      <c r="G18" s="16">
        <f>'ALL VARS'!J18</f>
        <v>35.830000499999997</v>
      </c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4">
        <f>'ALL VARS'!A19</f>
        <v>43956</v>
      </c>
      <c r="B19" s="16">
        <f>'ALL VARS'!F19</f>
        <v>1.2895694256002256E-3</v>
      </c>
      <c r="C19" s="16">
        <f>'ALL VARS'!G19</f>
        <v>4.5167588335029351E-3</v>
      </c>
      <c r="D19" s="16">
        <f>'ALL VARS'!H19</f>
        <v>8.5292501975474666E-3</v>
      </c>
      <c r="E19" s="16">
        <f>'ALL VARS'!AI19</f>
        <v>2.1912741931488986E-2</v>
      </c>
      <c r="F19" s="16">
        <f>'ALL VARS'!AK19</f>
        <v>-0.17978327993402857</v>
      </c>
      <c r="G19" s="16">
        <f>'ALL VARS'!J19</f>
        <v>37.010000400000003</v>
      </c>
      <c r="I19" s="18" t="s">
        <v>36</v>
      </c>
      <c r="J19" s="18">
        <v>-2.400640131673069E-2</v>
      </c>
      <c r="K19" s="18">
        <v>0.11850420962219335</v>
      </c>
      <c r="L19" s="18">
        <v>-0.20257846867437185</v>
      </c>
      <c r="M19" s="18">
        <v>0.84044267839804099</v>
      </c>
      <c r="N19" s="18">
        <v>-0.26315757846224075</v>
      </c>
      <c r="O19" s="18">
        <v>0.21514477582877936</v>
      </c>
      <c r="P19" s="18">
        <v>-0.26315757846224075</v>
      </c>
      <c r="Q19" s="18">
        <v>0.21514477582877936</v>
      </c>
    </row>
    <row r="20" spans="1:17" x14ac:dyDescent="0.25">
      <c r="A20" s="24">
        <f>'ALL VARS'!A20</f>
        <v>43955</v>
      </c>
      <c r="B20" s="16">
        <f>'ALL VARS'!F20</f>
        <v>4.5167588335029351E-3</v>
      </c>
      <c r="C20" s="16">
        <f>'ALL VARS'!G20</f>
        <v>8.5292501975474666E-3</v>
      </c>
      <c r="D20" s="16">
        <f>'ALL VARS'!H20</f>
        <v>-1.0852015661224153E-2</v>
      </c>
      <c r="E20" s="16">
        <f>'ALL VARS'!AI20</f>
        <v>-3.4533069211431914E-3</v>
      </c>
      <c r="F20" s="16">
        <f>'ALL VARS'!AK20</f>
        <v>2.5618386796076968E-2</v>
      </c>
      <c r="G20" s="16">
        <f>'ALL VARS'!J20</f>
        <v>37.796000499999998</v>
      </c>
      <c r="I20" s="18" t="s">
        <v>37</v>
      </c>
      <c r="J20" s="18">
        <v>-0.18789203107728941</v>
      </c>
      <c r="K20" s="18">
        <v>0.1129519759936916</v>
      </c>
      <c r="L20" s="18">
        <v>-1.6634682963650254</v>
      </c>
      <c r="M20" s="18">
        <v>0.10366413129765188</v>
      </c>
      <c r="N20" s="18">
        <v>-0.4158383471273468</v>
      </c>
      <c r="O20" s="18">
        <v>4.0054284972767973E-2</v>
      </c>
      <c r="P20" s="18">
        <v>-0.4158383471273468</v>
      </c>
      <c r="Q20" s="18">
        <v>4.0054284972767973E-2</v>
      </c>
    </row>
    <row r="21" spans="1:17" x14ac:dyDescent="0.25">
      <c r="A21" s="24">
        <f>'ALL VARS'!A21</f>
        <v>43952</v>
      </c>
      <c r="B21" s="16">
        <f>'ALL VARS'!F21</f>
        <v>8.5292501975474666E-3</v>
      </c>
      <c r="C21" s="16">
        <f>'ALL VARS'!G21</f>
        <v>-1.0852015661224153E-2</v>
      </c>
      <c r="D21" s="16">
        <f>'ALL VARS'!H21</f>
        <v>-2.9379858648651246E-2</v>
      </c>
      <c r="E21" s="16">
        <f>'ALL VARS'!AI21</f>
        <v>-2.4350351032987961E-3</v>
      </c>
      <c r="F21" s="16">
        <f>'ALL VARS'!AK21</f>
        <v>1.7830564545369163E-2</v>
      </c>
      <c r="G21" s="16">
        <f>'ALL VARS'!J21</f>
        <v>37.892000799999991</v>
      </c>
      <c r="I21" s="18" t="s">
        <v>25</v>
      </c>
      <c r="J21" s="18">
        <v>-0.10594610472471432</v>
      </c>
      <c r="K21" s="18">
        <v>6.9682364619285522E-2</v>
      </c>
      <c r="L21" s="18">
        <v>-1.5204148898154974</v>
      </c>
      <c r="M21" s="18">
        <v>0.13590007666112461</v>
      </c>
      <c r="N21" s="18">
        <v>-0.2465708097720179</v>
      </c>
      <c r="O21" s="18">
        <v>3.4678600322589251E-2</v>
      </c>
      <c r="P21" s="18">
        <v>-0.2465708097720179</v>
      </c>
      <c r="Q21" s="18">
        <v>3.4678600322589251E-2</v>
      </c>
    </row>
    <row r="22" spans="1:17" x14ac:dyDescent="0.25">
      <c r="A22" s="24">
        <f>'ALL VARS'!A22</f>
        <v>43951</v>
      </c>
      <c r="B22" s="16">
        <f>'ALL VARS'!F22</f>
        <v>-1.0852015661224153E-2</v>
      </c>
      <c r="C22" s="16">
        <f>'ALL VARS'!G22</f>
        <v>-2.9379858648651246E-2</v>
      </c>
      <c r="D22" s="16">
        <f>'ALL VARS'!H22</f>
        <v>2.904386379946032E-2</v>
      </c>
      <c r="E22" s="16">
        <f>'ALL VARS'!AI22</f>
        <v>-1.544661453000408E-2</v>
      </c>
      <c r="F22" s="16">
        <f>'ALL VARS'!AK22</f>
        <v>0.10390178105976718</v>
      </c>
      <c r="G22" s="16">
        <f>'ALL VARS'!J22</f>
        <v>38.488000700000001</v>
      </c>
      <c r="I22" s="18" t="s">
        <v>91</v>
      </c>
      <c r="J22" s="18">
        <v>-5.9595730207199636E-4</v>
      </c>
      <c r="K22" s="18">
        <v>5.6472733117932227E-3</v>
      </c>
      <c r="L22" s="18">
        <v>-0.10553009729978119</v>
      </c>
      <c r="M22" s="18">
        <v>0.91645759688090656</v>
      </c>
      <c r="N22" s="18">
        <v>-1.1992616243416829E-2</v>
      </c>
      <c r="O22" s="18">
        <v>1.0800701639272835E-2</v>
      </c>
      <c r="P22" s="18">
        <v>-1.1992616243416829E-2</v>
      </c>
      <c r="Q22" s="18">
        <v>1.0800701639272835E-2</v>
      </c>
    </row>
    <row r="23" spans="1:17" ht="15.75" thickBot="1" x14ac:dyDescent="0.3">
      <c r="A23" s="24">
        <f>'ALL VARS'!A23</f>
        <v>43950</v>
      </c>
      <c r="B23" s="16">
        <f>'ALL VARS'!F23</f>
        <v>-2.9379858648651246E-2</v>
      </c>
      <c r="C23" s="16">
        <f>'ALL VARS'!G23</f>
        <v>2.904386379946032E-2</v>
      </c>
      <c r="D23" s="16">
        <f>'ALL VARS'!H23</f>
        <v>1.0667882350970269E-2</v>
      </c>
      <c r="E23" s="16">
        <f>'ALL VARS'!AI23</f>
        <v>1.4845565839900461E-3</v>
      </c>
      <c r="F23" s="16">
        <f>'ALL VARS'!AK23</f>
        <v>-8.5592233276500992E-3</v>
      </c>
      <c r="G23" s="16">
        <f>'ALL VARS'!J23</f>
        <v>39.449000699999999</v>
      </c>
      <c r="I23" s="28" t="s">
        <v>4</v>
      </c>
      <c r="J23" s="28">
        <v>1.2498422742683951E-4</v>
      </c>
      <c r="K23" s="28">
        <v>7.1675155175876523E-5</v>
      </c>
      <c r="L23" s="28">
        <v>1.7437594257055065</v>
      </c>
      <c r="M23" s="28">
        <v>8.8517328079023974E-2</v>
      </c>
      <c r="N23" s="28">
        <v>-1.9662091780269761E-5</v>
      </c>
      <c r="O23" s="28">
        <v>2.696305466339488E-4</v>
      </c>
      <c r="P23" s="28">
        <v>-1.9662091780269761E-5</v>
      </c>
      <c r="Q23" s="28">
        <v>2.696305466339488E-4</v>
      </c>
    </row>
    <row r="24" spans="1:17" x14ac:dyDescent="0.25">
      <c r="A24" s="24">
        <f>'ALL VARS'!A24</f>
        <v>43949</v>
      </c>
      <c r="B24" s="16">
        <f>'ALL VARS'!F24</f>
        <v>2.904386379946032E-2</v>
      </c>
      <c r="C24" s="16">
        <f>'ALL VARS'!G24</f>
        <v>1.0667882350970269E-2</v>
      </c>
      <c r="D24" s="16">
        <f>'ALL VARS'!H24</f>
        <v>1.5373998778727917E-2</v>
      </c>
      <c r="E24" s="16">
        <f>'ALL VARS'!AI24</f>
        <v>-2.6888049640044299E-2</v>
      </c>
      <c r="F24" s="16">
        <f>'ALL VARS'!AK24</f>
        <v>0.14375718632629395</v>
      </c>
      <c r="G24" s="16">
        <f>'ALL VARS'!J24</f>
        <v>39.868000500000008</v>
      </c>
    </row>
    <row r="25" spans="1:17" x14ac:dyDescent="0.25">
      <c r="A25" s="24">
        <f>'ALL VARS'!A25</f>
        <v>43948</v>
      </c>
      <c r="B25" s="16">
        <f>'ALL VARS'!F25</f>
        <v>1.0667882350970269E-2</v>
      </c>
      <c r="C25" s="16">
        <f>'ALL VARS'!G25</f>
        <v>1.5373998778727917E-2</v>
      </c>
      <c r="D25" s="16">
        <f>'ALL VARS'!H25</f>
        <v>1.1879839917270655E-2</v>
      </c>
      <c r="E25" s="16">
        <f>'ALL VARS'!AI25</f>
        <v>-6.3269952521189804E-3</v>
      </c>
      <c r="F25" s="16">
        <f>'ALL VARS'!AK25</f>
        <v>2.8841663623142336E-2</v>
      </c>
      <c r="G25" s="16">
        <f>'ALL VARS'!J25</f>
        <v>40.656000200000001</v>
      </c>
    </row>
    <row r="26" spans="1:17" x14ac:dyDescent="0.25">
      <c r="A26" s="24">
        <f>'ALL VARS'!A26</f>
        <v>43945</v>
      </c>
      <c r="B26" s="16">
        <f>'ALL VARS'!F26</f>
        <v>1.5373998778727917E-2</v>
      </c>
      <c r="C26" s="16">
        <f>'ALL VARS'!G26</f>
        <v>1.1879839917270655E-2</v>
      </c>
      <c r="D26" s="16">
        <f>'ALL VARS'!H26</f>
        <v>-2.5965891780394849E-3</v>
      </c>
      <c r="E26" s="16">
        <f>'ALL VARS'!AI26</f>
        <v>-2.5817265097796758E-3</v>
      </c>
      <c r="F26" s="16">
        <f>'ALL VARS'!AK26</f>
        <v>1.028691254999038E-2</v>
      </c>
      <c r="G26" s="16">
        <f>'ALL VARS'!J26</f>
        <v>41.230000000000004</v>
      </c>
    </row>
    <row r="27" spans="1:17" x14ac:dyDescent="0.25">
      <c r="A27" s="24">
        <f>'ALL VARS'!A27</f>
        <v>43944</v>
      </c>
      <c r="B27" s="16">
        <f>'ALL VARS'!F27</f>
        <v>1.1879839917270655E-2</v>
      </c>
      <c r="C27" s="16">
        <f>'ALL VARS'!G27</f>
        <v>-2.5965891780394849E-3</v>
      </c>
      <c r="D27" s="16">
        <f>'ALL VARS'!H27</f>
        <v>2.4971169199914333E-2</v>
      </c>
      <c r="E27" s="16">
        <f>'ALL VARS'!AI27</f>
        <v>-8.1400112426490544E-3</v>
      </c>
      <c r="F27" s="16">
        <f>'ALL VARS'!AK27</f>
        <v>3.0830368397883303E-2</v>
      </c>
      <c r="G27" s="16">
        <f>'ALL VARS'!J27</f>
        <v>41.42699970000001</v>
      </c>
    </row>
    <row r="28" spans="1:17" x14ac:dyDescent="0.25">
      <c r="A28" s="24">
        <f>'ALL VARS'!A28</f>
        <v>43943</v>
      </c>
      <c r="B28" s="16">
        <f>'ALL VARS'!F28</f>
        <v>-2.5965891780394849E-3</v>
      </c>
      <c r="C28" s="16">
        <f>'ALL VARS'!G28</f>
        <v>2.4971169199914333E-2</v>
      </c>
      <c r="D28" s="16">
        <f>'ALL VARS'!H28</f>
        <v>-3.1150323670921017E-2</v>
      </c>
      <c r="E28" s="16">
        <f>'ALL VARS'!AI28</f>
        <v>2.1608973534223353E-2</v>
      </c>
      <c r="F28" s="16">
        <f>'ALL VARS'!AK28</f>
        <v>-7.1644750858557288E-2</v>
      </c>
      <c r="G28" s="16">
        <f>'ALL VARS'!J28</f>
        <v>41.898999799999999</v>
      </c>
    </row>
    <row r="29" spans="1:17" x14ac:dyDescent="0.25">
      <c r="A29" s="24">
        <f>'ALL VARS'!A29</f>
        <v>43942</v>
      </c>
      <c r="B29" s="16">
        <f>'ALL VARS'!F29</f>
        <v>2.4971169199914333E-2</v>
      </c>
      <c r="C29" s="16">
        <f>'ALL VARS'!G29</f>
        <v>-3.1150323670921017E-2</v>
      </c>
      <c r="D29" s="16">
        <f>'ALL VARS'!H29</f>
        <v>1.9776887879946956E-3</v>
      </c>
      <c r="E29" s="16">
        <f>'ALL VARS'!AI29</f>
        <v>9.4013157234317229E-4</v>
      </c>
      <c r="F29" s="16">
        <f>'ALL VARS'!AK29</f>
        <v>-3.1329969392125769E-3</v>
      </c>
      <c r="G29" s="16">
        <f>'ALL VARS'!J29</f>
        <v>41.881999999999998</v>
      </c>
    </row>
    <row r="30" spans="1:17" x14ac:dyDescent="0.25">
      <c r="A30" s="24">
        <f>'ALL VARS'!A30</f>
        <v>43941</v>
      </c>
      <c r="B30" s="16">
        <f>'ALL VARS'!F30</f>
        <v>-3.1150323670921017E-2</v>
      </c>
      <c r="C30" s="16">
        <f>'ALL VARS'!G30</f>
        <v>1.9776887879946956E-3</v>
      </c>
      <c r="D30" s="16">
        <f>'ALL VARS'!H30</f>
        <v>3.3138402111040632E-2</v>
      </c>
      <c r="E30" s="16">
        <f>'ALL VARS'!AI30</f>
        <v>3.065883282689813E-2</v>
      </c>
      <c r="F30" s="16">
        <f>'ALL VARS'!AK30</f>
        <v>-9.3065172603493132E-2</v>
      </c>
      <c r="G30" s="16">
        <f>'ALL VARS'!J30</f>
        <v>42.178999699999999</v>
      </c>
    </row>
    <row r="31" spans="1:17" x14ac:dyDescent="0.25">
      <c r="A31" s="24">
        <f>'ALL VARS'!A31</f>
        <v>43938</v>
      </c>
      <c r="B31" s="16">
        <f>'ALL VARS'!F31</f>
        <v>1.9776887879946956E-3</v>
      </c>
      <c r="C31" s="16">
        <f>'ALL VARS'!G31</f>
        <v>3.3138402111040632E-2</v>
      </c>
      <c r="D31" s="16">
        <f>'ALL VARS'!H31</f>
        <v>-4.2482631253185207E-3</v>
      </c>
      <c r="E31" s="16">
        <f>'ALL VARS'!AI31</f>
        <v>-7.0773547212972065E-4</v>
      </c>
      <c r="F31" s="16">
        <f>'ALL VARS'!AK31</f>
        <v>1.245267296632338E-3</v>
      </c>
      <c r="G31" s="16">
        <f>'ALL VARS'!J31</f>
        <v>43.4549995</v>
      </c>
    </row>
    <row r="32" spans="1:17" x14ac:dyDescent="0.25">
      <c r="A32" s="24">
        <f>'ALL VARS'!A32</f>
        <v>43937</v>
      </c>
      <c r="B32" s="16">
        <f>'ALL VARS'!F32</f>
        <v>3.3138402111040632E-2</v>
      </c>
      <c r="C32" s="16">
        <f>'ALL VARS'!G32</f>
        <v>-4.2482631253185207E-3</v>
      </c>
      <c r="D32" s="16">
        <f>'ALL VARS'!H32</f>
        <v>-2.1026256366684357E-2</v>
      </c>
      <c r="E32" s="16">
        <f>'ALL VARS'!AI32</f>
        <v>-2.8142849398185982E-3</v>
      </c>
      <c r="F32" s="16">
        <f>'ALL VARS'!AK32</f>
        <v>1.8154815382390334E-4</v>
      </c>
      <c r="G32" s="16">
        <f>'ALL VARS'!J32</f>
        <v>45.149999499999993</v>
      </c>
    </row>
    <row r="33" spans="1:7" x14ac:dyDescent="0.25">
      <c r="A33" s="24">
        <f>'ALL VARS'!A33</f>
        <v>43936</v>
      </c>
      <c r="B33" s="16">
        <f>'ALL VARS'!F33</f>
        <v>-4.2482631253185207E-3</v>
      </c>
      <c r="C33" s="16">
        <f>'ALL VARS'!G33</f>
        <v>-2.1026256366684357E-2</v>
      </c>
      <c r="D33" s="16">
        <f>'ALL VARS'!H33</f>
        <v>1.2965422809946055E-2</v>
      </c>
      <c r="E33" s="16">
        <f>'ALL VARS'!AI33</f>
        <v>-3.5025274044739395E-2</v>
      </c>
      <c r="F33" s="16">
        <f>'ALL VARS'!AK33</f>
        <v>-4.222263813177568E-2</v>
      </c>
      <c r="G33" s="16">
        <f>'ALL VARS'!J33</f>
        <v>46.419999600000004</v>
      </c>
    </row>
    <row r="34" spans="1:7" x14ac:dyDescent="0.25">
      <c r="A34" s="24">
        <f>'ALL VARS'!A34</f>
        <v>43935</v>
      </c>
      <c r="B34" s="16">
        <f>'ALL VARS'!F34</f>
        <v>-2.1026256366684357E-2</v>
      </c>
      <c r="C34" s="16">
        <f>'ALL VARS'!G34</f>
        <v>1.2965422809946055E-2</v>
      </c>
      <c r="D34" s="16">
        <f>'ALL VARS'!H34</f>
        <v>-6.4023280464834062E-3</v>
      </c>
      <c r="E34" s="16">
        <f>'ALL VARS'!AI34</f>
        <v>1.6972907917348272E-3</v>
      </c>
      <c r="F34" s="16">
        <f>'ALL VARS'!AK34</f>
        <v>5.3252345596293245E-3</v>
      </c>
      <c r="G34" s="16">
        <f>'ALL VARS'!J34</f>
        <v>48.352000000000004</v>
      </c>
    </row>
    <row r="35" spans="1:7" x14ac:dyDescent="0.25">
      <c r="A35" s="24">
        <f>'ALL VARS'!A35</f>
        <v>43934</v>
      </c>
      <c r="B35" s="16">
        <f>'ALL VARS'!F35</f>
        <v>1.2965422809946055E-2</v>
      </c>
      <c r="C35" s="16">
        <f>'ALL VARS'!G35</f>
        <v>-6.4023280464834062E-3</v>
      </c>
      <c r="D35" s="16">
        <f>'ALL VARS'!H35</f>
        <v>1.729890853793448E-2</v>
      </c>
      <c r="E35" s="16">
        <f>'ALL VARS'!AI35</f>
        <v>-3.3556303863284336E-2</v>
      </c>
      <c r="F35" s="16">
        <f>'ALL VARS'!AK35</f>
        <v>-0.18705932347507015</v>
      </c>
      <c r="G35" s="16">
        <f>'ALL VARS'!J35</f>
        <v>50.789000299999998</v>
      </c>
    </row>
    <row r="36" spans="1:7" x14ac:dyDescent="0.25">
      <c r="A36" s="24">
        <f>'ALL VARS'!A36</f>
        <v>43930</v>
      </c>
      <c r="B36" s="16">
        <f>'ALL VARS'!F36</f>
        <v>-6.4023280464834062E-3</v>
      </c>
      <c r="C36" s="16">
        <f>'ALL VARS'!G36</f>
        <v>1.729890853793448E-2</v>
      </c>
      <c r="D36" s="16">
        <f>'ALL VARS'!H36</f>
        <v>2.2888078899761091E-2</v>
      </c>
      <c r="E36" s="16">
        <f>'ALL VARS'!AI36</f>
        <v>1.8582250289662171E-2</v>
      </c>
      <c r="F36" s="16">
        <f>'ALL VARS'!AK36</f>
        <v>0.13950608583970817</v>
      </c>
      <c r="G36" s="16">
        <f>'ALL VARS'!J36</f>
        <v>52.722000499999993</v>
      </c>
    </row>
    <row r="37" spans="1:7" x14ac:dyDescent="0.25">
      <c r="A37" s="24">
        <f>'ALL VARS'!A37</f>
        <v>43929</v>
      </c>
      <c r="B37" s="16">
        <f>'ALL VARS'!F37</f>
        <v>1.729890853793448E-2</v>
      </c>
      <c r="C37" s="16">
        <f>'ALL VARS'!G37</f>
        <v>2.2888078899761091E-2</v>
      </c>
      <c r="D37" s="16">
        <f>'ALL VARS'!H37</f>
        <v>1.5743313464585205E-3</v>
      </c>
      <c r="E37" s="16">
        <f>'ALL VARS'!AI37</f>
        <v>-1.2298226270798164E-3</v>
      </c>
      <c r="F37" s="16">
        <f>'ALL VARS'!AK37</f>
        <v>-1.1766317882779976E-2</v>
      </c>
      <c r="G37" s="16">
        <f>'ALL VARS'!J37</f>
        <v>54.782000800000006</v>
      </c>
    </row>
    <row r="38" spans="1:7" x14ac:dyDescent="0.25">
      <c r="A38" s="24">
        <f>'ALL VARS'!A38</f>
        <v>43928</v>
      </c>
      <c r="B38" s="16">
        <f>'ALL VARS'!F38</f>
        <v>2.2888078899761091E-2</v>
      </c>
      <c r="C38" s="16">
        <f>'ALL VARS'!G38</f>
        <v>1.5743313464585205E-3</v>
      </c>
      <c r="D38" s="16">
        <f>'ALL VARS'!H38</f>
        <v>5.0578545857092143E-2</v>
      </c>
      <c r="E38" s="16">
        <f>'ALL VARS'!AI38</f>
        <v>-0.21216640851528945</v>
      </c>
      <c r="F38" s="16">
        <f>'ALL VARS'!AK38</f>
        <v>-2.3475134206251789</v>
      </c>
      <c r="G38" s="16">
        <f>'ALL VARS'!J38</f>
        <v>56.279000499999995</v>
      </c>
    </row>
    <row r="39" spans="1:7" x14ac:dyDescent="0.25">
      <c r="A39" s="24">
        <f>'ALL VARS'!A39</f>
        <v>43927</v>
      </c>
      <c r="B39" s="16">
        <f>'ALL VARS'!F39</f>
        <v>1.5743313464585205E-3</v>
      </c>
      <c r="C39" s="16">
        <f>'ALL VARS'!G39</f>
        <v>5.0578545857092143E-2</v>
      </c>
      <c r="D39" s="16">
        <f>'ALL VARS'!H39</f>
        <v>-1.2177617796472343E-2</v>
      </c>
      <c r="E39" s="16">
        <f>'ALL VARS'!AI39</f>
        <v>-2.3702429570059817E-3</v>
      </c>
      <c r="F39" s="16">
        <f>'ALL VARS'!AK39</f>
        <v>-3.0100879778117234E-2</v>
      </c>
      <c r="G39" s="16">
        <f>'ALL VARS'!J39</f>
        <v>57.914000299999998</v>
      </c>
    </row>
    <row r="40" spans="1:7" x14ac:dyDescent="0.25">
      <c r="A40" s="24">
        <f>'ALL VARS'!A40</f>
        <v>43924</v>
      </c>
      <c r="B40" s="16">
        <f>'ALL VARS'!F40</f>
        <v>5.0578545857092143E-2</v>
      </c>
      <c r="C40" s="16">
        <f>'ALL VARS'!G40</f>
        <v>-1.2177617796472343E-2</v>
      </c>
      <c r="D40" s="16">
        <f>'ALL VARS'!H40</f>
        <v>1.7194200807451526E-2</v>
      </c>
      <c r="E40" s="16">
        <f>'ALL VARS'!AI40</f>
        <v>-8.8853513818220962E-3</v>
      </c>
      <c r="F40" s="16">
        <f>'ALL VARS'!AK40</f>
        <v>-0.12993486028188225</v>
      </c>
      <c r="G40" s="16">
        <f>'ALL VARS'!J40</f>
        <v>59.8380005</v>
      </c>
    </row>
    <row r="41" spans="1:7" x14ac:dyDescent="0.25">
      <c r="A41" s="24">
        <f>'ALL VARS'!A41</f>
        <v>43923</v>
      </c>
      <c r="B41" s="16">
        <f>'ALL VARS'!F41</f>
        <v>-1.2177617796472343E-2</v>
      </c>
      <c r="C41" s="16">
        <f>'ALL VARS'!G41</f>
        <v>1.7194200807451526E-2</v>
      </c>
      <c r="D41" s="16">
        <f>'ALL VARS'!H41</f>
        <v>-3.7551904604495374E-2</v>
      </c>
      <c r="E41" s="16">
        <f>'ALL VARS'!AI41</f>
        <v>-2.5756377406256289E-2</v>
      </c>
      <c r="F41" s="16">
        <f>'ALL VARS'!AK41</f>
        <v>-0.43096836565948315</v>
      </c>
      <c r="G41" s="16">
        <f>'ALL VARS'!J41</f>
        <v>61.947000500000001</v>
      </c>
    </row>
    <row r="42" spans="1:7" x14ac:dyDescent="0.25">
      <c r="A42" s="24">
        <f>'ALL VARS'!A42</f>
        <v>43922</v>
      </c>
      <c r="B42" s="16">
        <f>'ALL VARS'!F42</f>
        <v>1.7194200807451526E-2</v>
      </c>
      <c r="C42" s="16">
        <f>'ALL VARS'!G42</f>
        <v>-3.7551904604495374E-2</v>
      </c>
      <c r="D42" s="16">
        <f>'ALL VARS'!H42</f>
        <v>2.6099613068988042E-2</v>
      </c>
      <c r="E42" s="16">
        <f>'ALL VARS'!AI42</f>
        <v>7.8007196681707273E-3</v>
      </c>
      <c r="F42" s="16">
        <f>'ALL VARS'!AK42</f>
        <v>0.14565106774836115</v>
      </c>
      <c r="G42" s="16">
        <f>'ALL VARS'!J42</f>
        <v>63.886000100000004</v>
      </c>
    </row>
    <row r="43" spans="1:7" x14ac:dyDescent="0.25">
      <c r="A43" s="24">
        <f>'ALL VARS'!A43</f>
        <v>43921</v>
      </c>
      <c r="B43" s="16">
        <f>'ALL VARS'!F43</f>
        <v>-3.7551904604495374E-2</v>
      </c>
      <c r="C43" s="16">
        <f>'ALL VARS'!G43</f>
        <v>2.6099613068988042E-2</v>
      </c>
      <c r="D43" s="16">
        <f>'ALL VARS'!H43</f>
        <v>2.7648809446036929E-2</v>
      </c>
      <c r="E43" s="16">
        <f>'ALL VARS'!AI43</f>
        <v>-6.1998123844352699E-3</v>
      </c>
      <c r="F43" s="16">
        <f>'ALL VARS'!AK43</f>
        <v>-0.12962872383456359</v>
      </c>
      <c r="G43" s="16">
        <f>'ALL VARS'!J43</f>
        <v>66.123000399999995</v>
      </c>
    </row>
    <row r="44" spans="1:7" x14ac:dyDescent="0.25">
      <c r="A44" s="24">
        <f>'ALL VARS'!A44</f>
        <v>43920</v>
      </c>
      <c r="B44" s="16">
        <f>'ALL VARS'!F44</f>
        <v>2.6099613068988042E-2</v>
      </c>
      <c r="C44" s="16">
        <f>'ALL VARS'!G44</f>
        <v>2.7648809446036929E-2</v>
      </c>
      <c r="D44" s="16">
        <f>'ALL VARS'!H44</f>
        <v>-5.1117326046437227E-2</v>
      </c>
      <c r="E44" s="16">
        <f>'ALL VARS'!AI44</f>
        <v>1.4120947253207927E-2</v>
      </c>
      <c r="F44" s="16">
        <f>'ALL VARS'!AK44</f>
        <v>0.33141144992082877</v>
      </c>
      <c r="G44" s="16">
        <f>'ALL VARS'!J44</f>
        <v>68.684000400000002</v>
      </c>
    </row>
    <row r="45" spans="1:7" x14ac:dyDescent="0.25">
      <c r="A45" s="24">
        <f>'ALL VARS'!A45</f>
        <v>43917</v>
      </c>
      <c r="B45" s="16">
        <f>'ALL VARS'!F45</f>
        <v>2.7648809446036929E-2</v>
      </c>
      <c r="C45" s="16">
        <f>'ALL VARS'!G45</f>
        <v>-5.1117326046437227E-2</v>
      </c>
      <c r="D45" s="16">
        <f>'ALL VARS'!H45</f>
        <v>1.7657086927428463E-2</v>
      </c>
      <c r="E45" s="16">
        <f>'ALL VARS'!AI45</f>
        <v>-3.0801032571442195E-2</v>
      </c>
      <c r="F45" s="16">
        <f>'ALL VARS'!AK45</f>
        <v>-0.69913697558180976</v>
      </c>
      <c r="G45" s="16">
        <f>'ALL VARS'!J45</f>
        <v>67.91300050000001</v>
      </c>
    </row>
    <row r="46" spans="1:7" x14ac:dyDescent="0.25">
      <c r="A46" s="24">
        <f>'ALL VARS'!A46</f>
        <v>43916</v>
      </c>
      <c r="B46" s="16">
        <f>'ALL VARS'!F46</f>
        <v>-5.1117326046437227E-2</v>
      </c>
      <c r="C46" s="16">
        <f>'ALL VARS'!G46</f>
        <v>1.7657086927428463E-2</v>
      </c>
      <c r="D46" s="16">
        <f>'ALL VARS'!H46</f>
        <v>4.5191001874909938E-2</v>
      </c>
      <c r="E46" s="16">
        <f>'ALL VARS'!AI46</f>
        <v>-5.0851997492975514E-3</v>
      </c>
      <c r="F46" s="16">
        <f>'ALL VARS'!AK46</f>
        <v>-0.12278464775961509</v>
      </c>
      <c r="G46" s="16">
        <f>'ALL VARS'!J46</f>
        <v>69.360000600000006</v>
      </c>
    </row>
    <row r="47" spans="1:7" x14ac:dyDescent="0.25">
      <c r="A47" s="24">
        <f>'ALL VARS'!A47</f>
        <v>43915</v>
      </c>
      <c r="B47" s="16">
        <f>'ALL VARS'!F47</f>
        <v>1.7657086927428463E-2</v>
      </c>
      <c r="C47" s="16">
        <f>'ALL VARS'!G47</f>
        <v>4.5191001874909938E-2</v>
      </c>
      <c r="D47" s="16">
        <f>'ALL VARS'!H47</f>
        <v>0.11957070036068938</v>
      </c>
      <c r="E47" s="16">
        <f>'ALL VARS'!AI47</f>
        <v>4.515478735063359E-3</v>
      </c>
      <c r="F47" s="16">
        <f>'ALL VARS'!AK47</f>
        <v>0.10449039812688517</v>
      </c>
      <c r="G47" s="16">
        <f>'ALL VARS'!J47</f>
        <v>68.355000700000005</v>
      </c>
    </row>
    <row r="48" spans="1:7" x14ac:dyDescent="0.25">
      <c r="A48" s="24">
        <f>'ALL VARS'!A48</f>
        <v>43914</v>
      </c>
      <c r="B48" s="16">
        <f>'ALL VARS'!F48</f>
        <v>4.5191001874909938E-2</v>
      </c>
      <c r="C48" s="16">
        <f>'ALL VARS'!G48</f>
        <v>0.11957070036068938</v>
      </c>
      <c r="D48" s="16">
        <f>'ALL VARS'!H48</f>
        <v>-5.2591151998453836E-2</v>
      </c>
      <c r="E48" s="16">
        <f>'ALL VARS'!AI48</f>
        <v>-1.533581361075168E-3</v>
      </c>
      <c r="F48" s="16">
        <f>'ALL VARS'!AK48</f>
        <v>-3.3284070473203822E-2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519-4421-4F64-8300-F8C21149F87A}">
  <sheetPr codeName="Feuil21"/>
  <dimension ref="A1:Q48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6" width="11.140625" style="18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VARS'!AM1</f>
        <v>Sent_t_k, k=5</v>
      </c>
      <c r="F1" s="16" t="str">
        <f>'ALL VARS'!AO1</f>
        <v>Sent_t_k, k=5 * (VIX_10_t  minus VIX_bar_10)</v>
      </c>
      <c r="G1" s="16" t="str">
        <f>'ALL VARS'!J1</f>
        <v>VIX_10_t</v>
      </c>
    </row>
    <row r="2" spans="1:14" x14ac:dyDescent="0.25">
      <c r="A2" s="24">
        <f>'ALL VARS'!A2</f>
        <v>43980</v>
      </c>
      <c r="B2" s="16">
        <f>'ALL VARS'!F2</f>
        <v>2.3093919546915233E-2</v>
      </c>
      <c r="C2" s="16">
        <f>'ALL VARS'!G2</f>
        <v>-4.5798180601685388E-3</v>
      </c>
      <c r="D2" s="16">
        <f>'ALL VARS'!H2</f>
        <v>-6.0894480094293875E-4</v>
      </c>
      <c r="E2" s="16">
        <f>'ALL VARS'!AM2</f>
        <v>-3.8919147226137089E-2</v>
      </c>
      <c r="F2" s="16">
        <f>'ALL VARS'!AO2</f>
        <v>0.61459205645627191</v>
      </c>
      <c r="G2" s="16">
        <f>'ALL VARS'!J2</f>
        <v>29.423000200000001</v>
      </c>
      <c r="I2" s="18" t="s">
        <v>39</v>
      </c>
    </row>
    <row r="3" spans="1:14" ht="15.75" thickBot="1" x14ac:dyDescent="0.3">
      <c r="A3" s="24">
        <f>'ALL VARS'!A3</f>
        <v>43979</v>
      </c>
      <c r="B3" s="16">
        <f>'ALL VARS'!F3</f>
        <v>-4.5798180601685388E-3</v>
      </c>
      <c r="C3" s="16">
        <f>'ALL VARS'!G3</f>
        <v>-6.0894480094293875E-4</v>
      </c>
      <c r="D3" s="16">
        <f>'ALL VARS'!H3</f>
        <v>8.1792696244475296E-3</v>
      </c>
      <c r="E3" s="16">
        <f>'ALL VARS'!AM3</f>
        <v>1.3922239934180766E-4</v>
      </c>
      <c r="F3" s="16">
        <f>'ALL VARS'!AO3</f>
        <v>-2.1053919750798357E-3</v>
      </c>
      <c r="G3" s="16">
        <f>'ALL VARS'!J3</f>
        <v>30.092000099999996</v>
      </c>
    </row>
    <row r="4" spans="1:14" x14ac:dyDescent="0.25">
      <c r="A4" s="24">
        <f>'ALL VARS'!A4</f>
        <v>43978</v>
      </c>
      <c r="B4" s="16">
        <f>'ALL VARS'!F4</f>
        <v>-6.0894480094293875E-4</v>
      </c>
      <c r="C4" s="16">
        <f>'ALL VARS'!G4</f>
        <v>8.1792696244475296E-3</v>
      </c>
      <c r="D4" s="16">
        <f>'ALL VARS'!H4</f>
        <v>4.8223739412853626E-3</v>
      </c>
      <c r="E4" s="16">
        <f>'ALL VARS'!AM4</f>
        <v>-3.5611198346530977E-3</v>
      </c>
      <c r="F4" s="16">
        <f>'ALL VARS'!AO4</f>
        <v>5.192293949310655E-2</v>
      </c>
      <c r="G4" s="16">
        <f>'ALL VARS'!J4</f>
        <v>30.634000099999998</v>
      </c>
      <c r="I4" s="26" t="s">
        <v>40</v>
      </c>
      <c r="J4" s="26"/>
    </row>
    <row r="5" spans="1:14" x14ac:dyDescent="0.25">
      <c r="A5" s="24">
        <f>'ALL VARS'!A5</f>
        <v>43977</v>
      </c>
      <c r="B5" s="16">
        <f>'ALL VARS'!F5</f>
        <v>8.1792696244475296E-3</v>
      </c>
      <c r="C5" s="16">
        <f>'ALL VARS'!G5</f>
        <v>4.8223739412853626E-3</v>
      </c>
      <c r="D5" s="16">
        <f>'ALL VARS'!H5</f>
        <v>1.0849210535487055E-2</v>
      </c>
      <c r="E5" s="16">
        <f>'ALL VARS'!AM5</f>
        <v>1.7890036048415457E-2</v>
      </c>
      <c r="F5" s="16">
        <f>'ALL VARS'!AO5</f>
        <v>-0.26163299166246046</v>
      </c>
      <c r="G5" s="16">
        <f>'ALL VARS'!J5</f>
        <v>30.590000099999997</v>
      </c>
      <c r="I5" s="18" t="s">
        <v>41</v>
      </c>
      <c r="J5" s="18">
        <v>0.35001425793795921</v>
      </c>
    </row>
    <row r="6" spans="1:14" x14ac:dyDescent="0.25">
      <c r="A6" s="24">
        <f>'ALL VARS'!A6</f>
        <v>43976</v>
      </c>
      <c r="B6" s="16">
        <f>'ALL VARS'!F6</f>
        <v>4.8223739412853626E-3</v>
      </c>
      <c r="C6" s="16">
        <f>'ALL VARS'!G6</f>
        <v>1.0849210535487055E-2</v>
      </c>
      <c r="D6" s="16">
        <f>'ALL VARS'!H6</f>
        <v>1.9280759189597432E-3</v>
      </c>
      <c r="E6" s="16">
        <f>'ALL VARS'!AM6</f>
        <v>-0.14429406955611179</v>
      </c>
      <c r="F6" s="16">
        <f>'ALL VARS'!AO6</f>
        <v>2.1115285530917571</v>
      </c>
      <c r="G6" s="16">
        <f>'ALL VARS'!J6</f>
        <v>30.581000099999997</v>
      </c>
      <c r="I6" s="18" t="s">
        <v>42</v>
      </c>
      <c r="J6" s="18">
        <v>0.12250998075986023</v>
      </c>
    </row>
    <row r="7" spans="1:14" x14ac:dyDescent="0.25">
      <c r="A7" s="24">
        <f>'ALL VARS'!A7</f>
        <v>43973</v>
      </c>
      <c r="B7" s="16">
        <f>'ALL VARS'!F7</f>
        <v>1.0849210535487055E-2</v>
      </c>
      <c r="C7" s="16">
        <f>'ALL VARS'!G7</f>
        <v>1.9280759189597432E-3</v>
      </c>
      <c r="D7" s="16">
        <f>'ALL VARS'!H7</f>
        <v>-7.5144837132717695E-3</v>
      </c>
      <c r="E7" s="16">
        <f>'ALL VARS'!AM7</f>
        <v>7.4223890153826959E-4</v>
      </c>
      <c r="F7" s="16">
        <f>'ALL VARS'!AO7</f>
        <v>-1.0868239732117705E-2</v>
      </c>
      <c r="G7" s="16">
        <f>'ALL VARS'!J7</f>
        <v>30.572000099999997</v>
      </c>
      <c r="I7" s="18" t="s">
        <v>42</v>
      </c>
      <c r="J7" s="18">
        <v>1.5129978927465978E-2</v>
      </c>
    </row>
    <row r="8" spans="1:14" x14ac:dyDescent="0.25">
      <c r="A8" s="24">
        <f>'ALL VARS'!A8</f>
        <v>43972</v>
      </c>
      <c r="B8" s="16">
        <f>'ALL VARS'!F8</f>
        <v>1.9280759189597432E-3</v>
      </c>
      <c r="C8" s="16">
        <f>'ALL VARS'!G8</f>
        <v>-7.5144837132717695E-3</v>
      </c>
      <c r="D8" s="16">
        <f>'ALL VARS'!H8</f>
        <v>7.5307923146686901E-3</v>
      </c>
      <c r="E8" s="16">
        <f>'ALL VARS'!AM8</f>
        <v>1.514711407785909E-3</v>
      </c>
      <c r="F8" s="16">
        <f>'ALL VARS'!AO8</f>
        <v>-2.1889865411808658E-2</v>
      </c>
      <c r="G8" s="16">
        <f>'ALL VARS'!J8</f>
        <v>30.763000099999999</v>
      </c>
      <c r="I8" s="18" t="s">
        <v>43</v>
      </c>
      <c r="J8" s="18">
        <v>2.0287867950803475E-2</v>
      </c>
    </row>
    <row r="9" spans="1:14" ht="15.75" thickBot="1" x14ac:dyDescent="0.3">
      <c r="A9" s="24">
        <f>'ALL VARS'!A9</f>
        <v>43971</v>
      </c>
      <c r="B9" s="16">
        <f>'ALL VARS'!F9</f>
        <v>-7.5144837132717695E-3</v>
      </c>
      <c r="C9" s="16">
        <f>'ALL VARS'!G9</f>
        <v>7.5307923146686901E-3</v>
      </c>
      <c r="D9" s="16">
        <f>'ALL VARS'!H9</f>
        <v>1.6845500851389788E-2</v>
      </c>
      <c r="E9" s="16">
        <f>'ALL VARS'!AM9</f>
        <v>8.7612305217810056E-3</v>
      </c>
      <c r="F9" s="16">
        <f>'ALL VARS'!AO9</f>
        <v>-0.12124236754970555</v>
      </c>
      <c r="G9" s="16">
        <f>'ALL VARS'!J9</f>
        <v>31.375999999999998</v>
      </c>
      <c r="I9" s="28" t="s">
        <v>44</v>
      </c>
      <c r="J9" s="28">
        <v>47</v>
      </c>
    </row>
    <row r="10" spans="1:14" x14ac:dyDescent="0.25">
      <c r="A10" s="24">
        <f>'ALL VARS'!A10</f>
        <v>43970</v>
      </c>
      <c r="B10" s="16">
        <f>'ALL VARS'!F10</f>
        <v>7.5307923146686901E-3</v>
      </c>
      <c r="C10" s="16">
        <f>'ALL VARS'!G10</f>
        <v>1.6845500851389788E-2</v>
      </c>
      <c r="D10" s="16">
        <f>'ALL VARS'!H10</f>
        <v>8.9044014875318926E-3</v>
      </c>
      <c r="E10" s="16">
        <f>'ALL VARS'!AM10</f>
        <v>0.11475578352035808</v>
      </c>
      <c r="F10" s="16">
        <f>'ALL VARS'!AO10</f>
        <v>-1.5527041633348611</v>
      </c>
      <c r="G10" s="16">
        <f>'ALL VARS'!J10</f>
        <v>31.683999999999997</v>
      </c>
    </row>
    <row r="11" spans="1:14" ht="15.75" thickBot="1" x14ac:dyDescent="0.3">
      <c r="A11" s="24">
        <f>'ALL VARS'!A11</f>
        <v>43966</v>
      </c>
      <c r="B11" s="16">
        <f>'ALL VARS'!F11</f>
        <v>1.6845500851389788E-2</v>
      </c>
      <c r="C11" s="16">
        <f>'ALL VARS'!G11</f>
        <v>8.9044014875318926E-3</v>
      </c>
      <c r="D11" s="16">
        <f>'ALL VARS'!H11</f>
        <v>4.4817694802564231E-4</v>
      </c>
      <c r="E11" s="16">
        <f>'ALL VARS'!AM11</f>
        <v>-1.5159416219432191E-2</v>
      </c>
      <c r="F11" s="16">
        <f>'ALL VARS'!AO11</f>
        <v>0.18696879355799292</v>
      </c>
      <c r="G11" s="16">
        <f>'ALL VARS'!J11</f>
        <v>32.881000200000003</v>
      </c>
      <c r="I11" s="18" t="s">
        <v>45</v>
      </c>
    </row>
    <row r="12" spans="1:14" x14ac:dyDescent="0.25">
      <c r="A12" s="24">
        <f>'ALL VARS'!A12</f>
        <v>43965</v>
      </c>
      <c r="B12" s="16">
        <f>'ALL VARS'!F12</f>
        <v>8.9044014875318926E-3</v>
      </c>
      <c r="C12" s="16">
        <f>'ALL VARS'!G12</f>
        <v>4.4817694802564231E-4</v>
      </c>
      <c r="D12" s="16">
        <f>'ALL VARS'!H12</f>
        <v>-2.5401176991557837E-2</v>
      </c>
      <c r="E12" s="16">
        <f>'ALL VARS'!AM12</f>
        <v>5.2184187411698337E-3</v>
      </c>
      <c r="F12" s="16">
        <f>'ALL VARS'!AO12</f>
        <v>-6.3557776531561846E-2</v>
      </c>
      <c r="G12" s="16">
        <f>'ALL VARS'!J12</f>
        <v>33.0350003</v>
      </c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A13" s="24">
        <f>'ALL VARS'!A13</f>
        <v>43964</v>
      </c>
      <c r="B13" s="16">
        <f>'ALL VARS'!F13</f>
        <v>4.4817694802564231E-4</v>
      </c>
      <c r="C13" s="16">
        <f>'ALL VARS'!G13</f>
        <v>-2.5401176991557837E-2</v>
      </c>
      <c r="D13" s="16">
        <f>'ALL VARS'!H13</f>
        <v>-1.4698871572495898E-2</v>
      </c>
      <c r="E13" s="16">
        <f>'ALL VARS'!AM13</f>
        <v>2.1357551362771866E-3</v>
      </c>
      <c r="F13" s="16">
        <f>'ALL VARS'!AO13</f>
        <v>-2.6877428909949892E-2</v>
      </c>
      <c r="G13" s="16">
        <f>'ALL VARS'!J13</f>
        <v>32.630000399999993</v>
      </c>
      <c r="I13" s="18" t="s">
        <v>46</v>
      </c>
      <c r="J13" s="18">
        <v>5</v>
      </c>
      <c r="K13" s="18">
        <v>2.4135227431173467E-3</v>
      </c>
      <c r="L13" s="18">
        <v>4.8270454862346933E-4</v>
      </c>
      <c r="M13" s="18">
        <v>1.1727584540208884</v>
      </c>
      <c r="N13" s="18">
        <v>0.33901884281537298</v>
      </c>
    </row>
    <row r="14" spans="1:14" x14ac:dyDescent="0.25">
      <c r="A14" s="24">
        <f>'ALL VARS'!A14</f>
        <v>43963</v>
      </c>
      <c r="B14" s="16">
        <f>'ALL VARS'!F14</f>
        <v>-2.5401176991557837E-2</v>
      </c>
      <c r="C14" s="16">
        <f>'ALL VARS'!G14</f>
        <v>-1.4698871572495898E-2</v>
      </c>
      <c r="D14" s="16">
        <f>'ALL VARS'!H14</f>
        <v>9.1270288220883112E-3</v>
      </c>
      <c r="E14" s="16">
        <f>'ALL VARS'!AM14</f>
        <v>-1.6612901626957308E-2</v>
      </c>
      <c r="F14" s="16">
        <f>'ALL VARS'!AO14</f>
        <v>0.20818472150362277</v>
      </c>
      <c r="G14" s="16">
        <f>'ALL VARS'!J14</f>
        <v>32.683000299999996</v>
      </c>
      <c r="I14" s="18" t="s">
        <v>47</v>
      </c>
      <c r="J14" s="18">
        <v>42</v>
      </c>
      <c r="K14" s="18">
        <v>1.7287098611548028E-2</v>
      </c>
      <c r="L14" s="18">
        <v>4.1159758598923878E-4</v>
      </c>
    </row>
    <row r="15" spans="1:14" ht="15.75" thickBot="1" x14ac:dyDescent="0.3">
      <c r="A15" s="24">
        <f>'ALL VARS'!A15</f>
        <v>43962</v>
      </c>
      <c r="B15" s="16">
        <f>'ALL VARS'!F15</f>
        <v>-1.4698871572495898E-2</v>
      </c>
      <c r="C15" s="16">
        <f>'ALL VARS'!G15</f>
        <v>9.1270288220883112E-3</v>
      </c>
      <c r="D15" s="16">
        <f>'ALL VARS'!H15</f>
        <v>8.9592894728179693E-3</v>
      </c>
      <c r="E15" s="16">
        <f>'ALL VARS'!AM15</f>
        <v>2.0653575991413892E-2</v>
      </c>
      <c r="F15" s="16">
        <f>'ALL VARS'!AO15</f>
        <v>-0.24700661997994214</v>
      </c>
      <c r="G15" s="16">
        <f>'ALL VARS'!J15</f>
        <v>33.2550004</v>
      </c>
      <c r="I15" s="28" t="s">
        <v>48</v>
      </c>
      <c r="J15" s="28">
        <v>47</v>
      </c>
      <c r="K15" s="28">
        <v>1.9700621354665375E-2</v>
      </c>
      <c r="L15" s="28"/>
      <c r="M15" s="28"/>
      <c r="N15" s="28"/>
    </row>
    <row r="16" spans="1:14" ht="15.75" thickBot="1" x14ac:dyDescent="0.3">
      <c r="A16" s="24">
        <f>'ALL VARS'!A16</f>
        <v>43959</v>
      </c>
      <c r="B16" s="16">
        <f>'ALL VARS'!F16</f>
        <v>9.1270288220883112E-3</v>
      </c>
      <c r="C16" s="16">
        <f>'ALL VARS'!G16</f>
        <v>8.9592894728179693E-3</v>
      </c>
      <c r="D16" s="16">
        <f>'ALL VARS'!H16</f>
        <v>2.0228309928424119E-4</v>
      </c>
      <c r="E16" s="16">
        <f>'ALL VARS'!AM16</f>
        <v>6.8371708610143536E-2</v>
      </c>
      <c r="F16" s="16">
        <f>'ALL VARS'!AO16</f>
        <v>-0.76333652973424237</v>
      </c>
      <c r="G16" s="16">
        <f>'ALL VARS'!J16</f>
        <v>34.050000400000002</v>
      </c>
    </row>
    <row r="17" spans="1:17" x14ac:dyDescent="0.25">
      <c r="A17" s="24">
        <f>'ALL VARS'!A17</f>
        <v>43958</v>
      </c>
      <c r="B17" s="16">
        <f>'ALL VARS'!F17</f>
        <v>8.9592894728179693E-3</v>
      </c>
      <c r="C17" s="16">
        <f>'ALL VARS'!G17</f>
        <v>2.0228309928424119E-4</v>
      </c>
      <c r="D17" s="16">
        <f>'ALL VARS'!H17</f>
        <v>1.2895694256002256E-3</v>
      </c>
      <c r="E17" s="16">
        <f>'ALL VARS'!AM17</f>
        <v>-3.7551567646014278E-2</v>
      </c>
      <c r="F17" s="16">
        <f>'ALL VARS'!AO17</f>
        <v>0.38191854221430838</v>
      </c>
      <c r="G17" s="16">
        <f>'ALL VARS'!J17</f>
        <v>35.044000400000002</v>
      </c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1:17" x14ac:dyDescent="0.25">
      <c r="A18" s="24">
        <f>'ALL VARS'!A18</f>
        <v>43957</v>
      </c>
      <c r="B18" s="16">
        <f>'ALL VARS'!F18</f>
        <v>2.0228309928424119E-4</v>
      </c>
      <c r="C18" s="16">
        <f>'ALL VARS'!G18</f>
        <v>1.2895694256002256E-3</v>
      </c>
      <c r="D18" s="16">
        <f>'ALL VARS'!H18</f>
        <v>4.5167588335029351E-3</v>
      </c>
      <c r="E18" s="16">
        <f>'ALL VARS'!AM18</f>
        <v>-3.0322835667519542E-3</v>
      </c>
      <c r="F18" s="16">
        <f>'ALL VARS'!AO18</f>
        <v>2.845649094915232E-2</v>
      </c>
      <c r="G18" s="16">
        <f>'ALL VARS'!J18</f>
        <v>35.830000499999997</v>
      </c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4">
        <f>'ALL VARS'!A19</f>
        <v>43956</v>
      </c>
      <c r="B19" s="16">
        <f>'ALL VARS'!F19</f>
        <v>1.2895694256002256E-3</v>
      </c>
      <c r="C19" s="16">
        <f>'ALL VARS'!G19</f>
        <v>4.5167588335029351E-3</v>
      </c>
      <c r="D19" s="16">
        <f>'ALL VARS'!H19</f>
        <v>8.5292501975474666E-3</v>
      </c>
      <c r="E19" s="16">
        <f>'ALL VARS'!AM19</f>
        <v>5.4628504603161543E-2</v>
      </c>
      <c r="F19" s="16">
        <f>'ALL VARS'!AO19</f>
        <v>-0.44820003658849261</v>
      </c>
      <c r="G19" s="16">
        <f>'ALL VARS'!J19</f>
        <v>37.010000400000003</v>
      </c>
      <c r="I19" s="18" t="s">
        <v>36</v>
      </c>
      <c r="J19" s="18">
        <v>-3.0620841184763978E-2</v>
      </c>
      <c r="K19" s="18">
        <v>0.12240911768376869</v>
      </c>
      <c r="L19" s="18">
        <v>-0.25015163710165578</v>
      </c>
      <c r="M19" s="18">
        <v>0.80368967264890401</v>
      </c>
      <c r="N19" s="18">
        <v>-0.27765244184052745</v>
      </c>
      <c r="O19" s="18">
        <v>0.21641075947099953</v>
      </c>
      <c r="P19" s="18">
        <v>-0.27765244184052745</v>
      </c>
      <c r="Q19" s="18">
        <v>0.21641075947099953</v>
      </c>
    </row>
    <row r="20" spans="1:17" x14ac:dyDescent="0.25">
      <c r="A20" s="24">
        <f>'ALL VARS'!A20</f>
        <v>43955</v>
      </c>
      <c r="B20" s="16">
        <f>'ALL VARS'!F20</f>
        <v>4.5167588335029351E-3</v>
      </c>
      <c r="C20" s="16">
        <f>'ALL VARS'!G20</f>
        <v>8.5292501975474666E-3</v>
      </c>
      <c r="D20" s="16">
        <f>'ALL VARS'!H20</f>
        <v>-1.0852015661224153E-2</v>
      </c>
      <c r="E20" s="16">
        <f>'ALL VARS'!AM20</f>
        <v>-4.0557135635876235E-2</v>
      </c>
      <c r="F20" s="16">
        <f>'ALL VARS'!AO20</f>
        <v>0.30087345601962262</v>
      </c>
      <c r="G20" s="16">
        <f>'ALL VARS'!J20</f>
        <v>37.796000499999998</v>
      </c>
      <c r="I20" s="18" t="s">
        <v>37</v>
      </c>
      <c r="J20" s="18">
        <v>-0.15891275031004592</v>
      </c>
      <c r="K20" s="18">
        <v>0.11317127221000575</v>
      </c>
      <c r="L20" s="18">
        <v>-1.4041792338886163</v>
      </c>
      <c r="M20" s="18">
        <v>0.16761743146764244</v>
      </c>
      <c r="N20" s="18">
        <v>-0.38730162404174423</v>
      </c>
      <c r="O20" s="18">
        <v>6.947612342165238E-2</v>
      </c>
      <c r="P20" s="18">
        <v>-0.38730162404174423</v>
      </c>
      <c r="Q20" s="18">
        <v>6.947612342165238E-2</v>
      </c>
    </row>
    <row r="21" spans="1:17" x14ac:dyDescent="0.25">
      <c r="A21" s="24">
        <f>'ALL VARS'!A21</f>
        <v>43952</v>
      </c>
      <c r="B21" s="16">
        <f>'ALL VARS'!F21</f>
        <v>8.5292501975474666E-3</v>
      </c>
      <c r="C21" s="16">
        <f>'ALL VARS'!G21</f>
        <v>-1.0852015661224153E-2</v>
      </c>
      <c r="D21" s="16">
        <f>'ALL VARS'!H21</f>
        <v>-2.9379858648651246E-2</v>
      </c>
      <c r="E21" s="16">
        <f>'ALL VARS'!AM21</f>
        <v>-2.2773682925267318E-2</v>
      </c>
      <c r="F21" s="16">
        <f>'ALL VARS'!AO21</f>
        <v>0.16676048028410009</v>
      </c>
      <c r="G21" s="16">
        <f>'ALL VARS'!J21</f>
        <v>37.892000799999991</v>
      </c>
      <c r="I21" s="18" t="s">
        <v>26</v>
      </c>
      <c r="J21" s="18">
        <v>-6.8077235416908327E-2</v>
      </c>
      <c r="K21" s="18">
        <v>9.4183397050145487E-2</v>
      </c>
      <c r="L21" s="18">
        <v>-0.72281567186053375</v>
      </c>
      <c r="M21" s="18">
        <v>0.47379920360793237</v>
      </c>
      <c r="N21" s="18">
        <v>-0.25814702571309178</v>
      </c>
      <c r="O21" s="18">
        <v>0.1219925548792751</v>
      </c>
      <c r="P21" s="18">
        <v>-0.25814702571309178</v>
      </c>
      <c r="Q21" s="18">
        <v>0.1219925548792751</v>
      </c>
    </row>
    <row r="22" spans="1:17" x14ac:dyDescent="0.25">
      <c r="A22" s="24">
        <f>'ALL VARS'!A22</f>
        <v>43951</v>
      </c>
      <c r="B22" s="16">
        <f>'ALL VARS'!F22</f>
        <v>-1.0852015661224153E-2</v>
      </c>
      <c r="C22" s="16">
        <f>'ALL VARS'!G22</f>
        <v>-2.9379858648651246E-2</v>
      </c>
      <c r="D22" s="16">
        <f>'ALL VARS'!H22</f>
        <v>2.904386379946032E-2</v>
      </c>
      <c r="E22" s="16">
        <f>'ALL VARS'!AM22</f>
        <v>-1.4519914710862706E-2</v>
      </c>
      <c r="F22" s="16">
        <f>'ALL VARS'!AO22</f>
        <v>9.7668327021697934E-2</v>
      </c>
      <c r="G22" s="16">
        <f>'ALL VARS'!J22</f>
        <v>38.488000700000001</v>
      </c>
      <c r="I22" s="18" t="s">
        <v>92</v>
      </c>
      <c r="J22" s="18">
        <v>-3.3071085699201469E-4</v>
      </c>
      <c r="K22" s="18">
        <v>6.8504116251854562E-3</v>
      </c>
      <c r="L22" s="18">
        <v>-4.8276056255679614E-2</v>
      </c>
      <c r="M22" s="18">
        <v>0.96172507705264532</v>
      </c>
      <c r="N22" s="18">
        <v>-1.4155401214553559E-2</v>
      </c>
      <c r="O22" s="18">
        <v>1.3493979500569528E-2</v>
      </c>
      <c r="P22" s="18">
        <v>-1.4155401214553559E-2</v>
      </c>
      <c r="Q22" s="18">
        <v>1.3493979500569528E-2</v>
      </c>
    </row>
    <row r="23" spans="1:17" ht="15.75" thickBot="1" x14ac:dyDescent="0.3">
      <c r="A23" s="24">
        <f>'ALL VARS'!A23</f>
        <v>43950</v>
      </c>
      <c r="B23" s="16">
        <f>'ALL VARS'!F23</f>
        <v>-2.9379858648651246E-2</v>
      </c>
      <c r="C23" s="16">
        <f>'ALL VARS'!G23</f>
        <v>2.904386379946032E-2</v>
      </c>
      <c r="D23" s="16">
        <f>'ALL VARS'!H23</f>
        <v>1.0667882350970269E-2</v>
      </c>
      <c r="E23" s="16">
        <f>'ALL VARS'!AM23</f>
        <v>8.9381489120113447E-5</v>
      </c>
      <c r="F23" s="16">
        <f>'ALL VARS'!AO23</f>
        <v>-5.1532971864284827E-4</v>
      </c>
      <c r="G23" s="16">
        <f>'ALL VARS'!J23</f>
        <v>39.449000699999999</v>
      </c>
      <c r="I23" s="28" t="s">
        <v>4</v>
      </c>
      <c r="J23" s="28">
        <v>1.2852144547625803E-4</v>
      </c>
      <c r="K23" s="28">
        <v>7.8657543026500572E-5</v>
      </c>
      <c r="L23" s="28">
        <v>1.6339366897457981</v>
      </c>
      <c r="M23" s="28">
        <v>0.10974704229323476</v>
      </c>
      <c r="N23" s="28">
        <v>-3.0215902894177441E-5</v>
      </c>
      <c r="O23" s="28">
        <v>2.8725879384669349E-4</v>
      </c>
      <c r="P23" s="28">
        <v>-3.0215902894177441E-5</v>
      </c>
      <c r="Q23" s="28">
        <v>2.8725879384669349E-4</v>
      </c>
    </row>
    <row r="24" spans="1:17" x14ac:dyDescent="0.25">
      <c r="A24" s="24">
        <f>'ALL VARS'!A24</f>
        <v>43949</v>
      </c>
      <c r="B24" s="16">
        <f>'ALL VARS'!F24</f>
        <v>2.904386379946032E-2</v>
      </c>
      <c r="C24" s="16">
        <f>'ALL VARS'!G24</f>
        <v>1.0667882350970269E-2</v>
      </c>
      <c r="D24" s="16">
        <f>'ALL VARS'!H24</f>
        <v>1.5373998778727917E-2</v>
      </c>
      <c r="E24" s="16">
        <f>'ALL VARS'!AM24</f>
        <v>-3.1281771812395991E-2</v>
      </c>
      <c r="F24" s="16">
        <f>'ALL VARS'!AO24</f>
        <v>0.16724825932907683</v>
      </c>
      <c r="G24" s="16">
        <f>'ALL VARS'!J24</f>
        <v>39.868000500000008</v>
      </c>
    </row>
    <row r="25" spans="1:17" x14ac:dyDescent="0.25">
      <c r="A25" s="24">
        <f>'ALL VARS'!A25</f>
        <v>43948</v>
      </c>
      <c r="B25" s="16">
        <f>'ALL VARS'!F25</f>
        <v>1.0667882350970269E-2</v>
      </c>
      <c r="C25" s="16">
        <f>'ALL VARS'!G25</f>
        <v>1.5373998778727917E-2</v>
      </c>
      <c r="D25" s="16">
        <f>'ALL VARS'!H25</f>
        <v>1.1879839917270655E-2</v>
      </c>
      <c r="E25" s="16">
        <f>'ALL VARS'!AM25</f>
        <v>-6.1225075935876117E-2</v>
      </c>
      <c r="F25" s="16">
        <f>'ALL VARS'!AO25</f>
        <v>0.279095048293657</v>
      </c>
      <c r="G25" s="16">
        <f>'ALL VARS'!J25</f>
        <v>40.656000200000001</v>
      </c>
    </row>
    <row r="26" spans="1:17" x14ac:dyDescent="0.25">
      <c r="A26" s="24">
        <f>'ALL VARS'!A26</f>
        <v>43945</v>
      </c>
      <c r="B26" s="16">
        <f>'ALL VARS'!F26</f>
        <v>1.5373998778727917E-2</v>
      </c>
      <c r="C26" s="16">
        <f>'ALL VARS'!G26</f>
        <v>1.1879839917270655E-2</v>
      </c>
      <c r="D26" s="16">
        <f>'ALL VARS'!H26</f>
        <v>-2.5965891780394849E-3</v>
      </c>
      <c r="E26" s="16">
        <f>'ALL VARS'!AM26</f>
        <v>-2.6997364525625095E-3</v>
      </c>
      <c r="F26" s="16">
        <f>'ALL VARS'!AO26</f>
        <v>1.0757124230754341E-2</v>
      </c>
      <c r="G26" s="16">
        <f>'ALL VARS'!J26</f>
        <v>41.230000000000004</v>
      </c>
    </row>
    <row r="27" spans="1:17" x14ac:dyDescent="0.25">
      <c r="A27" s="24">
        <f>'ALL VARS'!A27</f>
        <v>43944</v>
      </c>
      <c r="B27" s="16">
        <f>'ALL VARS'!F27</f>
        <v>1.1879839917270655E-2</v>
      </c>
      <c r="C27" s="16">
        <f>'ALL VARS'!G27</f>
        <v>-2.5965891780394849E-3</v>
      </c>
      <c r="D27" s="16">
        <f>'ALL VARS'!H27</f>
        <v>2.4971169199914333E-2</v>
      </c>
      <c r="E27" s="16">
        <f>'ALL VARS'!AM27</f>
        <v>-8.1402878364131015E-3</v>
      </c>
      <c r="F27" s="16">
        <f>'ALL VARS'!AO27</f>
        <v>3.0831415999340837E-2</v>
      </c>
      <c r="G27" s="16">
        <f>'ALL VARS'!J27</f>
        <v>41.42699970000001</v>
      </c>
    </row>
    <row r="28" spans="1:17" x14ac:dyDescent="0.25">
      <c r="A28" s="24">
        <f>'ALL VARS'!A28</f>
        <v>43943</v>
      </c>
      <c r="B28" s="16">
        <f>'ALL VARS'!F28</f>
        <v>-2.5965891780394849E-3</v>
      </c>
      <c r="C28" s="16">
        <f>'ALL VARS'!G28</f>
        <v>2.4971169199914333E-2</v>
      </c>
      <c r="D28" s="16">
        <f>'ALL VARS'!H28</f>
        <v>-3.1150323670921017E-2</v>
      </c>
      <c r="E28" s="16">
        <f>'ALL VARS'!AM28</f>
        <v>6.1397199446457428E-3</v>
      </c>
      <c r="F28" s="16">
        <f>'ALL VARS'!AO28</f>
        <v>-2.0356298048067791E-2</v>
      </c>
      <c r="G28" s="16">
        <f>'ALL VARS'!J28</f>
        <v>41.898999799999999</v>
      </c>
    </row>
    <row r="29" spans="1:17" x14ac:dyDescent="0.25">
      <c r="A29" s="24">
        <f>'ALL VARS'!A29</f>
        <v>43942</v>
      </c>
      <c r="B29" s="16">
        <f>'ALL VARS'!F29</f>
        <v>2.4971169199914333E-2</v>
      </c>
      <c r="C29" s="16">
        <f>'ALL VARS'!G29</f>
        <v>-3.1150323670921017E-2</v>
      </c>
      <c r="D29" s="16">
        <f>'ALL VARS'!H29</f>
        <v>1.9776887879946956E-3</v>
      </c>
      <c r="E29" s="16">
        <f>'ALL VARS'!AM29</f>
        <v>9.4000512138063682E-4</v>
      </c>
      <c r="F29" s="16">
        <f>'ALL VARS'!AO29</f>
        <v>-3.1325755402400938E-3</v>
      </c>
      <c r="G29" s="16">
        <f>'ALL VARS'!J29</f>
        <v>41.881999999999998</v>
      </c>
    </row>
    <row r="30" spans="1:17" x14ac:dyDescent="0.25">
      <c r="A30" s="24">
        <f>'ALL VARS'!A30</f>
        <v>43941</v>
      </c>
      <c r="B30" s="16">
        <f>'ALL VARS'!F30</f>
        <v>-3.1150323670921017E-2</v>
      </c>
      <c r="C30" s="16">
        <f>'ALL VARS'!G30</f>
        <v>1.9776887879946956E-3</v>
      </c>
      <c r="D30" s="16">
        <f>'ALL VARS'!H30</f>
        <v>3.3138402111040632E-2</v>
      </c>
      <c r="E30" s="16">
        <f>'ALL VARS'!AM30</f>
        <v>4.8965542750142421E-2</v>
      </c>
      <c r="F30" s="16">
        <f>'ALL VARS'!AO30</f>
        <v>-0.14863536108483924</v>
      </c>
      <c r="G30" s="16">
        <f>'ALL VARS'!J30</f>
        <v>42.178999699999999</v>
      </c>
    </row>
    <row r="31" spans="1:17" x14ac:dyDescent="0.25">
      <c r="A31" s="24">
        <f>'ALL VARS'!A31</f>
        <v>43938</v>
      </c>
      <c r="B31" s="16">
        <f>'ALL VARS'!F31</f>
        <v>1.9776887879946956E-3</v>
      </c>
      <c r="C31" s="16">
        <f>'ALL VARS'!G31</f>
        <v>3.3138402111040632E-2</v>
      </c>
      <c r="D31" s="16">
        <f>'ALL VARS'!H31</f>
        <v>-4.2482631253185207E-3</v>
      </c>
      <c r="E31" s="16">
        <f>'ALL VARS'!AM31</f>
        <v>-2.0267887700229793E-3</v>
      </c>
      <c r="F31" s="16">
        <f>'ALL VARS'!AO31</f>
        <v>3.5661541237948478E-3</v>
      </c>
      <c r="G31" s="16">
        <f>'ALL VARS'!J31</f>
        <v>43.4549995</v>
      </c>
    </row>
    <row r="32" spans="1:17" x14ac:dyDescent="0.25">
      <c r="A32" s="24">
        <f>'ALL VARS'!A32</f>
        <v>43937</v>
      </c>
      <c r="B32" s="16">
        <f>'ALL VARS'!F32</f>
        <v>3.3138402111040632E-2</v>
      </c>
      <c r="C32" s="16">
        <f>'ALL VARS'!G32</f>
        <v>-4.2482631253185207E-3</v>
      </c>
      <c r="D32" s="16">
        <f>'ALL VARS'!H32</f>
        <v>-2.1026256366684357E-2</v>
      </c>
      <c r="E32" s="16">
        <f>'ALL VARS'!AM32</f>
        <v>-2.5985842192130233E-4</v>
      </c>
      <c r="F32" s="16">
        <f>'ALL VARS'!AO32</f>
        <v>1.6763340516062411E-5</v>
      </c>
      <c r="G32" s="16">
        <f>'ALL VARS'!J32</f>
        <v>45.149999499999993</v>
      </c>
    </row>
    <row r="33" spans="1:7" x14ac:dyDescent="0.25">
      <c r="A33" s="24">
        <f>'ALL VARS'!A33</f>
        <v>43936</v>
      </c>
      <c r="B33" s="16">
        <f>'ALL VARS'!F33</f>
        <v>-4.2482631253185207E-3</v>
      </c>
      <c r="C33" s="16">
        <f>'ALL VARS'!G33</f>
        <v>-2.1026256366684357E-2</v>
      </c>
      <c r="D33" s="16">
        <f>'ALL VARS'!H33</f>
        <v>1.2965422809946055E-2</v>
      </c>
      <c r="E33" s="16">
        <f>'ALL VARS'!AM33</f>
        <v>-4.8921556490696301E-3</v>
      </c>
      <c r="F33" s="16">
        <f>'ALL VARS'!AO33</f>
        <v>-5.897447580028665E-3</v>
      </c>
      <c r="G33" s="16">
        <f>'ALL VARS'!J33</f>
        <v>46.419999600000004</v>
      </c>
    </row>
    <row r="34" spans="1:7" x14ac:dyDescent="0.25">
      <c r="A34" s="24">
        <f>'ALL VARS'!A34</f>
        <v>43935</v>
      </c>
      <c r="B34" s="16">
        <f>'ALL VARS'!F34</f>
        <v>-2.1026256366684357E-2</v>
      </c>
      <c r="C34" s="16">
        <f>'ALL VARS'!G34</f>
        <v>1.2965422809946055E-2</v>
      </c>
      <c r="D34" s="16">
        <f>'ALL VARS'!H34</f>
        <v>-6.4023280464834062E-3</v>
      </c>
      <c r="E34" s="16">
        <f>'ALL VARS'!AM34</f>
        <v>2.2879510431230682E-2</v>
      </c>
      <c r="F34" s="16">
        <f>'ALL VARS'!AO34</f>
        <v>7.1784257741277196E-2</v>
      </c>
      <c r="G34" s="16">
        <f>'ALL VARS'!J34</f>
        <v>48.352000000000004</v>
      </c>
    </row>
    <row r="35" spans="1:7" x14ac:dyDescent="0.25">
      <c r="A35" s="24">
        <f>'ALL VARS'!A35</f>
        <v>43934</v>
      </c>
      <c r="B35" s="16">
        <f>'ALL VARS'!F35</f>
        <v>1.2965422809946055E-2</v>
      </c>
      <c r="C35" s="16">
        <f>'ALL VARS'!G35</f>
        <v>-6.4023280464834062E-3</v>
      </c>
      <c r="D35" s="16">
        <f>'ALL VARS'!H35</f>
        <v>1.729890853793448E-2</v>
      </c>
      <c r="E35" s="16">
        <f>'ALL VARS'!AM35</f>
        <v>-6.1818944325704164E-3</v>
      </c>
      <c r="F35" s="16">
        <f>'ALL VARS'!AO35</f>
        <v>-3.4460916645118959E-2</v>
      </c>
      <c r="G35" s="16">
        <f>'ALL VARS'!J35</f>
        <v>50.789000299999998</v>
      </c>
    </row>
    <row r="36" spans="1:7" x14ac:dyDescent="0.25">
      <c r="A36" s="24">
        <f>'ALL VARS'!A36</f>
        <v>43930</v>
      </c>
      <c r="B36" s="16">
        <f>'ALL VARS'!F36</f>
        <v>-6.4023280464834062E-3</v>
      </c>
      <c r="C36" s="16">
        <f>'ALL VARS'!G36</f>
        <v>1.729890853793448E-2</v>
      </c>
      <c r="D36" s="16">
        <f>'ALL VARS'!H36</f>
        <v>2.2888078899761091E-2</v>
      </c>
      <c r="E36" s="16">
        <f>'ALL VARS'!AM36</f>
        <v>1.754303456471628E-2</v>
      </c>
      <c r="F36" s="16">
        <f>'ALL VARS'!AO36</f>
        <v>0.13170418263259603</v>
      </c>
      <c r="G36" s="16">
        <f>'ALL VARS'!J36</f>
        <v>52.722000499999993</v>
      </c>
    </row>
    <row r="37" spans="1:7" x14ac:dyDescent="0.25">
      <c r="A37" s="24">
        <f>'ALL VARS'!A37</f>
        <v>43929</v>
      </c>
      <c r="B37" s="16">
        <f>'ALL VARS'!F37</f>
        <v>1.729890853793448E-2</v>
      </c>
      <c r="C37" s="16">
        <f>'ALL VARS'!G37</f>
        <v>2.2888078899761091E-2</v>
      </c>
      <c r="D37" s="16">
        <f>'ALL VARS'!H37</f>
        <v>1.5743313464585205E-3</v>
      </c>
      <c r="E37" s="16">
        <f>'ALL VARS'!AM37</f>
        <v>-2.1440254072444168E-2</v>
      </c>
      <c r="F37" s="16">
        <f>'ALL VARS'!AO37</f>
        <v>-0.20512945472711108</v>
      </c>
      <c r="G37" s="16">
        <f>'ALL VARS'!J37</f>
        <v>54.782000800000006</v>
      </c>
    </row>
    <row r="38" spans="1:7" x14ac:dyDescent="0.25">
      <c r="A38" s="24">
        <f>'ALL VARS'!A38</f>
        <v>43928</v>
      </c>
      <c r="B38" s="16">
        <f>'ALL VARS'!F38</f>
        <v>2.2888078899761091E-2</v>
      </c>
      <c r="C38" s="16">
        <f>'ALL VARS'!G38</f>
        <v>1.5743313464585205E-3</v>
      </c>
      <c r="D38" s="16">
        <f>'ALL VARS'!H38</f>
        <v>5.0578545857092143E-2</v>
      </c>
      <c r="E38" s="16">
        <f>'ALL VARS'!AM38</f>
        <v>-7.1727615209948624E-3</v>
      </c>
      <c r="F38" s="16">
        <f>'ALL VARS'!AO38</f>
        <v>-7.9362958779904555E-2</v>
      </c>
      <c r="G38" s="16">
        <f>'ALL VARS'!J38</f>
        <v>56.279000499999995</v>
      </c>
    </row>
    <row r="39" spans="1:7" x14ac:dyDescent="0.25">
      <c r="A39" s="24">
        <f>'ALL VARS'!A39</f>
        <v>43927</v>
      </c>
      <c r="B39" s="16">
        <f>'ALL VARS'!F39</f>
        <v>1.5743313464585205E-3</v>
      </c>
      <c r="C39" s="16">
        <f>'ALL VARS'!G39</f>
        <v>5.0578545857092143E-2</v>
      </c>
      <c r="D39" s="16">
        <f>'ALL VARS'!H39</f>
        <v>-1.2177617796472343E-2</v>
      </c>
      <c r="E39" s="16">
        <f>'ALL VARS'!AM39</f>
        <v>-2.4249151290442516E-3</v>
      </c>
      <c r="F39" s="16">
        <f>'ALL VARS'!AO39</f>
        <v>-3.0795188550502017E-2</v>
      </c>
      <c r="G39" s="16">
        <f>'ALL VARS'!J39</f>
        <v>57.914000299999998</v>
      </c>
    </row>
    <row r="40" spans="1:7" x14ac:dyDescent="0.25">
      <c r="A40" s="24">
        <f>'ALL VARS'!A40</f>
        <v>43924</v>
      </c>
      <c r="B40" s="16">
        <f>'ALL VARS'!F40</f>
        <v>5.0578545857092143E-2</v>
      </c>
      <c r="C40" s="16">
        <f>'ALL VARS'!G40</f>
        <v>-1.2177617796472343E-2</v>
      </c>
      <c r="D40" s="16">
        <f>'ALL VARS'!H40</f>
        <v>1.7194200807451526E-2</v>
      </c>
      <c r="E40" s="16">
        <f>'ALL VARS'!AM40</f>
        <v>-7.7534703539617722E-2</v>
      </c>
      <c r="F40" s="16">
        <f>'ALL VARS'!AO40</f>
        <v>-1.1338280770784155</v>
      </c>
      <c r="G40" s="16">
        <f>'ALL VARS'!J40</f>
        <v>59.8380005</v>
      </c>
    </row>
    <row r="41" spans="1:7" x14ac:dyDescent="0.25">
      <c r="A41" s="24">
        <f>'ALL VARS'!A41</f>
        <v>43923</v>
      </c>
      <c r="B41" s="16">
        <f>'ALL VARS'!F41</f>
        <v>-1.2177617796472343E-2</v>
      </c>
      <c r="C41" s="16">
        <f>'ALL VARS'!G41</f>
        <v>1.7194200807451526E-2</v>
      </c>
      <c r="D41" s="16">
        <f>'ALL VARS'!H41</f>
        <v>-3.7551904604495374E-2</v>
      </c>
      <c r="E41" s="16">
        <f>'ALL VARS'!AM41</f>
        <v>-4.1269149245518721E-2</v>
      </c>
      <c r="F41" s="16">
        <f>'ALL VARS'!AO41</f>
        <v>-0.69053568838365853</v>
      </c>
      <c r="G41" s="16">
        <f>'ALL VARS'!J41</f>
        <v>61.947000500000001</v>
      </c>
    </row>
    <row r="42" spans="1:7" x14ac:dyDescent="0.25">
      <c r="A42" s="24">
        <f>'ALL VARS'!A42</f>
        <v>43922</v>
      </c>
      <c r="B42" s="16">
        <f>'ALL VARS'!F42</f>
        <v>1.7194200807451526E-2</v>
      </c>
      <c r="C42" s="16">
        <f>'ALL VARS'!G42</f>
        <v>-3.7551904604495374E-2</v>
      </c>
      <c r="D42" s="16">
        <f>'ALL VARS'!H42</f>
        <v>2.6099613068988042E-2</v>
      </c>
      <c r="E42" s="16">
        <f>'ALL VARS'!AM42</f>
        <v>1.5602937225845893E-3</v>
      </c>
      <c r="F42" s="16">
        <f>'ALL VARS'!AO42</f>
        <v>2.913301033272522E-2</v>
      </c>
      <c r="G42" s="16">
        <f>'ALL VARS'!J42</f>
        <v>63.886000100000004</v>
      </c>
    </row>
    <row r="43" spans="1:7" x14ac:dyDescent="0.25">
      <c r="A43" s="24">
        <f>'ALL VARS'!A43</f>
        <v>43921</v>
      </c>
      <c r="B43" s="16">
        <f>'ALL VARS'!F43</f>
        <v>-3.7551904604495374E-2</v>
      </c>
      <c r="C43" s="16">
        <f>'ALL VARS'!G43</f>
        <v>2.6099613068988042E-2</v>
      </c>
      <c r="D43" s="16">
        <f>'ALL VARS'!H43</f>
        <v>2.7648809446036929E-2</v>
      </c>
      <c r="E43" s="16">
        <f>'ALL VARS'!AM43</f>
        <v>-1.6716745046733018E-2</v>
      </c>
      <c r="F43" s="16">
        <f>'ALL VARS'!AO43</f>
        <v>-0.34952191981098935</v>
      </c>
      <c r="G43" s="16">
        <f>'ALL VARS'!J43</f>
        <v>66.123000399999995</v>
      </c>
    </row>
    <row r="44" spans="1:7" x14ac:dyDescent="0.25">
      <c r="A44" s="24">
        <f>'ALL VARS'!A44</f>
        <v>43920</v>
      </c>
      <c r="B44" s="16">
        <f>'ALL VARS'!F44</f>
        <v>2.6099613068988042E-2</v>
      </c>
      <c r="C44" s="16">
        <f>'ALL VARS'!G44</f>
        <v>2.7648809446036929E-2</v>
      </c>
      <c r="D44" s="16">
        <f>'ALL VARS'!H44</f>
        <v>-5.1117326046437227E-2</v>
      </c>
      <c r="E44" s="16">
        <f>'ALL VARS'!AM44</f>
        <v>1.1969880910909085E-2</v>
      </c>
      <c r="F44" s="16">
        <f>'ALL VARS'!AO44</f>
        <v>0.28092701692960698</v>
      </c>
      <c r="G44" s="16">
        <f>'ALL VARS'!J44</f>
        <v>68.684000400000002</v>
      </c>
    </row>
    <row r="45" spans="1:7" x14ac:dyDescent="0.25">
      <c r="A45" s="24">
        <f>'ALL VARS'!A45</f>
        <v>43917</v>
      </c>
      <c r="B45" s="16">
        <f>'ALL VARS'!F45</f>
        <v>2.7648809446036929E-2</v>
      </c>
      <c r="C45" s="16">
        <f>'ALL VARS'!G45</f>
        <v>-5.1117326046437227E-2</v>
      </c>
      <c r="D45" s="16">
        <f>'ALL VARS'!H45</f>
        <v>1.7657086927428463E-2</v>
      </c>
      <c r="E45" s="16">
        <f>'ALL VARS'!AM45</f>
        <v>-4.4780295580904822E-2</v>
      </c>
      <c r="F45" s="16">
        <f>'ALL VARS'!AO45</f>
        <v>-1.0164451579821621</v>
      </c>
      <c r="G45" s="16">
        <f>'ALL VARS'!J45</f>
        <v>67.91300050000001</v>
      </c>
    </row>
    <row r="46" spans="1:7" x14ac:dyDescent="0.25">
      <c r="A46" s="24">
        <f>'ALL VARS'!A46</f>
        <v>43916</v>
      </c>
      <c r="B46" s="16">
        <f>'ALL VARS'!F46</f>
        <v>-5.1117326046437227E-2</v>
      </c>
      <c r="C46" s="16">
        <f>'ALL VARS'!G46</f>
        <v>1.7657086927428463E-2</v>
      </c>
      <c r="D46" s="16">
        <f>'ALL VARS'!H46</f>
        <v>4.5191001874909938E-2</v>
      </c>
      <c r="E46" s="16">
        <f>'ALL VARS'!AM46</f>
        <v>-4.2337292064454357E-2</v>
      </c>
      <c r="F46" s="16">
        <f>'ALL VARS'!AO46</f>
        <v>-1.0222547293148232</v>
      </c>
      <c r="G46" s="16">
        <f>'ALL VARS'!J46</f>
        <v>69.360000600000006</v>
      </c>
    </row>
    <row r="47" spans="1:7" x14ac:dyDescent="0.25">
      <c r="A47" s="24">
        <f>'ALL VARS'!A47</f>
        <v>43915</v>
      </c>
      <c r="B47" s="16">
        <f>'ALL VARS'!F47</f>
        <v>1.7657086927428463E-2</v>
      </c>
      <c r="C47" s="16">
        <f>'ALL VARS'!G47</f>
        <v>4.5191001874909938E-2</v>
      </c>
      <c r="D47" s="16">
        <f>'ALL VARS'!H47</f>
        <v>0.11957070036068938</v>
      </c>
      <c r="E47" s="16">
        <f>'ALL VARS'!AM47</f>
        <v>1.0839097112257997E-2</v>
      </c>
      <c r="F47" s="16">
        <f>'ALL VARS'!AO47</f>
        <v>0.25082203660957281</v>
      </c>
      <c r="G47" s="16">
        <f>'ALL VARS'!J47</f>
        <v>68.355000700000005</v>
      </c>
    </row>
    <row r="48" spans="1:7" x14ac:dyDescent="0.25">
      <c r="A48" s="24">
        <f>'ALL VARS'!A48</f>
        <v>43914</v>
      </c>
      <c r="B48" s="16">
        <f>'ALL VARS'!F48</f>
        <v>4.5191001874909938E-2</v>
      </c>
      <c r="C48" s="16">
        <f>'ALL VARS'!G48</f>
        <v>0.11957070036068938</v>
      </c>
      <c r="D48" s="16">
        <f>'ALL VARS'!H48</f>
        <v>-5.2591151998453836E-2</v>
      </c>
      <c r="E48" s="16">
        <f>'ALL VARS'!AM48</f>
        <v>-9.7174079614195941E-3</v>
      </c>
      <c r="F48" s="16">
        <f>'ALL VARS'!AO48</f>
        <v>-0.21090168387154035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C1E-B8CD-420F-A82A-C953023B9F88}">
  <sheetPr codeName="Feuil22"/>
  <dimension ref="A1:Q48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VARS'!AQ1</f>
        <v>Sent_t_k, k=6</v>
      </c>
      <c r="F1" s="16" t="str">
        <f>'ALL VARS'!AS1</f>
        <v>Sent_t_k, k=6 * (VIX_10_t  minus VIX_bar_10)</v>
      </c>
      <c r="G1" s="16" t="str">
        <f>'ALL VARS'!J1</f>
        <v>VIX_10_t</v>
      </c>
    </row>
    <row r="2" spans="1:14" x14ac:dyDescent="0.25">
      <c r="A2" s="24">
        <f>'ALL VARS'!A2</f>
        <v>43980</v>
      </c>
      <c r="B2" s="16">
        <f>'ALL VARS'!F2</f>
        <v>2.3093919546915233E-2</v>
      </c>
      <c r="C2" s="16">
        <f>'ALL VARS'!G2</f>
        <v>-4.5798180601685388E-3</v>
      </c>
      <c r="D2" s="16">
        <f>'ALL VARS'!H2</f>
        <v>-6.0894480094293875E-4</v>
      </c>
      <c r="E2" s="16">
        <f>'ALL VARS'!AQ2</f>
        <v>-3.794859758094106E-2</v>
      </c>
      <c r="F2" s="16">
        <f>'ALL VARS'!AS2</f>
        <v>0.59926561317970028</v>
      </c>
      <c r="G2" s="16">
        <f>'ALL VARS'!J2</f>
        <v>29.423000200000001</v>
      </c>
      <c r="I2" s="18" t="s">
        <v>39</v>
      </c>
    </row>
    <row r="3" spans="1:14" ht="15.75" thickBot="1" x14ac:dyDescent="0.3">
      <c r="A3" s="24">
        <f>'ALL VARS'!A3</f>
        <v>43979</v>
      </c>
      <c r="B3" s="16">
        <f>'ALL VARS'!F3</f>
        <v>-4.5798180601685388E-3</v>
      </c>
      <c r="C3" s="16">
        <f>'ALL VARS'!G3</f>
        <v>-6.0894480094293875E-4</v>
      </c>
      <c r="D3" s="16">
        <f>'ALL VARS'!H3</f>
        <v>8.1792696244475296E-3</v>
      </c>
      <c r="E3" s="16">
        <f>'ALL VARS'!AQ3</f>
        <v>1.3921325823791918E-4</v>
      </c>
      <c r="F3" s="16">
        <f>'ALL VARS'!AS3</f>
        <v>-2.105253738654798E-3</v>
      </c>
      <c r="G3" s="16">
        <f>'ALL VARS'!J3</f>
        <v>30.092000099999996</v>
      </c>
    </row>
    <row r="4" spans="1:14" x14ac:dyDescent="0.25">
      <c r="A4" s="24">
        <f>'ALL VARS'!A4</f>
        <v>43978</v>
      </c>
      <c r="B4" s="16">
        <f>'ALL VARS'!F4</f>
        <v>-6.0894480094293875E-4</v>
      </c>
      <c r="C4" s="16">
        <f>'ALL VARS'!G4</f>
        <v>8.1792696244475296E-3</v>
      </c>
      <c r="D4" s="16">
        <f>'ALL VARS'!H4</f>
        <v>4.8223739412853626E-3</v>
      </c>
      <c r="E4" s="16">
        <f>'ALL VARS'!AQ4</f>
        <v>-6.9139850899143054E-2</v>
      </c>
      <c r="F4" s="16">
        <f>'ALL VARS'!AS4</f>
        <v>1.0080942123500103</v>
      </c>
      <c r="G4" s="16">
        <f>'ALL VARS'!J4</f>
        <v>30.634000099999998</v>
      </c>
      <c r="I4" s="26" t="s">
        <v>40</v>
      </c>
      <c r="J4" s="26"/>
    </row>
    <row r="5" spans="1:14" x14ac:dyDescent="0.25">
      <c r="A5" s="24">
        <f>'ALL VARS'!A5</f>
        <v>43977</v>
      </c>
      <c r="B5" s="16">
        <f>'ALL VARS'!F5</f>
        <v>8.1792696244475296E-3</v>
      </c>
      <c r="C5" s="16">
        <f>'ALL VARS'!G5</f>
        <v>4.8223739412853626E-3</v>
      </c>
      <c r="D5" s="16">
        <f>'ALL VARS'!H5</f>
        <v>1.0849210535487055E-2</v>
      </c>
      <c r="E5" s="16">
        <f>'ALL VARS'!AQ5</f>
        <v>1.7890084463399868E-2</v>
      </c>
      <c r="F5" s="16">
        <f>'ALL VARS'!AS5</f>
        <v>-0.26163369970783151</v>
      </c>
      <c r="G5" s="16">
        <f>'ALL VARS'!J5</f>
        <v>30.590000099999997</v>
      </c>
      <c r="I5" s="18" t="s">
        <v>41</v>
      </c>
      <c r="J5" s="18">
        <v>0.53635472311620203</v>
      </c>
    </row>
    <row r="6" spans="1:14" x14ac:dyDescent="0.25">
      <c r="A6" s="24">
        <f>'ALL VARS'!A6</f>
        <v>43976</v>
      </c>
      <c r="B6" s="16">
        <f>'ALL VARS'!F6</f>
        <v>4.8223739412853626E-3</v>
      </c>
      <c r="C6" s="16">
        <f>'ALL VARS'!G6</f>
        <v>1.0849210535487055E-2</v>
      </c>
      <c r="D6" s="16">
        <f>'ALL VARS'!H6</f>
        <v>1.9280759189597432E-3</v>
      </c>
      <c r="E6" s="16">
        <f>'ALL VARS'!AQ6</f>
        <v>-1.196396563690969E-2</v>
      </c>
      <c r="F6" s="16">
        <f>'ALL VARS'!AS6</f>
        <v>0.1750747977949271</v>
      </c>
      <c r="G6" s="16">
        <f>'ALL VARS'!J6</f>
        <v>30.581000099999997</v>
      </c>
      <c r="I6" s="18" t="s">
        <v>42</v>
      </c>
      <c r="J6" s="18">
        <v>0.28767638900905779</v>
      </c>
    </row>
    <row r="7" spans="1:14" x14ac:dyDescent="0.25">
      <c r="A7" s="24">
        <f>'ALL VARS'!A7</f>
        <v>43973</v>
      </c>
      <c r="B7" s="16">
        <f>'ALL VARS'!F7</f>
        <v>1.0849210535487055E-2</v>
      </c>
      <c r="C7" s="16">
        <f>'ALL VARS'!G7</f>
        <v>1.9280759189597432E-3</v>
      </c>
      <c r="D7" s="16">
        <f>'ALL VARS'!H7</f>
        <v>-7.5144837132717695E-3</v>
      </c>
      <c r="E7" s="16">
        <f>'ALL VARS'!AQ7</f>
        <v>1.6900038817622122E-2</v>
      </c>
      <c r="F7" s="16">
        <f>'ALL VARS'!AS7</f>
        <v>-0.24745896903457049</v>
      </c>
      <c r="G7" s="16">
        <f>'ALL VARS'!J7</f>
        <v>30.572000099999997</v>
      </c>
      <c r="I7" s="18" t="s">
        <v>42</v>
      </c>
      <c r="J7" s="18">
        <v>0.19602652129563469</v>
      </c>
    </row>
    <row r="8" spans="1:14" x14ac:dyDescent="0.25">
      <c r="A8" s="24">
        <f>'ALL VARS'!A8</f>
        <v>43972</v>
      </c>
      <c r="B8" s="16">
        <f>'ALL VARS'!F8</f>
        <v>1.9280759189597432E-3</v>
      </c>
      <c r="C8" s="16">
        <f>'ALL VARS'!G8</f>
        <v>-7.5144837132717695E-3</v>
      </c>
      <c r="D8" s="16">
        <f>'ALL VARS'!H8</f>
        <v>7.5307923146686901E-3</v>
      </c>
      <c r="E8" s="16">
        <f>'ALL VARS'!AQ8</f>
        <v>1.5146466565282085E-3</v>
      </c>
      <c r="F8" s="16">
        <f>'ALL VARS'!AS8</f>
        <v>-2.1888929658430804E-2</v>
      </c>
      <c r="G8" s="16">
        <f>'ALL VARS'!J8</f>
        <v>30.763000099999999</v>
      </c>
      <c r="I8" s="18" t="s">
        <v>43</v>
      </c>
      <c r="J8" s="18">
        <v>1.8279065401580304E-2</v>
      </c>
    </row>
    <row r="9" spans="1:14" ht="15.75" thickBot="1" x14ac:dyDescent="0.3">
      <c r="A9" s="24">
        <f>'ALL VARS'!A9</f>
        <v>43971</v>
      </c>
      <c r="B9" s="16">
        <f>'ALL VARS'!F9</f>
        <v>-7.5144837132717695E-3</v>
      </c>
      <c r="C9" s="16">
        <f>'ALL VARS'!G9</f>
        <v>7.5307923146686901E-3</v>
      </c>
      <c r="D9" s="16">
        <f>'ALL VARS'!H9</f>
        <v>1.6845500851389788E-2</v>
      </c>
      <c r="E9" s="16">
        <f>'ALL VARS'!AQ9</f>
        <v>0.29459082105573497</v>
      </c>
      <c r="F9" s="16">
        <f>'ALL VARS'!AS9</f>
        <v>-4.0766977326317786</v>
      </c>
      <c r="G9" s="16">
        <f>'ALL VARS'!J9</f>
        <v>31.375999999999998</v>
      </c>
      <c r="I9" s="28" t="s">
        <v>44</v>
      </c>
      <c r="J9" s="28">
        <v>47</v>
      </c>
    </row>
    <row r="10" spans="1:14" x14ac:dyDescent="0.25">
      <c r="A10" s="24">
        <f>'ALL VARS'!A10</f>
        <v>43970</v>
      </c>
      <c r="B10" s="16">
        <f>'ALL VARS'!F10</f>
        <v>7.5307923146686901E-3</v>
      </c>
      <c r="C10" s="16">
        <f>'ALL VARS'!G10</f>
        <v>1.6845500851389788E-2</v>
      </c>
      <c r="D10" s="16">
        <f>'ALL VARS'!H10</f>
        <v>8.9044014875318926E-3</v>
      </c>
      <c r="E10" s="16">
        <f>'ALL VARS'!AQ10</f>
        <v>8.3452897586769031E-3</v>
      </c>
      <c r="F10" s="16">
        <f>'ALL VARS'!AS10</f>
        <v>-0.11291601830451233</v>
      </c>
      <c r="G10" s="16">
        <f>'ALL VARS'!J10</f>
        <v>31.683999999999997</v>
      </c>
    </row>
    <row r="11" spans="1:14" ht="15.75" thickBot="1" x14ac:dyDescent="0.3">
      <c r="A11" s="24">
        <f>'ALL VARS'!A11</f>
        <v>43966</v>
      </c>
      <c r="B11" s="16">
        <f>'ALL VARS'!F11</f>
        <v>1.6845500851389788E-2</v>
      </c>
      <c r="C11" s="16">
        <f>'ALL VARS'!G11</f>
        <v>8.9044014875318926E-3</v>
      </c>
      <c r="D11" s="16">
        <f>'ALL VARS'!H11</f>
        <v>4.4817694802564231E-4</v>
      </c>
      <c r="E11" s="16">
        <f>'ALL VARS'!AQ11</f>
        <v>-4.4681785963683565E-2</v>
      </c>
      <c r="F11" s="16">
        <f>'ALL VARS'!AS11</f>
        <v>0.55108320100991914</v>
      </c>
      <c r="G11" s="16">
        <f>'ALL VARS'!J11</f>
        <v>32.881000200000003</v>
      </c>
      <c r="I11" s="18" t="s">
        <v>45</v>
      </c>
    </row>
    <row r="12" spans="1:14" x14ac:dyDescent="0.25">
      <c r="A12" s="24">
        <f>'ALL VARS'!A12</f>
        <v>43965</v>
      </c>
      <c r="B12" s="16">
        <f>'ALL VARS'!F12</f>
        <v>8.9044014875318926E-3</v>
      </c>
      <c r="C12" s="16">
        <f>'ALL VARS'!G12</f>
        <v>4.4817694802564231E-4</v>
      </c>
      <c r="D12" s="16">
        <f>'ALL VARS'!H12</f>
        <v>-2.5401176991557837E-2</v>
      </c>
      <c r="E12" s="16">
        <f>'ALL VARS'!AQ12</f>
        <v>7.8871721243973542E-2</v>
      </c>
      <c r="F12" s="16">
        <f>'ALL VARS'!AS12</f>
        <v>-0.9606188161819198</v>
      </c>
      <c r="G12" s="16">
        <f>'ALL VARS'!J12</f>
        <v>33.0350003</v>
      </c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A13" s="24">
        <f>'ALL VARS'!A13</f>
        <v>43964</v>
      </c>
      <c r="B13" s="16">
        <f>'ALL VARS'!F13</f>
        <v>4.4817694802564231E-4</v>
      </c>
      <c r="C13" s="16">
        <f>'ALL VARS'!G13</f>
        <v>-2.5401176991557837E-2</v>
      </c>
      <c r="D13" s="16">
        <f>'ALL VARS'!H13</f>
        <v>-1.4698871572495898E-2</v>
      </c>
      <c r="E13" s="16">
        <f>'ALL VARS'!AQ13</f>
        <v>4.8716392446393718E-2</v>
      </c>
      <c r="F13" s="16">
        <f>'ALL VARS'!AS13</f>
        <v>-0.61307186038635453</v>
      </c>
      <c r="G13" s="16">
        <f>'ALL VARS'!J13</f>
        <v>32.630000399999993</v>
      </c>
      <c r="I13" s="18" t="s">
        <v>46</v>
      </c>
      <c r="J13" s="18">
        <v>5</v>
      </c>
      <c r="K13" s="18">
        <v>5.6674036125448669E-3</v>
      </c>
      <c r="L13" s="18">
        <v>1.1334807225089733E-3</v>
      </c>
      <c r="M13" s="18">
        <v>3.3923930505608531</v>
      </c>
      <c r="N13" s="18">
        <v>1.176248585047807E-2</v>
      </c>
    </row>
    <row r="14" spans="1:14" x14ac:dyDescent="0.25">
      <c r="A14" s="24">
        <f>'ALL VARS'!A14</f>
        <v>43963</v>
      </c>
      <c r="B14" s="16">
        <f>'ALL VARS'!F14</f>
        <v>-2.5401176991557837E-2</v>
      </c>
      <c r="C14" s="16">
        <f>'ALL VARS'!G14</f>
        <v>-1.4698871572495898E-2</v>
      </c>
      <c r="D14" s="16">
        <f>'ALL VARS'!H14</f>
        <v>9.1270288220883112E-3</v>
      </c>
      <c r="E14" s="16">
        <f>'ALL VARS'!AQ14</f>
        <v>-2.6454948922483507E-3</v>
      </c>
      <c r="F14" s="16">
        <f>'ALL VARS'!AS14</f>
        <v>3.3152042295145456E-2</v>
      </c>
      <c r="G14" s="16">
        <f>'ALL VARS'!J14</f>
        <v>32.683000299999996</v>
      </c>
      <c r="I14" s="18" t="s">
        <v>47</v>
      </c>
      <c r="J14" s="18">
        <v>42</v>
      </c>
      <c r="K14" s="18">
        <v>1.4033217742120508E-2</v>
      </c>
      <c r="L14" s="18">
        <v>3.3412423195525019E-4</v>
      </c>
    </row>
    <row r="15" spans="1:14" ht="15.75" thickBot="1" x14ac:dyDescent="0.3">
      <c r="A15" s="24">
        <f>'ALL VARS'!A15</f>
        <v>43962</v>
      </c>
      <c r="B15" s="16">
        <f>'ALL VARS'!F15</f>
        <v>-1.4698871572495898E-2</v>
      </c>
      <c r="C15" s="16">
        <f>'ALL VARS'!G15</f>
        <v>9.1270288220883112E-3</v>
      </c>
      <c r="D15" s="16">
        <f>'ALL VARS'!H15</f>
        <v>8.9592894728179693E-3</v>
      </c>
      <c r="E15" s="16">
        <f>'ALL VARS'!AQ15</f>
        <v>1.3179888306233662E-2</v>
      </c>
      <c r="F15" s="16">
        <f>'ALL VARS'!AS15</f>
        <v>-0.15762498773042144</v>
      </c>
      <c r="G15" s="16">
        <f>'ALL VARS'!J15</f>
        <v>33.2550004</v>
      </c>
      <c r="I15" s="28" t="s">
        <v>48</v>
      </c>
      <c r="J15" s="28">
        <v>47</v>
      </c>
      <c r="K15" s="28">
        <v>1.9700621354665375E-2</v>
      </c>
      <c r="L15" s="28"/>
      <c r="M15" s="28"/>
      <c r="N15" s="28"/>
    </row>
    <row r="16" spans="1:14" ht="15.75" thickBot="1" x14ac:dyDescent="0.3">
      <c r="A16" s="24">
        <f>'ALL VARS'!A16</f>
        <v>43959</v>
      </c>
      <c r="B16" s="16">
        <f>'ALL VARS'!F16</f>
        <v>9.1270288220883112E-3</v>
      </c>
      <c r="C16" s="16">
        <f>'ALL VARS'!G16</f>
        <v>8.9592894728179693E-3</v>
      </c>
      <c r="D16" s="16">
        <f>'ALL VARS'!H16</f>
        <v>2.0228309928424119E-4</v>
      </c>
      <c r="E16" s="16">
        <f>'ALL VARS'!AQ16</f>
        <v>1.8026310506875309E-2</v>
      </c>
      <c r="F16" s="16">
        <f>'ALL VARS'!AS16</f>
        <v>-0.20125489893328005</v>
      </c>
      <c r="G16" s="16">
        <f>'ALL VARS'!J16</f>
        <v>34.050000400000002</v>
      </c>
    </row>
    <row r="17" spans="1:17" x14ac:dyDescent="0.25">
      <c r="A17" s="24">
        <f>'ALL VARS'!A17</f>
        <v>43958</v>
      </c>
      <c r="B17" s="16">
        <f>'ALL VARS'!F17</f>
        <v>8.9592894728179693E-3</v>
      </c>
      <c r="C17" s="16">
        <f>'ALL VARS'!G17</f>
        <v>2.0228309928424119E-4</v>
      </c>
      <c r="D17" s="16">
        <f>'ALL VARS'!H17</f>
        <v>1.2895694256002256E-3</v>
      </c>
      <c r="E17" s="16">
        <f>'ALL VARS'!AQ17</f>
        <v>-4.7954920898685659E-2</v>
      </c>
      <c r="F17" s="16">
        <f>'ALL VARS'!AS17</f>
        <v>0.48772593608545228</v>
      </c>
      <c r="G17" s="16">
        <f>'ALL VARS'!J17</f>
        <v>35.044000400000002</v>
      </c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1:17" x14ac:dyDescent="0.25">
      <c r="A18" s="24">
        <f>'ALL VARS'!A18</f>
        <v>43957</v>
      </c>
      <c r="B18" s="16">
        <f>'ALL VARS'!F18</f>
        <v>2.0228309928424119E-4</v>
      </c>
      <c r="C18" s="16">
        <f>'ALL VARS'!G18</f>
        <v>1.2895694256002256E-3</v>
      </c>
      <c r="D18" s="16">
        <f>'ALL VARS'!H18</f>
        <v>4.5167588335029351E-3</v>
      </c>
      <c r="E18" s="16">
        <f>'ALL VARS'!AQ18</f>
        <v>-5.3088061077177914E-3</v>
      </c>
      <c r="F18" s="16">
        <f>'ALL VARS'!AS18</f>
        <v>4.9820536117238953E-2</v>
      </c>
      <c r="G18" s="16">
        <f>'ALL VARS'!J18</f>
        <v>35.830000499999997</v>
      </c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4">
        <f>'ALL VARS'!A19</f>
        <v>43956</v>
      </c>
      <c r="B19" s="16">
        <f>'ALL VARS'!F19</f>
        <v>1.2895694256002256E-3</v>
      </c>
      <c r="C19" s="16">
        <f>'ALL VARS'!G19</f>
        <v>4.5167588335029351E-3</v>
      </c>
      <c r="D19" s="16">
        <f>'ALL VARS'!H19</f>
        <v>8.5292501975474666E-3</v>
      </c>
      <c r="E19" s="16">
        <f>'ALL VARS'!AQ19</f>
        <v>3.609258504372076E-3</v>
      </c>
      <c r="F19" s="16">
        <f>'ALL VARS'!AS19</f>
        <v>-2.9612192489399981E-2</v>
      </c>
      <c r="G19" s="16">
        <f>'ALL VARS'!J19</f>
        <v>37.010000400000003</v>
      </c>
      <c r="I19" s="18" t="s">
        <v>36</v>
      </c>
      <c r="J19" s="18">
        <v>0.10391486028098663</v>
      </c>
      <c r="K19" s="18">
        <v>0.11800462002245811</v>
      </c>
      <c r="L19" s="18">
        <v>0.88059993126718283</v>
      </c>
      <c r="M19" s="18">
        <v>0.38354578653224514</v>
      </c>
      <c r="N19" s="18">
        <v>-0.13422810423437931</v>
      </c>
      <c r="O19" s="18">
        <v>0.34205782479635261</v>
      </c>
      <c r="P19" s="18">
        <v>-0.13422810423437931</v>
      </c>
      <c r="Q19" s="18">
        <v>0.34205782479635261</v>
      </c>
    </row>
    <row r="20" spans="1:17" x14ac:dyDescent="0.25">
      <c r="A20" s="24">
        <f>'ALL VARS'!A20</f>
        <v>43955</v>
      </c>
      <c r="B20" s="16">
        <f>'ALL VARS'!F20</f>
        <v>4.5167588335029351E-3</v>
      </c>
      <c r="C20" s="16">
        <f>'ALL VARS'!G20</f>
        <v>8.5292501975474666E-3</v>
      </c>
      <c r="D20" s="16">
        <f>'ALL VARS'!H20</f>
        <v>-1.0852015661224153E-2</v>
      </c>
      <c r="E20" s="16">
        <f>'ALL VARS'!AQ20</f>
        <v>-2.2304570133900411E-2</v>
      </c>
      <c r="F20" s="16">
        <f>'ALL VARS'!AS20</f>
        <v>0.16546664344023235</v>
      </c>
      <c r="G20" s="16">
        <f>'ALL VARS'!J20</f>
        <v>37.796000499999998</v>
      </c>
      <c r="I20" s="18" t="s">
        <v>37</v>
      </c>
      <c r="J20" s="18">
        <v>-0.17322125239443387</v>
      </c>
      <c r="K20" s="18">
        <v>0.10167312732714223</v>
      </c>
      <c r="L20" s="18">
        <v>-1.7037073310146078</v>
      </c>
      <c r="M20" s="18">
        <v>9.5825216900284713E-2</v>
      </c>
      <c r="N20" s="18">
        <v>-0.37840593032166975</v>
      </c>
      <c r="O20" s="18">
        <v>3.1963425532802014E-2</v>
      </c>
      <c r="P20" s="18">
        <v>-0.37840593032166975</v>
      </c>
      <c r="Q20" s="18">
        <v>3.1963425532802014E-2</v>
      </c>
    </row>
    <row r="21" spans="1:17" x14ac:dyDescent="0.25">
      <c r="A21" s="24">
        <f>'ALL VARS'!A21</f>
        <v>43952</v>
      </c>
      <c r="B21" s="16">
        <f>'ALL VARS'!F21</f>
        <v>8.5292501975474666E-3</v>
      </c>
      <c r="C21" s="16">
        <f>'ALL VARS'!G21</f>
        <v>-1.0852015661224153E-2</v>
      </c>
      <c r="D21" s="16">
        <f>'ALL VARS'!H21</f>
        <v>-2.9379858648651246E-2</v>
      </c>
      <c r="E21" s="16">
        <f>'ALL VARS'!AQ21</f>
        <v>-7.90261940704437E-2</v>
      </c>
      <c r="F21" s="16">
        <f>'ALL VARS'!AS21</f>
        <v>0.57866995520475339</v>
      </c>
      <c r="G21" s="16">
        <f>'ALL VARS'!J21</f>
        <v>37.892000799999991</v>
      </c>
      <c r="I21" s="18" t="s">
        <v>27</v>
      </c>
      <c r="J21" s="18">
        <v>-0.13854990815295576</v>
      </c>
      <c r="K21" s="18">
        <v>4.5771122918882023E-2</v>
      </c>
      <c r="L21" s="18">
        <v>-3.0270157102874915</v>
      </c>
      <c r="M21" s="18">
        <v>4.2076134648103463E-3</v>
      </c>
      <c r="N21" s="18">
        <v>-0.2309197738330056</v>
      </c>
      <c r="O21" s="18">
        <v>-4.6180042472905913E-2</v>
      </c>
      <c r="P21" s="18">
        <v>-0.2309197738330056</v>
      </c>
      <c r="Q21" s="18">
        <v>-4.6180042472905913E-2</v>
      </c>
    </row>
    <row r="22" spans="1:17" x14ac:dyDescent="0.25">
      <c r="A22" s="24">
        <f>'ALL VARS'!A22</f>
        <v>43951</v>
      </c>
      <c r="B22" s="16">
        <f>'ALL VARS'!F22</f>
        <v>-1.0852015661224153E-2</v>
      </c>
      <c r="C22" s="16">
        <f>'ALL VARS'!G22</f>
        <v>-2.9379858648651246E-2</v>
      </c>
      <c r="D22" s="16">
        <f>'ALL VARS'!H22</f>
        <v>2.904386379946032E-2</v>
      </c>
      <c r="E22" s="16">
        <f>'ALL VARS'!AQ22</f>
        <v>-2.2600957416418328E-2</v>
      </c>
      <c r="F22" s="16">
        <f>'ALL VARS'!AS22</f>
        <v>0.15202552796669019</v>
      </c>
      <c r="G22" s="16">
        <f>'ALL VARS'!J22</f>
        <v>38.488000700000001</v>
      </c>
      <c r="I22" s="18" t="s">
        <v>93</v>
      </c>
      <c r="J22" s="18">
        <v>-7.3467557507536268E-3</v>
      </c>
      <c r="K22" s="18">
        <v>3.341757615106323E-3</v>
      </c>
      <c r="L22" s="18">
        <v>-2.1984705645744085</v>
      </c>
      <c r="M22" s="18">
        <v>3.3477731980871811E-2</v>
      </c>
      <c r="N22" s="18">
        <v>-1.4090695649053905E-2</v>
      </c>
      <c r="O22" s="18">
        <v>-6.0281585245334883E-4</v>
      </c>
      <c r="P22" s="18">
        <v>-1.4090695649053905E-2</v>
      </c>
      <c r="Q22" s="18">
        <v>-6.0281585245334883E-4</v>
      </c>
    </row>
    <row r="23" spans="1:17" ht="15.75" thickBot="1" x14ac:dyDescent="0.3">
      <c r="A23" s="24">
        <f>'ALL VARS'!A23</f>
        <v>43950</v>
      </c>
      <c r="B23" s="16">
        <f>'ALL VARS'!F23</f>
        <v>-2.9379858648651246E-2</v>
      </c>
      <c r="C23" s="16">
        <f>'ALL VARS'!G23</f>
        <v>2.904386379946032E-2</v>
      </c>
      <c r="D23" s="16">
        <f>'ALL VARS'!H23</f>
        <v>1.0667882350970269E-2</v>
      </c>
      <c r="E23" s="16">
        <f>'ALL VARS'!AQ23</f>
        <v>8.122242888256425E-4</v>
      </c>
      <c r="F23" s="16">
        <f>'ALL VARS'!AS23</f>
        <v>-4.6828858900854553E-3</v>
      </c>
      <c r="G23" s="16">
        <f>'ALL VARS'!J23</f>
        <v>39.449000699999999</v>
      </c>
      <c r="I23" s="28" t="s">
        <v>4</v>
      </c>
      <c r="J23" s="28">
        <v>3.4304561746585082E-5</v>
      </c>
      <c r="K23" s="28">
        <v>7.3222483726439409E-5</v>
      </c>
      <c r="L23" s="28">
        <v>0.46849765264379145</v>
      </c>
      <c r="M23" s="28">
        <v>0.6418512533182259</v>
      </c>
      <c r="N23" s="28">
        <v>-1.1346439289666373E-4</v>
      </c>
      <c r="O23" s="28">
        <v>1.8207351638983388E-4</v>
      </c>
      <c r="P23" s="28">
        <v>-1.1346439289666373E-4</v>
      </c>
      <c r="Q23" s="28">
        <v>1.8207351638983388E-4</v>
      </c>
    </row>
    <row r="24" spans="1:17" x14ac:dyDescent="0.25">
      <c r="A24" s="24">
        <f>'ALL VARS'!A24</f>
        <v>43949</v>
      </c>
      <c r="B24" s="16">
        <f>'ALL VARS'!F24</f>
        <v>2.904386379946032E-2</v>
      </c>
      <c r="C24" s="16">
        <f>'ALL VARS'!G24</f>
        <v>1.0667882350970269E-2</v>
      </c>
      <c r="D24" s="16">
        <f>'ALL VARS'!H24</f>
        <v>1.5373998778727917E-2</v>
      </c>
      <c r="E24" s="16">
        <f>'ALL VARS'!AQ24</f>
        <v>-2.3628627349207838E-3</v>
      </c>
      <c r="F24" s="16">
        <f>'ALL VARS'!AS24</f>
        <v>1.2633065729750117E-2</v>
      </c>
      <c r="G24" s="16">
        <f>'ALL VARS'!J24</f>
        <v>39.868000500000008</v>
      </c>
    </row>
    <row r="25" spans="1:17" x14ac:dyDescent="0.25">
      <c r="A25" s="24">
        <f>'ALL VARS'!A25</f>
        <v>43948</v>
      </c>
      <c r="B25" s="16">
        <f>'ALL VARS'!F25</f>
        <v>1.0667882350970269E-2</v>
      </c>
      <c r="C25" s="16">
        <f>'ALL VARS'!G25</f>
        <v>1.5373998778727917E-2</v>
      </c>
      <c r="D25" s="16">
        <f>'ALL VARS'!H25</f>
        <v>1.1879839917270655E-2</v>
      </c>
      <c r="E25" s="16">
        <f>'ALL VARS'!AQ25</f>
        <v>-0.13413561915042096</v>
      </c>
      <c r="F25" s="16">
        <f>'ALL VARS'!AS25</f>
        <v>0.61145840217324365</v>
      </c>
      <c r="G25" s="16">
        <f>'ALL VARS'!J25</f>
        <v>40.656000200000001</v>
      </c>
    </row>
    <row r="26" spans="1:17" x14ac:dyDescent="0.25">
      <c r="A26" s="24">
        <f>'ALL VARS'!A26</f>
        <v>43945</v>
      </c>
      <c r="B26" s="16">
        <f>'ALL VARS'!F26</f>
        <v>1.5373998778727917E-2</v>
      </c>
      <c r="C26" s="16">
        <f>'ALL VARS'!G26</f>
        <v>1.1879839917270655E-2</v>
      </c>
      <c r="D26" s="16">
        <f>'ALL VARS'!H26</f>
        <v>-2.5965891780394849E-3</v>
      </c>
      <c r="E26" s="16">
        <f>'ALL VARS'!AQ26</f>
        <v>-2.0094052010291336E-3</v>
      </c>
      <c r="F26" s="16">
        <f>'ALL VARS'!AS26</f>
        <v>8.0064931363495045E-3</v>
      </c>
      <c r="G26" s="16">
        <f>'ALL VARS'!J26</f>
        <v>41.230000000000004</v>
      </c>
    </row>
    <row r="27" spans="1:17" x14ac:dyDescent="0.25">
      <c r="A27" s="24">
        <f>'ALL VARS'!A27</f>
        <v>43944</v>
      </c>
      <c r="B27" s="16">
        <f>'ALL VARS'!F27</f>
        <v>1.1879839917270655E-2</v>
      </c>
      <c r="C27" s="16">
        <f>'ALL VARS'!G27</f>
        <v>-2.5965891780394849E-3</v>
      </c>
      <c r="D27" s="16">
        <f>'ALL VARS'!H27</f>
        <v>2.4971169199914333E-2</v>
      </c>
      <c r="E27" s="16">
        <f>'ALL VARS'!AQ27</f>
        <v>-4.9725657794808205E-2</v>
      </c>
      <c r="F27" s="16">
        <f>'ALL VARS'!AS27</f>
        <v>0.18833639204435559</v>
      </c>
      <c r="G27" s="16">
        <f>'ALL VARS'!J27</f>
        <v>41.42699970000001</v>
      </c>
    </row>
    <row r="28" spans="1:17" x14ac:dyDescent="0.25">
      <c r="A28" s="24">
        <f>'ALL VARS'!A28</f>
        <v>43943</v>
      </c>
      <c r="B28" s="16">
        <f>'ALL VARS'!F28</f>
        <v>-2.5965891780394849E-3</v>
      </c>
      <c r="C28" s="16">
        <f>'ALL VARS'!G28</f>
        <v>2.4971169199914333E-2</v>
      </c>
      <c r="D28" s="16">
        <f>'ALL VARS'!H28</f>
        <v>-3.1150323670921017E-2</v>
      </c>
      <c r="E28" s="16">
        <f>'ALL VARS'!AQ28</f>
        <v>9.3626009210135536E-4</v>
      </c>
      <c r="F28" s="16">
        <f>'ALL VARS'!AS28</f>
        <v>-3.1041789620953578E-3</v>
      </c>
      <c r="G28" s="16">
        <f>'ALL VARS'!J28</f>
        <v>41.898999799999999</v>
      </c>
    </row>
    <row r="29" spans="1:17" x14ac:dyDescent="0.25">
      <c r="A29" s="24">
        <f>'ALL VARS'!A29</f>
        <v>43942</v>
      </c>
      <c r="B29" s="16">
        <f>'ALL VARS'!F29</f>
        <v>2.4971169199914333E-2</v>
      </c>
      <c r="C29" s="16">
        <f>'ALL VARS'!G29</f>
        <v>-3.1150323670921017E-2</v>
      </c>
      <c r="D29" s="16">
        <f>'ALL VARS'!H29</f>
        <v>1.9776887879946956E-3</v>
      </c>
      <c r="E29" s="16">
        <f>'ALL VARS'!AQ29</f>
        <v>9.4002607497799728E-4</v>
      </c>
      <c r="F29" s="16">
        <f>'ALL VARS'!AS29</f>
        <v>-3.132645368292174E-3</v>
      </c>
      <c r="G29" s="16">
        <f>'ALL VARS'!J29</f>
        <v>41.881999999999998</v>
      </c>
    </row>
    <row r="30" spans="1:17" x14ac:dyDescent="0.25">
      <c r="A30" s="24">
        <f>'ALL VARS'!A30</f>
        <v>43941</v>
      </c>
      <c r="B30" s="16">
        <f>'ALL VARS'!F30</f>
        <v>-3.1150323670921017E-2</v>
      </c>
      <c r="C30" s="16">
        <f>'ALL VARS'!G30</f>
        <v>1.9776887879946956E-3</v>
      </c>
      <c r="D30" s="16">
        <f>'ALL VARS'!H30</f>
        <v>3.3138402111040632E-2</v>
      </c>
      <c r="E30" s="16">
        <f>'ALL VARS'!AQ30</f>
        <v>4.1156119388505157E-2</v>
      </c>
      <c r="F30" s="16">
        <f>'ALL VARS'!AS30</f>
        <v>-0.12492978373334634</v>
      </c>
      <c r="G30" s="16">
        <f>'ALL VARS'!J30</f>
        <v>42.178999699999999</v>
      </c>
    </row>
    <row r="31" spans="1:17" x14ac:dyDescent="0.25">
      <c r="A31" s="24">
        <f>'ALL VARS'!A31</f>
        <v>43938</v>
      </c>
      <c r="B31" s="16">
        <f>'ALL VARS'!F31</f>
        <v>1.9776887879946956E-3</v>
      </c>
      <c r="C31" s="16">
        <f>'ALL VARS'!G31</f>
        <v>3.3138402111040632E-2</v>
      </c>
      <c r="D31" s="16">
        <f>'ALL VARS'!H31</f>
        <v>-4.2482631253185207E-3</v>
      </c>
      <c r="E31" s="16">
        <f>'ALL VARS'!AQ31</f>
        <v>-2.0038085440039833E-4</v>
      </c>
      <c r="F31" s="16">
        <f>'ALL VARS'!AS31</f>
        <v>3.5257201974797485E-4</v>
      </c>
      <c r="G31" s="16">
        <f>'ALL VARS'!J31</f>
        <v>43.4549995</v>
      </c>
    </row>
    <row r="32" spans="1:17" x14ac:dyDescent="0.25">
      <c r="A32" s="24">
        <f>'ALL VARS'!A32</f>
        <v>43937</v>
      </c>
      <c r="B32" s="16">
        <f>'ALL VARS'!F32</f>
        <v>3.3138402111040632E-2</v>
      </c>
      <c r="C32" s="16">
        <f>'ALL VARS'!G32</f>
        <v>-4.2482631253185207E-3</v>
      </c>
      <c r="D32" s="16">
        <f>'ALL VARS'!H32</f>
        <v>-2.1026256366684357E-2</v>
      </c>
      <c r="E32" s="16">
        <f>'ALL VARS'!AQ32</f>
        <v>-3.3576868270774659E-3</v>
      </c>
      <c r="F32" s="16">
        <f>'ALL VARS'!AS32</f>
        <v>2.1660274549671073E-4</v>
      </c>
      <c r="G32" s="16">
        <f>'ALL VARS'!J32</f>
        <v>45.149999499999993</v>
      </c>
    </row>
    <row r="33" spans="1:7" x14ac:dyDescent="0.25">
      <c r="A33" s="24">
        <f>'ALL VARS'!A33</f>
        <v>43936</v>
      </c>
      <c r="B33" s="16">
        <f>'ALL VARS'!F33</f>
        <v>-4.2482631253185207E-3</v>
      </c>
      <c r="C33" s="16">
        <f>'ALL VARS'!G33</f>
        <v>-2.1026256366684357E-2</v>
      </c>
      <c r="D33" s="16">
        <f>'ALL VARS'!H33</f>
        <v>1.2965422809946055E-2</v>
      </c>
      <c r="E33" s="16">
        <f>'ALL VARS'!AQ33</f>
        <v>-6.8141290110918559E-2</v>
      </c>
      <c r="F33" s="16">
        <f>'ALL VARS'!AS33</f>
        <v>-8.2143683744218543E-2</v>
      </c>
      <c r="G33" s="16">
        <f>'ALL VARS'!J33</f>
        <v>46.419999600000004</v>
      </c>
    </row>
    <row r="34" spans="1:7" x14ac:dyDescent="0.25">
      <c r="A34" s="24">
        <f>'ALL VARS'!A34</f>
        <v>43935</v>
      </c>
      <c r="B34" s="16">
        <f>'ALL VARS'!F34</f>
        <v>-2.1026256366684357E-2</v>
      </c>
      <c r="C34" s="16">
        <f>'ALL VARS'!G34</f>
        <v>1.2965422809946055E-2</v>
      </c>
      <c r="D34" s="16">
        <f>'ALL VARS'!H34</f>
        <v>-6.4023280464834062E-3</v>
      </c>
      <c r="E34" s="16">
        <f>'ALL VARS'!AQ34</f>
        <v>1.5354289175923748E-2</v>
      </c>
      <c r="F34" s="16">
        <f>'ALL VARS'!AS34</f>
        <v>4.8173943885359879E-2</v>
      </c>
      <c r="G34" s="16">
        <f>'ALL VARS'!J34</f>
        <v>48.352000000000004</v>
      </c>
    </row>
    <row r="35" spans="1:7" x14ac:dyDescent="0.25">
      <c r="A35" s="24">
        <f>'ALL VARS'!A35</f>
        <v>43934</v>
      </c>
      <c r="B35" s="16">
        <f>'ALL VARS'!F35</f>
        <v>1.2965422809946055E-2</v>
      </c>
      <c r="C35" s="16">
        <f>'ALL VARS'!G35</f>
        <v>-6.4023280464834062E-3</v>
      </c>
      <c r="D35" s="16">
        <f>'ALL VARS'!H35</f>
        <v>1.729890853793448E-2</v>
      </c>
      <c r="E35" s="16">
        <f>'ALL VARS'!AQ35</f>
        <v>-5.3111181019270426E-2</v>
      </c>
      <c r="F35" s="16">
        <f>'ALL VARS'!AS35</f>
        <v>-0.29606781577922947</v>
      </c>
      <c r="G35" s="16">
        <f>'ALL VARS'!J35</f>
        <v>50.789000299999998</v>
      </c>
    </row>
    <row r="36" spans="1:7" x14ac:dyDescent="0.25">
      <c r="A36" s="24">
        <f>'ALL VARS'!A36</f>
        <v>43930</v>
      </c>
      <c r="B36" s="16">
        <f>'ALL VARS'!F36</f>
        <v>-6.4023280464834062E-3</v>
      </c>
      <c r="C36" s="16">
        <f>'ALL VARS'!G36</f>
        <v>1.729890853793448E-2</v>
      </c>
      <c r="D36" s="16">
        <f>'ALL VARS'!H36</f>
        <v>2.2888078899761091E-2</v>
      </c>
      <c r="E36" s="16">
        <f>'ALL VARS'!AQ36</f>
        <v>1.1151989711088302E-2</v>
      </c>
      <c r="F36" s="16">
        <f>'ALL VARS'!AS36</f>
        <v>8.372346780756397E-2</v>
      </c>
      <c r="G36" s="16">
        <f>'ALL VARS'!J36</f>
        <v>52.722000499999993</v>
      </c>
    </row>
    <row r="37" spans="1:7" x14ac:dyDescent="0.25">
      <c r="A37" s="24">
        <f>'ALL VARS'!A37</f>
        <v>43929</v>
      </c>
      <c r="B37" s="16">
        <f>'ALL VARS'!F37</f>
        <v>1.729890853793448E-2</v>
      </c>
      <c r="C37" s="16">
        <f>'ALL VARS'!G37</f>
        <v>2.2888078899761091E-2</v>
      </c>
      <c r="D37" s="16">
        <f>'ALL VARS'!H37</f>
        <v>1.5743313464585205E-3</v>
      </c>
      <c r="E37" s="16">
        <f>'ALL VARS'!AQ37</f>
        <v>-1.346516961481333E-2</v>
      </c>
      <c r="F37" s="16">
        <f>'ALL VARS'!AS37</f>
        <v>-0.1288278996863513</v>
      </c>
      <c r="G37" s="16">
        <f>'ALL VARS'!J37</f>
        <v>54.782000800000006</v>
      </c>
    </row>
    <row r="38" spans="1:7" x14ac:dyDescent="0.25">
      <c r="A38" s="24">
        <f>'ALL VARS'!A38</f>
        <v>43928</v>
      </c>
      <c r="B38" s="16">
        <f>'ALL VARS'!F38</f>
        <v>2.2888078899761091E-2</v>
      </c>
      <c r="C38" s="16">
        <f>'ALL VARS'!G38</f>
        <v>1.5743313464585205E-3</v>
      </c>
      <c r="D38" s="16">
        <f>'ALL VARS'!H38</f>
        <v>5.0578545857092143E-2</v>
      </c>
      <c r="E38" s="16">
        <f>'ALL VARS'!AQ38</f>
        <v>-7.915768142660988E-2</v>
      </c>
      <c r="F38" s="16">
        <f>'ALL VARS'!AS38</f>
        <v>-0.87583949219344981</v>
      </c>
      <c r="G38" s="16">
        <f>'ALL VARS'!J38</f>
        <v>56.279000499999995</v>
      </c>
    </row>
    <row r="39" spans="1:7" x14ac:dyDescent="0.25">
      <c r="A39" s="24">
        <f>'ALL VARS'!A39</f>
        <v>43927</v>
      </c>
      <c r="B39" s="16">
        <f>'ALL VARS'!F39</f>
        <v>1.5743313464585205E-3</v>
      </c>
      <c r="C39" s="16">
        <f>'ALL VARS'!G39</f>
        <v>5.0578545857092143E-2</v>
      </c>
      <c r="D39" s="16">
        <f>'ALL VARS'!H39</f>
        <v>-1.2177617796472343E-2</v>
      </c>
      <c r="E39" s="16">
        <f>'ALL VARS'!AQ39</f>
        <v>-4.5692722481173947E-4</v>
      </c>
      <c r="F39" s="16">
        <f>'ALL VARS'!AS39</f>
        <v>-5.8027433098168284E-3</v>
      </c>
      <c r="G39" s="16">
        <f>'ALL VARS'!J39</f>
        <v>57.914000299999998</v>
      </c>
    </row>
    <row r="40" spans="1:7" x14ac:dyDescent="0.25">
      <c r="A40" s="24">
        <f>'ALL VARS'!A40</f>
        <v>43924</v>
      </c>
      <c r="B40" s="16">
        <f>'ALL VARS'!F40</f>
        <v>5.0578545857092143E-2</v>
      </c>
      <c r="C40" s="16">
        <f>'ALL VARS'!G40</f>
        <v>-1.2177617796472343E-2</v>
      </c>
      <c r="D40" s="16">
        <f>'ALL VARS'!H40</f>
        <v>1.7194200807451526E-2</v>
      </c>
      <c r="E40" s="16">
        <f>'ALL VARS'!AQ40</f>
        <v>-0.1742250864856805</v>
      </c>
      <c r="F40" s="16">
        <f>'ALL VARS'!AS40</f>
        <v>-2.5477790688648541</v>
      </c>
      <c r="G40" s="16">
        <f>'ALL VARS'!J40</f>
        <v>59.8380005</v>
      </c>
    </row>
    <row r="41" spans="1:7" x14ac:dyDescent="0.25">
      <c r="A41" s="24">
        <f>'ALL VARS'!A41</f>
        <v>43923</v>
      </c>
      <c r="B41" s="16">
        <f>'ALL VARS'!F41</f>
        <v>-1.2177617796472343E-2</v>
      </c>
      <c r="C41" s="16">
        <f>'ALL VARS'!G41</f>
        <v>1.7194200807451526E-2</v>
      </c>
      <c r="D41" s="16">
        <f>'ALL VARS'!H41</f>
        <v>-3.7551904604495374E-2</v>
      </c>
      <c r="E41" s="16">
        <f>'ALL VARS'!AQ41</f>
        <v>-5.072805751931835E-3</v>
      </c>
      <c r="F41" s="16">
        <f>'ALL VARS'!AS41</f>
        <v>-8.4880679054153418E-2</v>
      </c>
      <c r="G41" s="16">
        <f>'ALL VARS'!J41</f>
        <v>61.947000500000001</v>
      </c>
    </row>
    <row r="42" spans="1:7" x14ac:dyDescent="0.25">
      <c r="A42" s="24">
        <f>'ALL VARS'!A42</f>
        <v>43922</v>
      </c>
      <c r="B42" s="16">
        <f>'ALL VARS'!F42</f>
        <v>1.7194200807451526E-2</v>
      </c>
      <c r="C42" s="16">
        <f>'ALL VARS'!G42</f>
        <v>-3.7551904604495374E-2</v>
      </c>
      <c r="D42" s="16">
        <f>'ALL VARS'!H42</f>
        <v>2.6099613068988042E-2</v>
      </c>
      <c r="E42" s="16">
        <f>'ALL VARS'!AQ42</f>
        <v>1.5602072386281156E-3</v>
      </c>
      <c r="F42" s="16">
        <f>'ALL VARS'!AS42</f>
        <v>2.9131395548302842E-2</v>
      </c>
      <c r="G42" s="16">
        <f>'ALL VARS'!J42</f>
        <v>63.886000100000004</v>
      </c>
    </row>
    <row r="43" spans="1:7" x14ac:dyDescent="0.25">
      <c r="A43" s="24">
        <f>'ALL VARS'!A43</f>
        <v>43921</v>
      </c>
      <c r="B43" s="16">
        <f>'ALL VARS'!F43</f>
        <v>-3.7551904604495374E-2</v>
      </c>
      <c r="C43" s="16">
        <f>'ALL VARS'!G43</f>
        <v>2.6099613068988042E-2</v>
      </c>
      <c r="D43" s="16">
        <f>'ALL VARS'!H43</f>
        <v>2.7648809446036929E-2</v>
      </c>
      <c r="E43" s="16">
        <f>'ALL VARS'!AQ43</f>
        <v>-7.2400700865069977E-4</v>
      </c>
      <c r="F43" s="16">
        <f>'ALL VARS'!AS43</f>
        <v>-1.5137894303751396E-2</v>
      </c>
      <c r="G43" s="16">
        <f>'ALL VARS'!J43</f>
        <v>66.123000399999995</v>
      </c>
    </row>
    <row r="44" spans="1:7" x14ac:dyDescent="0.25">
      <c r="A44" s="24">
        <f>'ALL VARS'!A44</f>
        <v>43920</v>
      </c>
      <c r="B44" s="16">
        <f>'ALL VARS'!F44</f>
        <v>2.6099613068988042E-2</v>
      </c>
      <c r="C44" s="16">
        <f>'ALL VARS'!G44</f>
        <v>2.7648809446036929E-2</v>
      </c>
      <c r="D44" s="16">
        <f>'ALL VARS'!H44</f>
        <v>-5.1117326046437227E-2</v>
      </c>
      <c r="E44" s="16">
        <f>'ALL VARS'!AQ44</f>
        <v>1.2189264441783614E-3</v>
      </c>
      <c r="F44" s="16">
        <f>'ALL VARS'!AS44</f>
        <v>2.8607583681768928E-2</v>
      </c>
      <c r="G44" s="16">
        <f>'ALL VARS'!J44</f>
        <v>68.684000400000002</v>
      </c>
    </row>
    <row r="45" spans="1:7" x14ac:dyDescent="0.25">
      <c r="A45" s="24">
        <f>'ALL VARS'!A45</f>
        <v>43917</v>
      </c>
      <c r="B45" s="16">
        <f>'ALL VARS'!F45</f>
        <v>2.7648809446036929E-2</v>
      </c>
      <c r="C45" s="16">
        <f>'ALL VARS'!G45</f>
        <v>-5.1117326046437227E-2</v>
      </c>
      <c r="D45" s="16">
        <f>'ALL VARS'!H45</f>
        <v>1.7657086927428463E-2</v>
      </c>
      <c r="E45" s="16">
        <f>'ALL VARS'!AQ45</f>
        <v>-0.14958995009030499</v>
      </c>
      <c r="F45" s="16">
        <f>'ALL VARS'!AS45</f>
        <v>-3.3954662085107095</v>
      </c>
      <c r="G45" s="16">
        <f>'ALL VARS'!J45</f>
        <v>67.91300050000001</v>
      </c>
    </row>
    <row r="46" spans="1:7" x14ac:dyDescent="0.25">
      <c r="A46" s="24">
        <f>'ALL VARS'!A46</f>
        <v>43916</v>
      </c>
      <c r="B46" s="16">
        <f>'ALL VARS'!F46</f>
        <v>-5.1117326046437227E-2</v>
      </c>
      <c r="C46" s="16">
        <f>'ALL VARS'!G46</f>
        <v>1.7657086927428463E-2</v>
      </c>
      <c r="D46" s="16">
        <f>'ALL VARS'!H46</f>
        <v>4.5191001874909938E-2</v>
      </c>
      <c r="E46" s="16">
        <f>'ALL VARS'!AQ46</f>
        <v>-5.0855593038487256E-3</v>
      </c>
      <c r="F46" s="16">
        <f>'ALL VARS'!AS46</f>
        <v>-0.12279332938100516</v>
      </c>
      <c r="G46" s="16">
        <f>'ALL VARS'!J46</f>
        <v>69.360000600000006</v>
      </c>
    </row>
    <row r="47" spans="1:7" x14ac:dyDescent="0.25">
      <c r="A47" s="24">
        <f>'ALL VARS'!A47</f>
        <v>43915</v>
      </c>
      <c r="B47" s="16">
        <f>'ALL VARS'!F47</f>
        <v>1.7657086927428463E-2</v>
      </c>
      <c r="C47" s="16">
        <f>'ALL VARS'!G47</f>
        <v>4.5191001874909938E-2</v>
      </c>
      <c r="D47" s="16">
        <f>'ALL VARS'!H47</f>
        <v>0.11957070036068938</v>
      </c>
      <c r="E47" s="16">
        <f>'ALL VARS'!AQ47</f>
        <v>3.7028936507562753E-3</v>
      </c>
      <c r="F47" s="16">
        <f>'ALL VARS'!AS47</f>
        <v>8.568677973933797E-2</v>
      </c>
      <c r="G47" s="16">
        <f>'ALL VARS'!J47</f>
        <v>68.355000700000005</v>
      </c>
    </row>
    <row r="48" spans="1:7" x14ac:dyDescent="0.25">
      <c r="A48" s="24">
        <f>'ALL VARS'!A48</f>
        <v>43914</v>
      </c>
      <c r="B48" s="16">
        <f>'ALL VARS'!F48</f>
        <v>4.5191001874909938E-2</v>
      </c>
      <c r="C48" s="16">
        <f>'ALL VARS'!G48</f>
        <v>0.11957070036068938</v>
      </c>
      <c r="D48" s="16">
        <f>'ALL VARS'!H48</f>
        <v>-5.2591151998453836E-2</v>
      </c>
      <c r="E48" s="16">
        <f>'ALL VARS'!AQ48</f>
        <v>-1.5335828098133389E-3</v>
      </c>
      <c r="F48" s="16">
        <f>'ALL VARS'!AS48</f>
        <v>-3.3284101915880819E-2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B50-DD3C-45CC-AA54-F631F0D4E5D6}">
  <sheetPr codeName="Feuil23"/>
  <dimension ref="A1:Q48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VARS'!AU1</f>
        <v>Sent_t_k, k=7</v>
      </c>
      <c r="F1" s="16" t="str">
        <f>'ALL VARS'!AW1</f>
        <v>Sent_t_k, k=7 * (VIX_10_t  minus VIX_bar_10)</v>
      </c>
      <c r="G1" s="16" t="str">
        <f>'ALL VARS'!J1</f>
        <v>VIX_10_t</v>
      </c>
    </row>
    <row r="2" spans="1:14" x14ac:dyDescent="0.25">
      <c r="A2" s="24">
        <f>'ALL VARS'!A2</f>
        <v>43980</v>
      </c>
      <c r="B2" s="16">
        <f>'ALL VARS'!F2</f>
        <v>2.3093919546915233E-2</v>
      </c>
      <c r="C2" s="16">
        <f>'ALL VARS'!G2</f>
        <v>-4.5798180601685388E-3</v>
      </c>
      <c r="D2" s="16">
        <f>'ALL VARS'!H2</f>
        <v>-6.0894480094293875E-4</v>
      </c>
      <c r="E2" s="16">
        <f>'ALL VARS'!AU2</f>
        <v>-2.7594732918593681E-2</v>
      </c>
      <c r="F2" s="16">
        <f>'ALL VARS'!AW2</f>
        <v>0.43576246810491548</v>
      </c>
      <c r="G2" s="16">
        <f>'ALL VARS'!J2</f>
        <v>29.423000200000001</v>
      </c>
      <c r="I2" s="18" t="s">
        <v>39</v>
      </c>
    </row>
    <row r="3" spans="1:14" ht="15.75" thickBot="1" x14ac:dyDescent="0.3">
      <c r="A3" s="24">
        <f>'ALL VARS'!A3</f>
        <v>43979</v>
      </c>
      <c r="B3" s="16">
        <f>'ALL VARS'!F3</f>
        <v>-4.5798180601685388E-3</v>
      </c>
      <c r="C3" s="16">
        <f>'ALL VARS'!G3</f>
        <v>-6.0894480094293875E-4</v>
      </c>
      <c r="D3" s="16">
        <f>'ALL VARS'!H3</f>
        <v>8.1792696244475296E-3</v>
      </c>
      <c r="E3" s="16">
        <f>'ALL VARS'!AU3</f>
        <v>1.8791680861907644E-3</v>
      </c>
      <c r="F3" s="16">
        <f>'ALL VARS'!AW3</f>
        <v>-2.8417736134390043E-2</v>
      </c>
      <c r="G3" s="16">
        <f>'ALL VARS'!J3</f>
        <v>30.092000099999996</v>
      </c>
    </row>
    <row r="4" spans="1:14" x14ac:dyDescent="0.25">
      <c r="A4" s="24">
        <f>'ALL VARS'!A4</f>
        <v>43978</v>
      </c>
      <c r="B4" s="16">
        <f>'ALL VARS'!F4</f>
        <v>-6.0894480094293875E-4</v>
      </c>
      <c r="C4" s="16">
        <f>'ALL VARS'!G4</f>
        <v>8.1792696244475296E-3</v>
      </c>
      <c r="D4" s="16">
        <f>'ALL VARS'!H4</f>
        <v>4.8223739412853626E-3</v>
      </c>
      <c r="E4" s="16">
        <f>'ALL VARS'!AU4</f>
        <v>-7.1014753252992016E-2</v>
      </c>
      <c r="F4" s="16">
        <f>'ALL VARS'!AW4</f>
        <v>1.0354312428332504</v>
      </c>
      <c r="G4" s="16">
        <f>'ALL VARS'!J4</f>
        <v>30.634000099999998</v>
      </c>
      <c r="I4" s="26" t="s">
        <v>40</v>
      </c>
      <c r="J4" s="26"/>
    </row>
    <row r="5" spans="1:14" x14ac:dyDescent="0.25">
      <c r="A5" s="24">
        <f>'ALL VARS'!A5</f>
        <v>43977</v>
      </c>
      <c r="B5" s="16">
        <f>'ALL VARS'!F5</f>
        <v>8.1792696244475296E-3</v>
      </c>
      <c r="C5" s="16">
        <f>'ALL VARS'!G5</f>
        <v>4.8223739412853626E-3</v>
      </c>
      <c r="D5" s="16">
        <f>'ALL VARS'!H5</f>
        <v>1.0849210535487055E-2</v>
      </c>
      <c r="E5" s="16">
        <f>'ALL VARS'!AU5</f>
        <v>6.0613439519532374E-2</v>
      </c>
      <c r="F5" s="16">
        <f>'ALL VARS'!AW5</f>
        <v>-0.8864417865637263</v>
      </c>
      <c r="G5" s="16">
        <f>'ALL VARS'!J5</f>
        <v>30.590000099999997</v>
      </c>
      <c r="I5" s="18" t="s">
        <v>41</v>
      </c>
      <c r="J5" s="18">
        <v>0.34685173097486283</v>
      </c>
    </row>
    <row r="6" spans="1:14" x14ac:dyDescent="0.25">
      <c r="A6" s="24">
        <f>'ALL VARS'!A6</f>
        <v>43976</v>
      </c>
      <c r="B6" s="16">
        <f>'ALL VARS'!F6</f>
        <v>4.8223739412853626E-3</v>
      </c>
      <c r="C6" s="16">
        <f>'ALL VARS'!G6</f>
        <v>1.0849210535487055E-2</v>
      </c>
      <c r="D6" s="16">
        <f>'ALL VARS'!H6</f>
        <v>1.9280759189597432E-3</v>
      </c>
      <c r="E6" s="16">
        <f>'ALL VARS'!AU6</f>
        <v>-0.22142565327130143</v>
      </c>
      <c r="F6" s="16">
        <f>'ALL VARS'!AW6</f>
        <v>3.2402342709416261</v>
      </c>
      <c r="G6" s="16">
        <f>'ALL VARS'!J6</f>
        <v>30.581000099999997</v>
      </c>
      <c r="I6" s="18" t="s">
        <v>42</v>
      </c>
      <c r="J6" s="18">
        <v>0.12030612328025861</v>
      </c>
    </row>
    <row r="7" spans="1:14" x14ac:dyDescent="0.25">
      <c r="A7" s="24">
        <f>'ALL VARS'!A7</f>
        <v>43973</v>
      </c>
      <c r="B7" s="16">
        <f>'ALL VARS'!F7</f>
        <v>1.0849210535487055E-2</v>
      </c>
      <c r="C7" s="16">
        <f>'ALL VARS'!G7</f>
        <v>1.9280759189597432E-3</v>
      </c>
      <c r="D7" s="16">
        <f>'ALL VARS'!H7</f>
        <v>-7.5144837132717695E-3</v>
      </c>
      <c r="E7" s="16">
        <f>'ALL VARS'!AU7</f>
        <v>1.7788015681860843E-2</v>
      </c>
      <c r="F7" s="16">
        <f>'ALL VARS'!AW7</f>
        <v>-0.26046117818464287</v>
      </c>
      <c r="G7" s="16">
        <f>'ALL VARS'!J7</f>
        <v>30.572000099999997</v>
      </c>
      <c r="I7" s="18" t="s">
        <v>42</v>
      </c>
      <c r="J7" s="18">
        <v>1.2716230259330864E-2</v>
      </c>
    </row>
    <row r="8" spans="1:14" x14ac:dyDescent="0.25">
      <c r="A8" s="24">
        <f>'ALL VARS'!A8</f>
        <v>43972</v>
      </c>
      <c r="B8" s="16">
        <f>'ALL VARS'!F8</f>
        <v>1.9280759189597432E-3</v>
      </c>
      <c r="C8" s="16">
        <f>'ALL VARS'!G8</f>
        <v>-7.5144837132717695E-3</v>
      </c>
      <c r="D8" s="16">
        <f>'ALL VARS'!H8</f>
        <v>7.5307923146686901E-3</v>
      </c>
      <c r="E8" s="16">
        <f>'ALL VARS'!AU8</f>
        <v>6.131797597706537E-2</v>
      </c>
      <c r="F8" s="16">
        <f>'ALL VARS'!AW8</f>
        <v>-0.88613727642314788</v>
      </c>
      <c r="G8" s="16">
        <f>'ALL VARS'!J8</f>
        <v>30.763000099999999</v>
      </c>
      <c r="I8" s="18" t="s">
        <v>43</v>
      </c>
      <c r="J8" s="18">
        <v>2.0313328941780652E-2</v>
      </c>
    </row>
    <row r="9" spans="1:14" ht="15.75" thickBot="1" x14ac:dyDescent="0.3">
      <c r="A9" s="24">
        <f>'ALL VARS'!A9</f>
        <v>43971</v>
      </c>
      <c r="B9" s="16">
        <f>'ALL VARS'!F9</f>
        <v>-7.5144837132717695E-3</v>
      </c>
      <c r="C9" s="16">
        <f>'ALL VARS'!G9</f>
        <v>7.5307923146686901E-3</v>
      </c>
      <c r="D9" s="16">
        <f>'ALL VARS'!H9</f>
        <v>1.6845500851389788E-2</v>
      </c>
      <c r="E9" s="16">
        <f>'ALL VARS'!AU9</f>
        <v>8.7610368130071857E-3</v>
      </c>
      <c r="F9" s="16">
        <f>'ALL VARS'!AW9</f>
        <v>-0.12123968690909294</v>
      </c>
      <c r="G9" s="16">
        <f>'ALL VARS'!J9</f>
        <v>31.375999999999998</v>
      </c>
      <c r="I9" s="28" t="s">
        <v>44</v>
      </c>
      <c r="J9" s="28">
        <v>47</v>
      </c>
    </row>
    <row r="10" spans="1:14" x14ac:dyDescent="0.25">
      <c r="A10" s="24">
        <f>'ALL VARS'!A10</f>
        <v>43970</v>
      </c>
      <c r="B10" s="16">
        <f>'ALL VARS'!F10</f>
        <v>7.5307923146686901E-3</v>
      </c>
      <c r="C10" s="16">
        <f>'ALL VARS'!G10</f>
        <v>1.6845500851389788E-2</v>
      </c>
      <c r="D10" s="16">
        <f>'ALL VARS'!H10</f>
        <v>8.9044014875318926E-3</v>
      </c>
      <c r="E10" s="16">
        <f>'ALL VARS'!AU10</f>
        <v>0.20764727004212868</v>
      </c>
      <c r="F10" s="16">
        <f>'ALL VARS'!AW10</f>
        <v>-2.8095732590447948</v>
      </c>
      <c r="G10" s="16">
        <f>'ALL VARS'!J10</f>
        <v>31.683999999999997</v>
      </c>
    </row>
    <row r="11" spans="1:14" ht="15.75" thickBot="1" x14ac:dyDescent="0.3">
      <c r="A11" s="24">
        <f>'ALL VARS'!A11</f>
        <v>43966</v>
      </c>
      <c r="B11" s="16">
        <f>'ALL VARS'!F11</f>
        <v>1.6845500851389788E-2</v>
      </c>
      <c r="C11" s="16">
        <f>'ALL VARS'!G11</f>
        <v>8.9044014875318926E-3</v>
      </c>
      <c r="D11" s="16">
        <f>'ALL VARS'!H11</f>
        <v>4.4817694802564231E-4</v>
      </c>
      <c r="E11" s="16">
        <f>'ALL VARS'!AU11</f>
        <v>-4.4738487644284834E-2</v>
      </c>
      <c r="F11" s="16">
        <f>'ALL VARS'!AW11</f>
        <v>0.55178253168738545</v>
      </c>
      <c r="G11" s="16">
        <f>'ALL VARS'!J11</f>
        <v>32.881000200000003</v>
      </c>
      <c r="I11" s="18" t="s">
        <v>45</v>
      </c>
    </row>
    <row r="12" spans="1:14" x14ac:dyDescent="0.25">
      <c r="A12" s="24">
        <f>'ALL VARS'!A12</f>
        <v>43965</v>
      </c>
      <c r="B12" s="16">
        <f>'ALL VARS'!F12</f>
        <v>8.9044014875318926E-3</v>
      </c>
      <c r="C12" s="16">
        <f>'ALL VARS'!G12</f>
        <v>4.4817694802564231E-4</v>
      </c>
      <c r="D12" s="16">
        <f>'ALL VARS'!H12</f>
        <v>-2.5401176991557837E-2</v>
      </c>
      <c r="E12" s="16">
        <f>'ALL VARS'!AU12</f>
        <v>5.2180886369083751E-3</v>
      </c>
      <c r="F12" s="16">
        <f>'ALL VARS'!AW12</f>
        <v>-6.3553756023832883E-2</v>
      </c>
      <c r="G12" s="16">
        <f>'ALL VARS'!J12</f>
        <v>33.0350003</v>
      </c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A13" s="24">
        <f>'ALL VARS'!A13</f>
        <v>43964</v>
      </c>
      <c r="B13" s="16">
        <f>'ALL VARS'!F13</f>
        <v>4.4817694802564231E-4</v>
      </c>
      <c r="C13" s="16">
        <f>'ALL VARS'!G13</f>
        <v>-2.5401176991557837E-2</v>
      </c>
      <c r="D13" s="16">
        <f>'ALL VARS'!H13</f>
        <v>-1.4698871572495898E-2</v>
      </c>
      <c r="E13" s="16">
        <f>'ALL VARS'!AU13</f>
        <v>5.0658548950672337E-2</v>
      </c>
      <c r="F13" s="16">
        <f>'ALL VARS'!AW13</f>
        <v>-0.63751294564425309</v>
      </c>
      <c r="G13" s="16">
        <f>'ALL VARS'!J13</f>
        <v>32.630000399999993</v>
      </c>
      <c r="I13" s="18" t="s">
        <v>46</v>
      </c>
      <c r="J13" s="18">
        <v>5</v>
      </c>
      <c r="K13" s="18">
        <v>2.3701053813920681E-3</v>
      </c>
      <c r="L13" s="18">
        <v>4.7402107627841363E-4</v>
      </c>
      <c r="M13" s="18">
        <v>1.1487762530784635</v>
      </c>
      <c r="N13" s="18">
        <v>0.3506137558755047</v>
      </c>
    </row>
    <row r="14" spans="1:14" x14ac:dyDescent="0.25">
      <c r="A14" s="24">
        <f>'ALL VARS'!A14</f>
        <v>43963</v>
      </c>
      <c r="B14" s="16">
        <f>'ALL VARS'!F14</f>
        <v>-2.5401176991557837E-2</v>
      </c>
      <c r="C14" s="16">
        <f>'ALL VARS'!G14</f>
        <v>-1.4698871572495898E-2</v>
      </c>
      <c r="D14" s="16">
        <f>'ALL VARS'!H14</f>
        <v>9.1270288220883112E-3</v>
      </c>
      <c r="E14" s="16">
        <f>'ALL VARS'!AU14</f>
        <v>-3.9836174196673346E-2</v>
      </c>
      <c r="F14" s="16">
        <f>'ALL VARS'!AW14</f>
        <v>0.49920736407943073</v>
      </c>
      <c r="G14" s="16">
        <f>'ALL VARS'!J14</f>
        <v>32.683000299999996</v>
      </c>
      <c r="I14" s="18" t="s">
        <v>47</v>
      </c>
      <c r="J14" s="18">
        <v>42</v>
      </c>
      <c r="K14" s="18">
        <v>1.7330515973273307E-2</v>
      </c>
      <c r="L14" s="18">
        <v>4.1263133269698352E-4</v>
      </c>
    </row>
    <row r="15" spans="1:14" ht="15.75" thickBot="1" x14ac:dyDescent="0.3">
      <c r="A15" s="24">
        <f>'ALL VARS'!A15</f>
        <v>43962</v>
      </c>
      <c r="B15" s="16">
        <f>'ALL VARS'!F15</f>
        <v>-1.4698871572495898E-2</v>
      </c>
      <c r="C15" s="16">
        <f>'ALL VARS'!G15</f>
        <v>9.1270288220883112E-3</v>
      </c>
      <c r="D15" s="16">
        <f>'ALL VARS'!H15</f>
        <v>8.9592894728179693E-3</v>
      </c>
      <c r="E15" s="16">
        <f>'ALL VARS'!AU15</f>
        <v>1.5917473632021156E-3</v>
      </c>
      <c r="F15" s="16">
        <f>'ALL VARS'!AW15</f>
        <v>-1.9036516301583293E-2</v>
      </c>
      <c r="G15" s="16">
        <f>'ALL VARS'!J15</f>
        <v>33.2550004</v>
      </c>
      <c r="I15" s="28" t="s">
        <v>48</v>
      </c>
      <c r="J15" s="28">
        <v>47</v>
      </c>
      <c r="K15" s="28">
        <v>1.9700621354665375E-2</v>
      </c>
      <c r="L15" s="28"/>
      <c r="M15" s="28"/>
      <c r="N15" s="28"/>
    </row>
    <row r="16" spans="1:14" ht="15.75" thickBot="1" x14ac:dyDescent="0.3">
      <c r="A16" s="24">
        <f>'ALL VARS'!A16</f>
        <v>43959</v>
      </c>
      <c r="B16" s="16">
        <f>'ALL VARS'!F16</f>
        <v>9.1270288220883112E-3</v>
      </c>
      <c r="C16" s="16">
        <f>'ALL VARS'!G16</f>
        <v>8.9592894728179693E-3</v>
      </c>
      <c r="D16" s="16">
        <f>'ALL VARS'!H16</f>
        <v>2.0228309928424119E-4</v>
      </c>
      <c r="E16" s="16">
        <f>'ALL VARS'!AU16</f>
        <v>4.2871073565977254E-3</v>
      </c>
      <c r="F16" s="16">
        <f>'ALL VARS'!AW16</f>
        <v>-4.7863447012028368E-2</v>
      </c>
      <c r="G16" s="16">
        <f>'ALL VARS'!J16</f>
        <v>34.050000400000002</v>
      </c>
    </row>
    <row r="17" spans="1:17" x14ac:dyDescent="0.25">
      <c r="A17" s="24">
        <f>'ALL VARS'!A17</f>
        <v>43958</v>
      </c>
      <c r="B17" s="16">
        <f>'ALL VARS'!F17</f>
        <v>8.9592894728179693E-3</v>
      </c>
      <c r="C17" s="16">
        <f>'ALL VARS'!G17</f>
        <v>2.0228309928424119E-4</v>
      </c>
      <c r="D17" s="16">
        <f>'ALL VARS'!H17</f>
        <v>1.2895694256002256E-3</v>
      </c>
      <c r="E17" s="16">
        <f>'ALL VARS'!AU17</f>
        <v>-4.7807699933113644E-2</v>
      </c>
      <c r="F17" s="16">
        <f>'ALL VARS'!AW17</f>
        <v>0.48622862398693556</v>
      </c>
      <c r="G17" s="16">
        <f>'ALL VARS'!J17</f>
        <v>35.044000400000002</v>
      </c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1:17" x14ac:dyDescent="0.25">
      <c r="A18" s="24">
        <f>'ALL VARS'!A18</f>
        <v>43957</v>
      </c>
      <c r="B18" s="16">
        <f>'ALL VARS'!F18</f>
        <v>2.0228309928424119E-4</v>
      </c>
      <c r="C18" s="16">
        <f>'ALL VARS'!G18</f>
        <v>1.2895694256002256E-3</v>
      </c>
      <c r="D18" s="16">
        <f>'ALL VARS'!H18</f>
        <v>4.5167588335029351E-3</v>
      </c>
      <c r="E18" s="16">
        <f>'ALL VARS'!AU18</f>
        <v>-3.4099239780294166E-3</v>
      </c>
      <c r="F18" s="16">
        <f>'ALL VARS'!AW18</f>
        <v>3.200046060402937E-2</v>
      </c>
      <c r="G18" s="16">
        <f>'ALL VARS'!J18</f>
        <v>35.830000499999997</v>
      </c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4">
        <f>'ALL VARS'!A19</f>
        <v>43956</v>
      </c>
      <c r="B19" s="16">
        <f>'ALL VARS'!F19</f>
        <v>1.2895694256002256E-3</v>
      </c>
      <c r="C19" s="16">
        <f>'ALL VARS'!G19</f>
        <v>4.5167588335029351E-3</v>
      </c>
      <c r="D19" s="16">
        <f>'ALL VARS'!H19</f>
        <v>8.5292501975474666E-3</v>
      </c>
      <c r="E19" s="16">
        <f>'ALL VARS'!AU19</f>
        <v>2.633635457388734E-2</v>
      </c>
      <c r="F19" s="16">
        <f>'ALL VARS'!AW19</f>
        <v>-0.21607684796374024</v>
      </c>
      <c r="G19" s="16">
        <f>'ALL VARS'!J19</f>
        <v>37.010000400000003</v>
      </c>
      <c r="I19" s="18" t="s">
        <v>36</v>
      </c>
      <c r="J19" s="18">
        <v>-3.6198958466673835E-2</v>
      </c>
      <c r="K19" s="18">
        <v>0.12087494039334706</v>
      </c>
      <c r="L19" s="18">
        <v>-0.29947446798216765</v>
      </c>
      <c r="M19" s="18">
        <v>0.76605509602606392</v>
      </c>
      <c r="N19" s="18">
        <v>-0.28013446400375785</v>
      </c>
      <c r="O19" s="18">
        <v>0.20773654707041017</v>
      </c>
      <c r="P19" s="18">
        <v>-0.28013446400375785</v>
      </c>
      <c r="Q19" s="18">
        <v>0.20773654707041017</v>
      </c>
    </row>
    <row r="20" spans="1:17" x14ac:dyDescent="0.25">
      <c r="A20" s="24">
        <f>'ALL VARS'!A20</f>
        <v>43955</v>
      </c>
      <c r="B20" s="16">
        <f>'ALL VARS'!F20</f>
        <v>4.5167588335029351E-3</v>
      </c>
      <c r="C20" s="16">
        <f>'ALL VARS'!G20</f>
        <v>8.5292501975474666E-3</v>
      </c>
      <c r="D20" s="16">
        <f>'ALL VARS'!H20</f>
        <v>-1.0852015661224153E-2</v>
      </c>
      <c r="E20" s="16">
        <f>'ALL VARS'!AU20</f>
        <v>-3.4533926186746367E-3</v>
      </c>
      <c r="F20" s="16">
        <f>'ALL VARS'!AW20</f>
        <v>2.5619022543943628E-2</v>
      </c>
      <c r="G20" s="16">
        <f>'ALL VARS'!J20</f>
        <v>37.796000499999998</v>
      </c>
      <c r="I20" s="18" t="s">
        <v>37</v>
      </c>
      <c r="J20" s="18">
        <v>-0.16311965917835394</v>
      </c>
      <c r="K20" s="18">
        <v>0.11324928327477642</v>
      </c>
      <c r="L20" s="18">
        <v>-1.4403593070216363</v>
      </c>
      <c r="M20" s="18">
        <v>0.15717915491041948</v>
      </c>
      <c r="N20" s="18">
        <v>-0.39166596561248329</v>
      </c>
      <c r="O20" s="18">
        <v>6.5426647255775405E-2</v>
      </c>
      <c r="P20" s="18">
        <v>-0.39166596561248329</v>
      </c>
      <c r="Q20" s="18">
        <v>6.5426647255775405E-2</v>
      </c>
    </row>
    <row r="21" spans="1:17" x14ac:dyDescent="0.25">
      <c r="A21" s="24">
        <f>'ALL VARS'!A21</f>
        <v>43952</v>
      </c>
      <c r="B21" s="16">
        <f>'ALL VARS'!F21</f>
        <v>8.5292501975474666E-3</v>
      </c>
      <c r="C21" s="16">
        <f>'ALL VARS'!G21</f>
        <v>-1.0852015661224153E-2</v>
      </c>
      <c r="D21" s="16">
        <f>'ALL VARS'!H21</f>
        <v>-2.9379858648651246E-2</v>
      </c>
      <c r="E21" s="16">
        <f>'ALL VARS'!AU21</f>
        <v>-2.4350827829411996E-3</v>
      </c>
      <c r="F21" s="16">
        <f>'ALL VARS'!AW21</f>
        <v>1.7830913679942308E-2</v>
      </c>
      <c r="G21" s="16">
        <f>'ALL VARS'!J21</f>
        <v>37.892000799999991</v>
      </c>
      <c r="I21" s="18" t="s">
        <v>28</v>
      </c>
      <c r="J21" s="18">
        <v>-3.6667814849315146E-2</v>
      </c>
      <c r="K21" s="18">
        <v>4.8479395525483596E-2</v>
      </c>
      <c r="L21" s="18">
        <v>-0.75635874688331062</v>
      </c>
      <c r="M21" s="18">
        <v>0.45365596744952419</v>
      </c>
      <c r="N21" s="18">
        <v>-0.13450319592299204</v>
      </c>
      <c r="O21" s="18">
        <v>6.1167566224361751E-2</v>
      </c>
      <c r="P21" s="18">
        <v>-0.13450319592299204</v>
      </c>
      <c r="Q21" s="18">
        <v>6.1167566224361751E-2</v>
      </c>
    </row>
    <row r="22" spans="1:17" x14ac:dyDescent="0.25">
      <c r="A22" s="24">
        <f>'ALL VARS'!A22</f>
        <v>43951</v>
      </c>
      <c r="B22" s="16">
        <f>'ALL VARS'!F22</f>
        <v>-1.0852015661224153E-2</v>
      </c>
      <c r="C22" s="16">
        <f>'ALL VARS'!G22</f>
        <v>-2.9379858648651246E-2</v>
      </c>
      <c r="D22" s="16">
        <f>'ALL VARS'!H22</f>
        <v>2.904386379946032E-2</v>
      </c>
      <c r="E22" s="16">
        <f>'ALL VARS'!AU22</f>
        <v>-1.0334566524224502E-2</v>
      </c>
      <c r="F22" s="16">
        <f>'ALL VARS'!AW22</f>
        <v>6.9515547647144516E-2</v>
      </c>
      <c r="G22" s="16">
        <f>'ALL VARS'!J22</f>
        <v>38.488000700000001</v>
      </c>
      <c r="I22" s="18" t="s">
        <v>94</v>
      </c>
      <c r="J22" s="18">
        <v>-9.3913730791795865E-4</v>
      </c>
      <c r="K22" s="18">
        <v>3.6090861038931051E-3</v>
      </c>
      <c r="L22" s="18">
        <v>-0.2602147138869631</v>
      </c>
      <c r="M22" s="18">
        <v>0.79596965117422025</v>
      </c>
      <c r="N22" s="18">
        <v>-8.2225679380809481E-3</v>
      </c>
      <c r="O22" s="18">
        <v>6.3442933222450301E-3</v>
      </c>
      <c r="P22" s="18">
        <v>-8.2225679380809481E-3</v>
      </c>
      <c r="Q22" s="18">
        <v>6.3442933222450301E-3</v>
      </c>
    </row>
    <row r="23" spans="1:17" ht="15.75" thickBot="1" x14ac:dyDescent="0.3">
      <c r="A23" s="24">
        <f>'ALL VARS'!A23</f>
        <v>43950</v>
      </c>
      <c r="B23" s="16">
        <f>'ALL VARS'!F23</f>
        <v>-2.9379858648651246E-2</v>
      </c>
      <c r="C23" s="16">
        <f>'ALL VARS'!G23</f>
        <v>2.904386379946032E-2</v>
      </c>
      <c r="D23" s="16">
        <f>'ALL VARS'!H23</f>
        <v>1.0667882350970269E-2</v>
      </c>
      <c r="E23" s="16">
        <f>'ALL VARS'!AU23</f>
        <v>2.998102294521794E-3</v>
      </c>
      <c r="F23" s="16">
        <f>'ALL VARS'!AW23</f>
        <v>-1.7285583705392994E-2</v>
      </c>
      <c r="G23" s="16">
        <f>'ALL VARS'!J23</f>
        <v>39.449000699999999</v>
      </c>
      <c r="I23" s="28" t="s">
        <v>4</v>
      </c>
      <c r="J23" s="28">
        <v>1.1992580504814609E-4</v>
      </c>
      <c r="K23" s="28">
        <v>8.1279981277610877E-5</v>
      </c>
      <c r="L23" s="28">
        <v>1.4754654610283537</v>
      </c>
      <c r="M23" s="28">
        <v>0.14754542343273566</v>
      </c>
      <c r="N23" s="28">
        <v>-4.4103837973626288E-5</v>
      </c>
      <c r="O23" s="28">
        <v>2.8395544806991848E-4</v>
      </c>
      <c r="P23" s="28">
        <v>-4.4103837973626288E-5</v>
      </c>
      <c r="Q23" s="28">
        <v>2.8395544806991848E-4</v>
      </c>
    </row>
    <row r="24" spans="1:17" x14ac:dyDescent="0.25">
      <c r="A24" s="24">
        <f>'ALL VARS'!A24</f>
        <v>43949</v>
      </c>
      <c r="B24" s="16">
        <f>'ALL VARS'!F24</f>
        <v>2.904386379946032E-2</v>
      </c>
      <c r="C24" s="16">
        <f>'ALL VARS'!G24</f>
        <v>1.0667882350970269E-2</v>
      </c>
      <c r="D24" s="16">
        <f>'ALL VARS'!H24</f>
        <v>1.5373998778727917E-2</v>
      </c>
      <c r="E24" s="16">
        <f>'ALL VARS'!AU24</f>
        <v>-4.6071523721334766E-2</v>
      </c>
      <c r="F24" s="16">
        <f>'ALL VARS'!AW24</f>
        <v>0.24632179383068414</v>
      </c>
      <c r="G24" s="16">
        <f>'ALL VARS'!J24</f>
        <v>39.868000500000008</v>
      </c>
    </row>
    <row r="25" spans="1:17" x14ac:dyDescent="0.25">
      <c r="A25" s="24">
        <f>'ALL VARS'!A25</f>
        <v>43948</v>
      </c>
      <c r="B25" s="16">
        <f>'ALL VARS'!F25</f>
        <v>1.0667882350970269E-2</v>
      </c>
      <c r="C25" s="16">
        <f>'ALL VARS'!G25</f>
        <v>1.5373998778727917E-2</v>
      </c>
      <c r="D25" s="16">
        <f>'ALL VARS'!H25</f>
        <v>1.1879839917270655E-2</v>
      </c>
      <c r="E25" s="16">
        <f>'ALL VARS'!AU25</f>
        <v>-0.1995542343921578</v>
      </c>
      <c r="F25" s="16">
        <f>'ALL VARS'!AW25</f>
        <v>0.90966973635466919</v>
      </c>
      <c r="G25" s="16">
        <f>'ALL VARS'!J25</f>
        <v>40.656000200000001</v>
      </c>
    </row>
    <row r="26" spans="1:17" x14ac:dyDescent="0.25">
      <c r="A26" s="24">
        <f>'ALL VARS'!A26</f>
        <v>43945</v>
      </c>
      <c r="B26" s="16">
        <f>'ALL VARS'!F26</f>
        <v>1.5373998778727917E-2</v>
      </c>
      <c r="C26" s="16">
        <f>'ALL VARS'!G26</f>
        <v>1.1879839917270655E-2</v>
      </c>
      <c r="D26" s="16">
        <f>'ALL VARS'!H26</f>
        <v>-2.5965891780394849E-3</v>
      </c>
      <c r="E26" s="16">
        <f>'ALL VARS'!AU26</f>
        <v>-2.493548067182477E-3</v>
      </c>
      <c r="F26" s="16">
        <f>'ALL VARS'!AW26</f>
        <v>9.9355647506182681E-3</v>
      </c>
      <c r="G26" s="16">
        <f>'ALL VARS'!J26</f>
        <v>41.230000000000004</v>
      </c>
    </row>
    <row r="27" spans="1:17" x14ac:dyDescent="0.25">
      <c r="A27" s="24">
        <f>'ALL VARS'!A27</f>
        <v>43944</v>
      </c>
      <c r="B27" s="16">
        <f>'ALL VARS'!F27</f>
        <v>1.1879839917270655E-2</v>
      </c>
      <c r="C27" s="16">
        <f>'ALL VARS'!G27</f>
        <v>-2.5965891780394849E-3</v>
      </c>
      <c r="D27" s="16">
        <f>'ALL VARS'!H27</f>
        <v>2.4971169199914333E-2</v>
      </c>
      <c r="E27" s="16">
        <f>'ALL VARS'!AU27</f>
        <v>-0.11971727008879195</v>
      </c>
      <c r="F27" s="16">
        <f>'ALL VARS'!AW27</f>
        <v>0.45343027551214904</v>
      </c>
      <c r="G27" s="16">
        <f>'ALL VARS'!J27</f>
        <v>41.42699970000001</v>
      </c>
    </row>
    <row r="28" spans="1:17" x14ac:dyDescent="0.25">
      <c r="A28" s="24">
        <f>'ALL VARS'!A28</f>
        <v>43943</v>
      </c>
      <c r="B28" s="16">
        <f>'ALL VARS'!F28</f>
        <v>-2.5965891780394849E-3</v>
      </c>
      <c r="C28" s="16">
        <f>'ALL VARS'!G28</f>
        <v>2.4971169199914333E-2</v>
      </c>
      <c r="D28" s="16">
        <f>'ALL VARS'!H28</f>
        <v>-3.1150323670921017E-2</v>
      </c>
      <c r="E28" s="16">
        <f>'ALL VARS'!AU28</f>
        <v>9.7533360602356078E-3</v>
      </c>
      <c r="F28" s="16">
        <f>'ALL VARS'!AW28</f>
        <v>-3.233727557529157E-2</v>
      </c>
      <c r="G28" s="16">
        <f>'ALL VARS'!J28</f>
        <v>41.898999799999999</v>
      </c>
    </row>
    <row r="29" spans="1:17" x14ac:dyDescent="0.25">
      <c r="A29" s="24">
        <f>'ALL VARS'!A29</f>
        <v>43942</v>
      </c>
      <c r="B29" s="16">
        <f>'ALL VARS'!F29</f>
        <v>2.4971169199914333E-2</v>
      </c>
      <c r="C29" s="16">
        <f>'ALL VARS'!G29</f>
        <v>-3.1150323670921017E-2</v>
      </c>
      <c r="D29" s="16">
        <f>'ALL VARS'!H29</f>
        <v>1.9776887879946956E-3</v>
      </c>
      <c r="E29" s="16">
        <f>'ALL VARS'!AU29</f>
        <v>2.7321142378851016E-2</v>
      </c>
      <c r="F29" s="16">
        <f>'ALL VARS'!AW29</f>
        <v>-9.1047953251256322E-2</v>
      </c>
      <c r="G29" s="16">
        <f>'ALL VARS'!J29</f>
        <v>41.881999999999998</v>
      </c>
    </row>
    <row r="30" spans="1:17" x14ac:dyDescent="0.25">
      <c r="A30" s="24">
        <f>'ALL VARS'!A30</f>
        <v>43941</v>
      </c>
      <c r="B30" s="16">
        <f>'ALL VARS'!F30</f>
        <v>-3.1150323670921017E-2</v>
      </c>
      <c r="C30" s="16">
        <f>'ALL VARS'!G30</f>
        <v>1.9776887879946956E-3</v>
      </c>
      <c r="D30" s="16">
        <f>'ALL VARS'!H30</f>
        <v>3.3138402111040632E-2</v>
      </c>
      <c r="E30" s="16">
        <f>'ALL VARS'!AU30</f>
        <v>4.8962695649570925E-2</v>
      </c>
      <c r="F30" s="16">
        <f>'ALL VARS'!AW30</f>
        <v>-0.14862671868453647</v>
      </c>
      <c r="G30" s="16">
        <f>'ALL VARS'!J30</f>
        <v>42.178999699999999</v>
      </c>
    </row>
    <row r="31" spans="1:17" x14ac:dyDescent="0.25">
      <c r="A31" s="24">
        <f>'ALL VARS'!A31</f>
        <v>43938</v>
      </c>
      <c r="B31" s="16">
        <f>'ALL VARS'!F31</f>
        <v>1.9776887879946956E-3</v>
      </c>
      <c r="C31" s="16">
        <f>'ALL VARS'!G31</f>
        <v>3.3138402111040632E-2</v>
      </c>
      <c r="D31" s="16">
        <f>'ALL VARS'!H31</f>
        <v>-4.2482631253185207E-3</v>
      </c>
      <c r="E31" s="16">
        <f>'ALL VARS'!AU31</f>
        <v>-2.3785872900414697E-3</v>
      </c>
      <c r="F31" s="16">
        <f>'ALL VARS'!AW31</f>
        <v>4.1851469667908356E-3</v>
      </c>
      <c r="G31" s="16">
        <f>'ALL VARS'!J31</f>
        <v>43.4549995</v>
      </c>
    </row>
    <row r="32" spans="1:17" x14ac:dyDescent="0.25">
      <c r="A32" s="24">
        <f>'ALL VARS'!A32</f>
        <v>43937</v>
      </c>
      <c r="B32" s="16">
        <f>'ALL VARS'!F32</f>
        <v>3.3138402111040632E-2</v>
      </c>
      <c r="C32" s="16">
        <f>'ALL VARS'!G32</f>
        <v>-4.2482631253185207E-3</v>
      </c>
      <c r="D32" s="16">
        <f>'ALL VARS'!H32</f>
        <v>-2.1026256366684357E-2</v>
      </c>
      <c r="E32" s="16">
        <f>'ALL VARS'!AU32</f>
        <v>-5.643426022473759E-3</v>
      </c>
      <c r="F32" s="16">
        <f>'ALL VARS'!AW32</f>
        <v>3.6405467020262885E-4</v>
      </c>
      <c r="G32" s="16">
        <f>'ALL VARS'!J32</f>
        <v>45.149999499999993</v>
      </c>
    </row>
    <row r="33" spans="1:7" x14ac:dyDescent="0.25">
      <c r="A33" s="24">
        <f>'ALL VARS'!A33</f>
        <v>43936</v>
      </c>
      <c r="B33" s="16">
        <f>'ALL VARS'!F33</f>
        <v>-4.2482631253185207E-3</v>
      </c>
      <c r="C33" s="16">
        <f>'ALL VARS'!G33</f>
        <v>-2.1026256366684357E-2</v>
      </c>
      <c r="D33" s="16">
        <f>'ALL VARS'!H33</f>
        <v>1.2965422809946055E-2</v>
      </c>
      <c r="E33" s="16">
        <f>'ALL VARS'!AU33</f>
        <v>-9.3825945811898862E-2</v>
      </c>
      <c r="F33" s="16">
        <f>'ALL VARS'!AW33</f>
        <v>-0.11310629439550116</v>
      </c>
      <c r="G33" s="16">
        <f>'ALL VARS'!J33</f>
        <v>46.419999600000004</v>
      </c>
    </row>
    <row r="34" spans="1:7" x14ac:dyDescent="0.25">
      <c r="A34" s="24">
        <f>'ALL VARS'!A34</f>
        <v>43935</v>
      </c>
      <c r="B34" s="16">
        <f>'ALL VARS'!F34</f>
        <v>-2.1026256366684357E-2</v>
      </c>
      <c r="C34" s="16">
        <f>'ALL VARS'!G34</f>
        <v>1.2965422809946055E-2</v>
      </c>
      <c r="D34" s="16">
        <f>'ALL VARS'!H34</f>
        <v>-6.4023280464834062E-3</v>
      </c>
      <c r="E34" s="16">
        <f>'ALL VARS'!AU34</f>
        <v>1.5354369866903977E-2</v>
      </c>
      <c r="F34" s="16">
        <f>'ALL VARS'!AW34</f>
        <v>4.8174197052583002E-2</v>
      </c>
      <c r="G34" s="16">
        <f>'ALL VARS'!J34</f>
        <v>48.352000000000004</v>
      </c>
    </row>
    <row r="35" spans="1:7" x14ac:dyDescent="0.25">
      <c r="A35" s="24">
        <f>'ALL VARS'!A35</f>
        <v>43934</v>
      </c>
      <c r="B35" s="16">
        <f>'ALL VARS'!F35</f>
        <v>1.2965422809946055E-2</v>
      </c>
      <c r="C35" s="16">
        <f>'ALL VARS'!G35</f>
        <v>-6.4023280464834062E-3</v>
      </c>
      <c r="D35" s="16">
        <f>'ALL VARS'!H35</f>
        <v>1.729890853793448E-2</v>
      </c>
      <c r="E35" s="16">
        <f>'ALL VARS'!AU35</f>
        <v>-0.10047556734432933</v>
      </c>
      <c r="F35" s="16">
        <f>'ALL VARS'!AW35</f>
        <v>-0.56010017461334727</v>
      </c>
      <c r="G35" s="16">
        <f>'ALL VARS'!J35</f>
        <v>50.789000299999998</v>
      </c>
    </row>
    <row r="36" spans="1:7" x14ac:dyDescent="0.25">
      <c r="A36" s="24">
        <f>'ALL VARS'!A36</f>
        <v>43930</v>
      </c>
      <c r="B36" s="16">
        <f>'ALL VARS'!F36</f>
        <v>-6.4023280464834062E-3</v>
      </c>
      <c r="C36" s="16">
        <f>'ALL VARS'!G36</f>
        <v>1.729890853793448E-2</v>
      </c>
      <c r="D36" s="16">
        <f>'ALL VARS'!H36</f>
        <v>2.2888078899761091E-2</v>
      </c>
      <c r="E36" s="16">
        <f>'ALL VARS'!AU36</f>
        <v>1.3367409267039266E-2</v>
      </c>
      <c r="F36" s="16">
        <f>'ALL VARS'!AW36</f>
        <v>0.10035571126170605</v>
      </c>
      <c r="G36" s="16">
        <f>'ALL VARS'!J36</f>
        <v>52.722000499999993</v>
      </c>
    </row>
    <row r="37" spans="1:7" x14ac:dyDescent="0.25">
      <c r="A37" s="24">
        <f>'ALL VARS'!A37</f>
        <v>43929</v>
      </c>
      <c r="B37" s="16">
        <f>'ALL VARS'!F37</f>
        <v>1.729890853793448E-2</v>
      </c>
      <c r="C37" s="16">
        <f>'ALL VARS'!G37</f>
        <v>2.2888078899761091E-2</v>
      </c>
      <c r="D37" s="16">
        <f>'ALL VARS'!H37</f>
        <v>1.5743313464585205E-3</v>
      </c>
      <c r="E37" s="16">
        <f>'ALL VARS'!AU37</f>
        <v>-1.9137176105298935E-2</v>
      </c>
      <c r="F37" s="16">
        <f>'ALL VARS'!AW37</f>
        <v>-0.18309477519401221</v>
      </c>
      <c r="G37" s="16">
        <f>'ALL VARS'!J37</f>
        <v>54.782000800000006</v>
      </c>
    </row>
    <row r="38" spans="1:7" x14ac:dyDescent="0.25">
      <c r="A38" s="24">
        <f>'ALL VARS'!A38</f>
        <v>43928</v>
      </c>
      <c r="B38" s="16">
        <f>'ALL VARS'!F38</f>
        <v>2.2888078899761091E-2</v>
      </c>
      <c r="C38" s="16">
        <f>'ALL VARS'!G38</f>
        <v>1.5743313464585205E-3</v>
      </c>
      <c r="D38" s="16">
        <f>'ALL VARS'!H38</f>
        <v>5.0578545857092143E-2</v>
      </c>
      <c r="E38" s="16">
        <f>'ALL VARS'!AU38</f>
        <v>-7.1728361990186446E-3</v>
      </c>
      <c r="F38" s="16">
        <f>'ALL VARS'!AW38</f>
        <v>-7.9363785054262892E-2</v>
      </c>
      <c r="G38" s="16">
        <f>'ALL VARS'!J38</f>
        <v>56.279000499999995</v>
      </c>
    </row>
    <row r="39" spans="1:7" x14ac:dyDescent="0.25">
      <c r="A39" s="24">
        <f>'ALL VARS'!A39</f>
        <v>43927</v>
      </c>
      <c r="B39" s="16">
        <f>'ALL VARS'!F39</f>
        <v>1.5743313464585205E-3</v>
      </c>
      <c r="C39" s="16">
        <f>'ALL VARS'!G39</f>
        <v>5.0578545857092143E-2</v>
      </c>
      <c r="D39" s="16">
        <f>'ALL VARS'!H39</f>
        <v>-1.2177617796472343E-2</v>
      </c>
      <c r="E39" s="16">
        <f>'ALL VARS'!AU39</f>
        <v>-2.4249379151290128E-3</v>
      </c>
      <c r="F39" s="16">
        <f>'ALL VARS'!AW39</f>
        <v>-3.0795477922186884E-2</v>
      </c>
      <c r="G39" s="16">
        <f>'ALL VARS'!J39</f>
        <v>57.914000299999998</v>
      </c>
    </row>
    <row r="40" spans="1:7" x14ac:dyDescent="0.25">
      <c r="A40" s="24">
        <f>'ALL VARS'!A40</f>
        <v>43924</v>
      </c>
      <c r="B40" s="16">
        <f>'ALL VARS'!F40</f>
        <v>5.0578545857092143E-2</v>
      </c>
      <c r="C40" s="16">
        <f>'ALL VARS'!G40</f>
        <v>-1.2177617796472343E-2</v>
      </c>
      <c r="D40" s="16">
        <f>'ALL VARS'!H40</f>
        <v>1.7194200807451526E-2</v>
      </c>
      <c r="E40" s="16">
        <f>'ALL VARS'!AU40</f>
        <v>-0.12044132644667442</v>
      </c>
      <c r="F40" s="16">
        <f>'ALL VARS'!AW40</f>
        <v>-1.7612727118512674</v>
      </c>
      <c r="G40" s="16">
        <f>'ALL VARS'!J40</f>
        <v>59.8380005</v>
      </c>
    </row>
    <row r="41" spans="1:7" x14ac:dyDescent="0.25">
      <c r="A41" s="24">
        <f>'ALL VARS'!A41</f>
        <v>43923</v>
      </c>
      <c r="B41" s="16">
        <f>'ALL VARS'!F41</f>
        <v>-1.2177617796472343E-2</v>
      </c>
      <c r="C41" s="16">
        <f>'ALL VARS'!G41</f>
        <v>1.7194200807451526E-2</v>
      </c>
      <c r="D41" s="16">
        <f>'ALL VARS'!H41</f>
        <v>-3.7551904604495374E-2</v>
      </c>
      <c r="E41" s="16">
        <f>'ALL VARS'!AU41</f>
        <v>-6.2890214855230164E-2</v>
      </c>
      <c r="F41" s="16">
        <f>'ALL VARS'!AW41</f>
        <v>-1.0523099846156447</v>
      </c>
      <c r="G41" s="16">
        <f>'ALL VARS'!J41</f>
        <v>61.947000500000001</v>
      </c>
    </row>
    <row r="42" spans="1:7" x14ac:dyDescent="0.25">
      <c r="A42" s="24">
        <f>'ALL VARS'!A42</f>
        <v>43922</v>
      </c>
      <c r="B42" s="16">
        <f>'ALL VARS'!F42</f>
        <v>1.7194200807451526E-2</v>
      </c>
      <c r="C42" s="16">
        <f>'ALL VARS'!G42</f>
        <v>-3.7551904604495374E-2</v>
      </c>
      <c r="D42" s="16">
        <f>'ALL VARS'!H42</f>
        <v>2.6099613068988042E-2</v>
      </c>
      <c r="E42" s="16">
        <f>'ALL VARS'!AU42</f>
        <v>1.5601000342658093E-2</v>
      </c>
      <c r="F42" s="16">
        <f>'ALL VARS'!AW42</f>
        <v>0.29129393883007665</v>
      </c>
      <c r="G42" s="16">
        <f>'ALL VARS'!J42</f>
        <v>63.886000100000004</v>
      </c>
    </row>
    <row r="43" spans="1:7" x14ac:dyDescent="0.25">
      <c r="A43" s="24">
        <f>'ALL VARS'!A43</f>
        <v>43921</v>
      </c>
      <c r="B43" s="16">
        <f>'ALL VARS'!F43</f>
        <v>-3.7551904604495374E-2</v>
      </c>
      <c r="C43" s="16">
        <f>'ALL VARS'!G43</f>
        <v>2.6099613068988042E-2</v>
      </c>
      <c r="D43" s="16">
        <f>'ALL VARS'!H43</f>
        <v>2.7648809446036929E-2</v>
      </c>
      <c r="E43" s="16">
        <f>'ALL VARS'!AU43</f>
        <v>-1.6716709220067533E-2</v>
      </c>
      <c r="F43" s="16">
        <f>'ALL VARS'!AW43</f>
        <v>-0.34952117072946265</v>
      </c>
      <c r="G43" s="16">
        <f>'ALL VARS'!J43</f>
        <v>66.123000399999995</v>
      </c>
    </row>
    <row r="44" spans="1:7" x14ac:dyDescent="0.25">
      <c r="A44" s="24">
        <f>'ALL VARS'!A44</f>
        <v>43920</v>
      </c>
      <c r="B44" s="16">
        <f>'ALL VARS'!F44</f>
        <v>2.6099613068988042E-2</v>
      </c>
      <c r="C44" s="16">
        <f>'ALL VARS'!G44</f>
        <v>2.7648809446036929E-2</v>
      </c>
      <c r="D44" s="16">
        <f>'ALL VARS'!H44</f>
        <v>-5.1117326046437227E-2</v>
      </c>
      <c r="E44" s="16">
        <f>'ALL VARS'!AU44</f>
        <v>1.555485781773594E-2</v>
      </c>
      <c r="F44" s="16">
        <f>'ALL VARS'!AW44</f>
        <v>0.36506460156326309</v>
      </c>
      <c r="G44" s="16">
        <f>'ALL VARS'!J44</f>
        <v>68.684000400000002</v>
      </c>
    </row>
    <row r="45" spans="1:7" x14ac:dyDescent="0.25">
      <c r="A45" s="24">
        <f>'ALL VARS'!A45</f>
        <v>43917</v>
      </c>
      <c r="B45" s="16">
        <f>'ALL VARS'!F45</f>
        <v>2.7648809446036929E-2</v>
      </c>
      <c r="C45" s="16">
        <f>'ALL VARS'!G45</f>
        <v>-5.1117326046437227E-2</v>
      </c>
      <c r="D45" s="16">
        <f>'ALL VARS'!H45</f>
        <v>1.7657086927428463E-2</v>
      </c>
      <c r="E45" s="16">
        <f>'ALL VARS'!AU45</f>
        <v>-0.10756176353482122</v>
      </c>
      <c r="F45" s="16">
        <f>'ALL VARS'!AW45</f>
        <v>-2.4414897738105146</v>
      </c>
      <c r="G45" s="16">
        <f>'ALL VARS'!J45</f>
        <v>67.91300050000001</v>
      </c>
    </row>
    <row r="46" spans="1:7" x14ac:dyDescent="0.25">
      <c r="A46" s="24">
        <f>'ALL VARS'!A46</f>
        <v>43916</v>
      </c>
      <c r="B46" s="16">
        <f>'ALL VARS'!F46</f>
        <v>-5.1117326046437227E-2</v>
      </c>
      <c r="C46" s="16">
        <f>'ALL VARS'!G46</f>
        <v>1.7657086927428463E-2</v>
      </c>
      <c r="D46" s="16">
        <f>'ALL VARS'!H46</f>
        <v>4.5191001874909938E-2</v>
      </c>
      <c r="E46" s="16">
        <f>'ALL VARS'!AU46</f>
        <v>-8.6363244862785862E-2</v>
      </c>
      <c r="F46" s="16">
        <f>'ALL VARS'!AW46</f>
        <v>-2.0852830021710265</v>
      </c>
      <c r="G46" s="16">
        <f>'ALL VARS'!J46</f>
        <v>69.360000600000006</v>
      </c>
    </row>
    <row r="47" spans="1:7" x14ac:dyDescent="0.25">
      <c r="A47" s="24">
        <f>'ALL VARS'!A47</f>
        <v>43915</v>
      </c>
      <c r="B47" s="16">
        <f>'ALL VARS'!F47</f>
        <v>1.7657086927428463E-2</v>
      </c>
      <c r="C47" s="16">
        <f>'ALL VARS'!G47</f>
        <v>4.5191001874909938E-2</v>
      </c>
      <c r="D47" s="16">
        <f>'ALL VARS'!H47</f>
        <v>0.11957070036068938</v>
      </c>
      <c r="E47" s="16">
        <f>'ALL VARS'!AU47</f>
        <v>2.3359486540013113E-2</v>
      </c>
      <c r="F47" s="16">
        <f>'ALL VARS'!AW47</f>
        <v>0.54055000406758347</v>
      </c>
      <c r="G47" s="16">
        <f>'ALL VARS'!J47</f>
        <v>68.355000700000005</v>
      </c>
    </row>
    <row r="48" spans="1:7" x14ac:dyDescent="0.25">
      <c r="A48" s="24">
        <f>'ALL VARS'!A48</f>
        <v>43914</v>
      </c>
      <c r="B48" s="16">
        <f>'ALL VARS'!F48</f>
        <v>4.5191001874909938E-2</v>
      </c>
      <c r="C48" s="16">
        <f>'ALL VARS'!G48</f>
        <v>0.11957070036068938</v>
      </c>
      <c r="D48" s="16">
        <f>'ALL VARS'!H48</f>
        <v>-5.2591151998453836E-2</v>
      </c>
      <c r="E48" s="16">
        <f>'ALL VARS'!AU48</f>
        <v>-6.4409877015427427E-2</v>
      </c>
      <c r="F48" s="16">
        <f>'ALL VARS'!AW48</f>
        <v>-1.3979192367393405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03-FDCC-4750-9CFB-EB307D1029CF}">
  <sheetPr codeName="Feuil24"/>
  <dimension ref="A1:Q48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VARS'!AY1</f>
        <v>Sent_t_k, k=8</v>
      </c>
      <c r="F1" s="16" t="str">
        <f>'ALL VARS'!BA1</f>
        <v>Sent_t_k, k=8 * (VIX_10_t  minus VIX_bar_10)</v>
      </c>
      <c r="G1" s="16" t="str">
        <f>'ALL VARS'!J1</f>
        <v>VIX_10_t</v>
      </c>
    </row>
    <row r="2" spans="1:14" x14ac:dyDescent="0.25">
      <c r="A2" s="24">
        <f>'ALL VARS'!A2</f>
        <v>43980</v>
      </c>
      <c r="B2" s="16">
        <f>'ALL VARS'!F2</f>
        <v>2.3093919546915233E-2</v>
      </c>
      <c r="C2" s="16">
        <f>'ALL VARS'!G2</f>
        <v>-4.5798180601685388E-3</v>
      </c>
      <c r="D2" s="16">
        <f>'ALL VARS'!H2</f>
        <v>-6.0894480094293875E-4</v>
      </c>
      <c r="E2" s="16">
        <f>'ALL VARS'!AY2</f>
        <v>-3.9793148523069597E-3</v>
      </c>
      <c r="F2" s="16">
        <f>'ALL VARS'!BA2</f>
        <v>6.2839385564025976E-2</v>
      </c>
      <c r="G2" s="16">
        <f>'ALL VARS'!J2</f>
        <v>29.423000200000001</v>
      </c>
      <c r="I2" s="18" t="s">
        <v>39</v>
      </c>
    </row>
    <row r="3" spans="1:14" ht="15.75" thickBot="1" x14ac:dyDescent="0.3">
      <c r="A3" s="24">
        <f>'ALL VARS'!A3</f>
        <v>43979</v>
      </c>
      <c r="B3" s="16">
        <f>'ALL VARS'!F3</f>
        <v>-4.5798180601685388E-3</v>
      </c>
      <c r="C3" s="16">
        <f>'ALL VARS'!G3</f>
        <v>-6.0894480094293875E-4</v>
      </c>
      <c r="D3" s="16">
        <f>'ALL VARS'!H3</f>
        <v>8.1792696244475296E-3</v>
      </c>
      <c r="E3" s="16">
        <f>'ALL VARS'!AY3</f>
        <v>1.5311548504140444E-3</v>
      </c>
      <c r="F3" s="16">
        <f>'ALL VARS'!BA3</f>
        <v>-2.315490287415441E-2</v>
      </c>
      <c r="G3" s="16">
        <f>'ALL VARS'!J3</f>
        <v>30.092000099999996</v>
      </c>
    </row>
    <row r="4" spans="1:14" x14ac:dyDescent="0.25">
      <c r="A4" s="24">
        <f>'ALL VARS'!A4</f>
        <v>43978</v>
      </c>
      <c r="B4" s="16">
        <f>'ALL VARS'!F4</f>
        <v>-6.0894480094293875E-4</v>
      </c>
      <c r="C4" s="16">
        <f>'ALL VARS'!G4</f>
        <v>8.1792696244475296E-3</v>
      </c>
      <c r="D4" s="16">
        <f>'ALL VARS'!H4</f>
        <v>4.8223739412853626E-3</v>
      </c>
      <c r="E4" s="16">
        <f>'ALL VARS'!AY4</f>
        <v>-3.5602382730395791E-3</v>
      </c>
      <c r="F4" s="16">
        <f>'ALL VARS'!BA4</f>
        <v>5.1910085876142376E-2</v>
      </c>
      <c r="G4" s="16">
        <f>'ALL VARS'!J4</f>
        <v>30.634000099999998</v>
      </c>
      <c r="I4" s="26" t="s">
        <v>40</v>
      </c>
      <c r="J4" s="26"/>
    </row>
    <row r="5" spans="1:14" x14ac:dyDescent="0.25">
      <c r="A5" s="24">
        <f>'ALL VARS'!A5</f>
        <v>43977</v>
      </c>
      <c r="B5" s="16">
        <f>'ALL VARS'!F5</f>
        <v>8.1792696244475296E-3</v>
      </c>
      <c r="C5" s="16">
        <f>'ALL VARS'!G5</f>
        <v>4.8223739412853626E-3</v>
      </c>
      <c r="D5" s="16">
        <f>'ALL VARS'!H5</f>
        <v>1.0849210535487055E-2</v>
      </c>
      <c r="E5" s="16">
        <f>'ALL VARS'!AY5</f>
        <v>2.2715361108688798E-3</v>
      </c>
      <c r="F5" s="16">
        <f>'ALL VARS'!BA5</f>
        <v>-3.3220100101954468E-2</v>
      </c>
      <c r="G5" s="16">
        <f>'ALL VARS'!J5</f>
        <v>30.590000099999997</v>
      </c>
      <c r="I5" s="18" t="s">
        <v>41</v>
      </c>
      <c r="J5" s="18">
        <v>0.36264902698189461</v>
      </c>
    </row>
    <row r="6" spans="1:14" x14ac:dyDescent="0.25">
      <c r="A6" s="24">
        <f>'ALL VARS'!A6</f>
        <v>43976</v>
      </c>
      <c r="B6" s="16">
        <f>'ALL VARS'!F6</f>
        <v>4.8223739412853626E-3</v>
      </c>
      <c r="C6" s="16">
        <f>'ALL VARS'!G6</f>
        <v>1.0849210535487055E-2</v>
      </c>
      <c r="D6" s="16">
        <f>'ALL VARS'!H6</f>
        <v>1.9280759189597432E-3</v>
      </c>
      <c r="E6" s="16">
        <f>'ALL VARS'!AY6</f>
        <v>-0.21926329805601888</v>
      </c>
      <c r="F6" s="16">
        <f>'ALL VARS'!BA6</f>
        <v>3.208591426623479</v>
      </c>
      <c r="G6" s="16">
        <f>'ALL VARS'!J6</f>
        <v>30.581000099999997</v>
      </c>
      <c r="I6" s="18" t="s">
        <v>42</v>
      </c>
      <c r="J6" s="18">
        <v>0.13151431677091494</v>
      </c>
    </row>
    <row r="7" spans="1:14" x14ac:dyDescent="0.25">
      <c r="A7" s="24">
        <f>'ALL VARS'!A7</f>
        <v>43973</v>
      </c>
      <c r="B7" s="16">
        <f>'ALL VARS'!F7</f>
        <v>1.0849210535487055E-2</v>
      </c>
      <c r="C7" s="16">
        <f>'ALL VARS'!G7</f>
        <v>1.9280759189597432E-3</v>
      </c>
      <c r="D7" s="16">
        <f>'ALL VARS'!H7</f>
        <v>-7.5144837132717695E-3</v>
      </c>
      <c r="E7" s="16">
        <f>'ALL VARS'!AY7</f>
        <v>9.4282772560790821E-3</v>
      </c>
      <c r="F7" s="16">
        <f>'ALL VARS'!BA7</f>
        <v>-0.138053633766132</v>
      </c>
      <c r="G7" s="16">
        <f>'ALL VARS'!J7</f>
        <v>30.572000099999997</v>
      </c>
      <c r="I7" s="18" t="s">
        <v>42</v>
      </c>
      <c r="J7" s="18">
        <v>2.4991870749097318E-2</v>
      </c>
    </row>
    <row r="8" spans="1:14" x14ac:dyDescent="0.25">
      <c r="A8" s="24">
        <f>'ALL VARS'!A8</f>
        <v>43972</v>
      </c>
      <c r="B8" s="16">
        <f>'ALL VARS'!F8</f>
        <v>1.9280759189597432E-3</v>
      </c>
      <c r="C8" s="16">
        <f>'ALL VARS'!G8</f>
        <v>-7.5144837132717695E-3</v>
      </c>
      <c r="D8" s="16">
        <f>'ALL VARS'!H8</f>
        <v>7.5307923146686901E-3</v>
      </c>
      <c r="E8" s="16">
        <f>'ALL VARS'!AY8</f>
        <v>1.5144979162469395E-3</v>
      </c>
      <c r="F8" s="16">
        <f>'ALL VARS'!BA8</f>
        <v>-2.188678013693017E-2</v>
      </c>
      <c r="G8" s="16">
        <f>'ALL VARS'!J8</f>
        <v>30.763000099999999</v>
      </c>
      <c r="I8" s="18" t="s">
        <v>43</v>
      </c>
      <c r="J8" s="18">
        <v>2.0183507881698187E-2</v>
      </c>
    </row>
    <row r="9" spans="1:14" ht="15.75" thickBot="1" x14ac:dyDescent="0.3">
      <c r="A9" s="24">
        <f>'ALL VARS'!A9</f>
        <v>43971</v>
      </c>
      <c r="B9" s="16">
        <f>'ALL VARS'!F9</f>
        <v>-7.5144837132717695E-3</v>
      </c>
      <c r="C9" s="16">
        <f>'ALL VARS'!G9</f>
        <v>7.5307923146686901E-3</v>
      </c>
      <c r="D9" s="16">
        <f>'ALL VARS'!H9</f>
        <v>1.6845500851389788E-2</v>
      </c>
      <c r="E9" s="16">
        <f>'ALL VARS'!AY9</f>
        <v>8.7596785349484309E-3</v>
      </c>
      <c r="F9" s="16">
        <f>'ALL VARS'!BA9</f>
        <v>-0.1212208903659333</v>
      </c>
      <c r="G9" s="16">
        <f>'ALL VARS'!J9</f>
        <v>31.375999999999998</v>
      </c>
      <c r="I9" s="28" t="s">
        <v>44</v>
      </c>
      <c r="J9" s="28">
        <v>47</v>
      </c>
    </row>
    <row r="10" spans="1:14" x14ac:dyDescent="0.25">
      <c r="A10" s="24">
        <f>'ALL VARS'!A10</f>
        <v>43970</v>
      </c>
      <c r="B10" s="16">
        <f>'ALL VARS'!F10</f>
        <v>7.5307923146686901E-3</v>
      </c>
      <c r="C10" s="16">
        <f>'ALL VARS'!G10</f>
        <v>1.6845500851389788E-2</v>
      </c>
      <c r="D10" s="16">
        <f>'ALL VARS'!H10</f>
        <v>8.9044014875318926E-3</v>
      </c>
      <c r="E10" s="16">
        <f>'ALL VARS'!AY10</f>
        <v>8.3453181082705809E-3</v>
      </c>
      <c r="F10" s="16">
        <f>'ALL VARS'!BA10</f>
        <v>-0.11291640188894513</v>
      </c>
      <c r="G10" s="16">
        <f>'ALL VARS'!J10</f>
        <v>31.683999999999997</v>
      </c>
    </row>
    <row r="11" spans="1:14" ht="15.75" thickBot="1" x14ac:dyDescent="0.3">
      <c r="A11" s="24">
        <f>'ALL VARS'!A11</f>
        <v>43966</v>
      </c>
      <c r="B11" s="16">
        <f>'ALL VARS'!F11</f>
        <v>1.6845500851389788E-2</v>
      </c>
      <c r="C11" s="16">
        <f>'ALL VARS'!G11</f>
        <v>8.9044014875318926E-3</v>
      </c>
      <c r="D11" s="16">
        <f>'ALL VARS'!H11</f>
        <v>4.4817694802564231E-4</v>
      </c>
      <c r="E11" s="16">
        <f>'ALL VARS'!AY11</f>
        <v>-2.8202952723899617E-2</v>
      </c>
      <c r="F11" s="16">
        <f>'ALL VARS'!BA11</f>
        <v>0.34784136600202992</v>
      </c>
      <c r="G11" s="16">
        <f>'ALL VARS'!J11</f>
        <v>32.881000200000003</v>
      </c>
      <c r="I11" s="18" t="s">
        <v>45</v>
      </c>
    </row>
    <row r="12" spans="1:14" x14ac:dyDescent="0.25">
      <c r="A12" s="24">
        <f>'ALL VARS'!A12</f>
        <v>43965</v>
      </c>
      <c r="B12" s="16">
        <f>'ALL VARS'!F12</f>
        <v>8.9044014875318926E-3</v>
      </c>
      <c r="C12" s="16">
        <f>'ALL VARS'!G12</f>
        <v>4.4817694802564231E-4</v>
      </c>
      <c r="D12" s="16">
        <f>'ALL VARS'!H12</f>
        <v>-2.5401176991557837E-2</v>
      </c>
      <c r="E12" s="16">
        <f>'ALL VARS'!AY12</f>
        <v>5.2182124916950066E-3</v>
      </c>
      <c r="F12" s="16">
        <f>'ALL VARS'!BA12</f>
        <v>-6.3555264514285933E-2</v>
      </c>
      <c r="G12" s="16">
        <f>'ALL VARS'!J12</f>
        <v>33.0350003</v>
      </c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A13" s="24">
        <f>'ALL VARS'!A13</f>
        <v>43964</v>
      </c>
      <c r="B13" s="16">
        <f>'ALL VARS'!F13</f>
        <v>4.4817694802564231E-4</v>
      </c>
      <c r="C13" s="16">
        <f>'ALL VARS'!G13</f>
        <v>-2.5401176991557837E-2</v>
      </c>
      <c r="D13" s="16">
        <f>'ALL VARS'!H13</f>
        <v>-1.4698871572495898E-2</v>
      </c>
      <c r="E13" s="16">
        <f>'ALL VARS'!AY13</f>
        <v>2.1353989241585667E-3</v>
      </c>
      <c r="F13" s="16">
        <f>'ALL VARS'!BA13</f>
        <v>-2.6872946155474694E-2</v>
      </c>
      <c r="G13" s="16">
        <f>'ALL VARS'!J13</f>
        <v>32.630000399999993</v>
      </c>
      <c r="I13" s="18" t="s">
        <v>46</v>
      </c>
      <c r="J13" s="18">
        <v>5</v>
      </c>
      <c r="K13" s="18">
        <v>2.5909137574213134E-3</v>
      </c>
      <c r="L13" s="18">
        <v>5.1818275148426268E-4</v>
      </c>
      <c r="M13" s="18">
        <v>1.2720074518307143</v>
      </c>
      <c r="N13" s="18">
        <v>0.29441337090345321</v>
      </c>
    </row>
    <row r="14" spans="1:14" x14ac:dyDescent="0.25">
      <c r="A14" s="24">
        <f>'ALL VARS'!A14</f>
        <v>43963</v>
      </c>
      <c r="B14" s="16">
        <f>'ALL VARS'!F14</f>
        <v>-2.5401176991557837E-2</v>
      </c>
      <c r="C14" s="16">
        <f>'ALL VARS'!G14</f>
        <v>-1.4698871572495898E-2</v>
      </c>
      <c r="D14" s="16">
        <f>'ALL VARS'!H14</f>
        <v>9.1270288220883112E-3</v>
      </c>
      <c r="E14" s="16">
        <f>'ALL VARS'!AY14</f>
        <v>-3.5856215812900882E-2</v>
      </c>
      <c r="F14" s="16">
        <f>'ALL VARS'!BA14</f>
        <v>0.4493324809116892</v>
      </c>
      <c r="G14" s="16">
        <f>'ALL VARS'!J14</f>
        <v>32.683000299999996</v>
      </c>
      <c r="I14" s="18" t="s">
        <v>47</v>
      </c>
      <c r="J14" s="18">
        <v>42</v>
      </c>
      <c r="K14" s="18">
        <v>1.7109707597244062E-2</v>
      </c>
      <c r="L14" s="18">
        <v>4.0737399041057288E-4</v>
      </c>
    </row>
    <row r="15" spans="1:14" ht="15.75" thickBot="1" x14ac:dyDescent="0.3">
      <c r="A15" s="24">
        <f>'ALL VARS'!A15</f>
        <v>43962</v>
      </c>
      <c r="B15" s="16">
        <f>'ALL VARS'!F15</f>
        <v>-1.4698871572495898E-2</v>
      </c>
      <c r="C15" s="16">
        <f>'ALL VARS'!G15</f>
        <v>9.1270288220883112E-3</v>
      </c>
      <c r="D15" s="16">
        <f>'ALL VARS'!H15</f>
        <v>8.9592894728179693E-3</v>
      </c>
      <c r="E15" s="16">
        <f>'ALL VARS'!AY15</f>
        <v>1.5913647093750702E-3</v>
      </c>
      <c r="F15" s="16">
        <f>'ALL VARS'!BA15</f>
        <v>-1.903193994984255E-2</v>
      </c>
      <c r="G15" s="16">
        <f>'ALL VARS'!J15</f>
        <v>33.2550004</v>
      </c>
      <c r="I15" s="28" t="s">
        <v>48</v>
      </c>
      <c r="J15" s="28">
        <v>47</v>
      </c>
      <c r="K15" s="28">
        <v>1.9700621354665375E-2</v>
      </c>
      <c r="L15" s="28"/>
      <c r="M15" s="28"/>
      <c r="N15" s="28"/>
    </row>
    <row r="16" spans="1:14" ht="15.75" thickBot="1" x14ac:dyDescent="0.3">
      <c r="A16" s="24">
        <f>'ALL VARS'!A16</f>
        <v>43959</v>
      </c>
      <c r="B16" s="16">
        <f>'ALL VARS'!F16</f>
        <v>9.1270288220883112E-3</v>
      </c>
      <c r="C16" s="16">
        <f>'ALL VARS'!G16</f>
        <v>8.9592894728179693E-3</v>
      </c>
      <c r="D16" s="16">
        <f>'ALL VARS'!H16</f>
        <v>2.0228309928424119E-4</v>
      </c>
      <c r="E16" s="16">
        <f>'ALL VARS'!AY16</f>
        <v>5.7524593295812776E-2</v>
      </c>
      <c r="F16" s="16">
        <f>'ALL VARS'!BA16</f>
        <v>-0.64223381736996499</v>
      </c>
      <c r="G16" s="16">
        <f>'ALL VARS'!J16</f>
        <v>34.050000400000002</v>
      </c>
    </row>
    <row r="17" spans="1:17" x14ac:dyDescent="0.25">
      <c r="A17" s="24">
        <f>'ALL VARS'!A17</f>
        <v>43958</v>
      </c>
      <c r="B17" s="16">
        <f>'ALL VARS'!F17</f>
        <v>8.9592894728179693E-3</v>
      </c>
      <c r="C17" s="16">
        <f>'ALL VARS'!G17</f>
        <v>2.0228309928424119E-4</v>
      </c>
      <c r="D17" s="16">
        <f>'ALL VARS'!H17</f>
        <v>1.2895694256002256E-3</v>
      </c>
      <c r="E17" s="16">
        <f>'ALL VARS'!AY17</f>
        <v>-3.5818343514204738E-3</v>
      </c>
      <c r="F17" s="16">
        <f>'ALL VARS'!BA17</f>
        <v>3.6429077125168602E-2</v>
      </c>
      <c r="G17" s="16">
        <f>'ALL VARS'!J17</f>
        <v>35.044000400000002</v>
      </c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1:17" x14ac:dyDescent="0.25">
      <c r="A18" s="24">
        <f>'ALL VARS'!A18</f>
        <v>43957</v>
      </c>
      <c r="B18" s="16">
        <f>'ALL VARS'!F18</f>
        <v>2.0228309928424119E-4</v>
      </c>
      <c r="C18" s="16">
        <f>'ALL VARS'!G18</f>
        <v>1.2895694256002256E-3</v>
      </c>
      <c r="D18" s="16">
        <f>'ALL VARS'!H18</f>
        <v>4.5167588335029351E-3</v>
      </c>
      <c r="E18" s="16">
        <f>'ALL VARS'!AY18</f>
        <v>-1.7740851763834208E-3</v>
      </c>
      <c r="F18" s="16">
        <f>'ALL VARS'!BA18</f>
        <v>1.6648917442393607E-2</v>
      </c>
      <c r="G18" s="16">
        <f>'ALL VARS'!J18</f>
        <v>35.830000499999997</v>
      </c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4">
        <f>'ALL VARS'!A19</f>
        <v>43956</v>
      </c>
      <c r="B19" s="16">
        <f>'ALL VARS'!F19</f>
        <v>1.2895694256002256E-3</v>
      </c>
      <c r="C19" s="16">
        <f>'ALL VARS'!G19</f>
        <v>4.5167588335029351E-3</v>
      </c>
      <c r="D19" s="16">
        <f>'ALL VARS'!H19</f>
        <v>8.5292501975474666E-3</v>
      </c>
      <c r="E19" s="16">
        <f>'ALL VARS'!AY19</f>
        <v>4.6652164569905376E-2</v>
      </c>
      <c r="F19" s="16">
        <f>'ALL VARS'!BA19</f>
        <v>-0.38275808607716971</v>
      </c>
      <c r="G19" s="16">
        <f>'ALL VARS'!J19</f>
        <v>37.010000400000003</v>
      </c>
      <c r="I19" s="18" t="s">
        <v>36</v>
      </c>
      <c r="J19" s="18">
        <v>-5.5556083403166916E-2</v>
      </c>
      <c r="K19" s="18">
        <v>0.11988079096633476</v>
      </c>
      <c r="L19" s="18">
        <v>-0.46342773479671417</v>
      </c>
      <c r="M19" s="18">
        <v>0.64545048899513002</v>
      </c>
      <c r="N19" s="18">
        <v>-0.29748531417172996</v>
      </c>
      <c r="O19" s="18">
        <v>0.18637314736539612</v>
      </c>
      <c r="P19" s="18">
        <v>-0.29748531417172996</v>
      </c>
      <c r="Q19" s="18">
        <v>0.18637314736539612</v>
      </c>
    </row>
    <row r="20" spans="1:17" x14ac:dyDescent="0.25">
      <c r="A20" s="24">
        <f>'ALL VARS'!A20</f>
        <v>43955</v>
      </c>
      <c r="B20" s="16">
        <f>'ALL VARS'!F20</f>
        <v>4.5167588335029351E-3</v>
      </c>
      <c r="C20" s="16">
        <f>'ALL VARS'!G20</f>
        <v>8.5292501975474666E-3</v>
      </c>
      <c r="D20" s="16">
        <f>'ALL VARS'!H20</f>
        <v>-1.0852015661224153E-2</v>
      </c>
      <c r="E20" s="16">
        <f>'ALL VARS'!AY20</f>
        <v>-3.0383161021022721E-2</v>
      </c>
      <c r="F20" s="16">
        <f>'ALL VARS'!BA20</f>
        <v>0.22539773871775526</v>
      </c>
      <c r="G20" s="16">
        <f>'ALL VARS'!J20</f>
        <v>37.796000499999998</v>
      </c>
      <c r="I20" s="18" t="s">
        <v>37</v>
      </c>
      <c r="J20" s="18">
        <v>-0.1784138844919301</v>
      </c>
      <c r="K20" s="18">
        <v>0.1127401457262286</v>
      </c>
      <c r="L20" s="18">
        <v>-1.5825230962995174</v>
      </c>
      <c r="M20" s="18">
        <v>0.12103238408209058</v>
      </c>
      <c r="N20" s="18">
        <v>-0.4059327097551173</v>
      </c>
      <c r="O20" s="18">
        <v>4.9104940771257072E-2</v>
      </c>
      <c r="P20" s="18">
        <v>-0.4059327097551173</v>
      </c>
      <c r="Q20" s="18">
        <v>4.9104940771257072E-2</v>
      </c>
    </row>
    <row r="21" spans="1:17" x14ac:dyDescent="0.25">
      <c r="A21" s="24">
        <f>'ALL VARS'!A21</f>
        <v>43952</v>
      </c>
      <c r="B21" s="16">
        <f>'ALL VARS'!F21</f>
        <v>8.5292501975474666E-3</v>
      </c>
      <c r="C21" s="16">
        <f>'ALL VARS'!G21</f>
        <v>-1.0852015661224153E-2</v>
      </c>
      <c r="D21" s="16">
        <f>'ALL VARS'!H21</f>
        <v>-2.9379858648651246E-2</v>
      </c>
      <c r="E21" s="16">
        <f>'ALL VARS'!AY21</f>
        <v>-2.1266942193614767E-2</v>
      </c>
      <c r="F21" s="16">
        <f>'ALL VARS'!BA21</f>
        <v>0.1557273589001531</v>
      </c>
      <c r="G21" s="16">
        <f>'ALL VARS'!J21</f>
        <v>37.892000799999991</v>
      </c>
      <c r="I21" s="18" t="s">
        <v>29</v>
      </c>
      <c r="J21" s="18">
        <v>4.7084541715005868E-2</v>
      </c>
      <c r="K21" s="18">
        <v>7.5127397151785111E-2</v>
      </c>
      <c r="L21" s="18">
        <v>0.62672930914773595</v>
      </c>
      <c r="M21" s="18">
        <v>0.53422871342595823</v>
      </c>
      <c r="N21" s="18">
        <v>-0.10452868385738631</v>
      </c>
      <c r="O21" s="18">
        <v>0.19869776728739805</v>
      </c>
      <c r="P21" s="18">
        <v>-0.10452868385738631</v>
      </c>
      <c r="Q21" s="18">
        <v>0.19869776728739805</v>
      </c>
    </row>
    <row r="22" spans="1:17" x14ac:dyDescent="0.25">
      <c r="A22" s="24">
        <f>'ALL VARS'!A22</f>
        <v>43951</v>
      </c>
      <c r="B22" s="16">
        <f>'ALL VARS'!F22</f>
        <v>-1.0852015661224153E-2</v>
      </c>
      <c r="C22" s="16">
        <f>'ALL VARS'!G22</f>
        <v>-2.9379858648651246E-2</v>
      </c>
      <c r="D22" s="16">
        <f>'ALL VARS'!H22</f>
        <v>2.904386379946032E-2</v>
      </c>
      <c r="E22" s="16">
        <f>'ALL VARS'!AY22</f>
        <v>-2.4755316678171657E-2</v>
      </c>
      <c r="F22" s="16">
        <f>'ALL VARS'!BA22</f>
        <v>0.1665168434522924</v>
      </c>
      <c r="G22" s="16">
        <f>'ALL VARS'!J22</f>
        <v>38.488000700000001</v>
      </c>
      <c r="I22" s="18" t="s">
        <v>95</v>
      </c>
      <c r="J22" s="18">
        <v>5.1511719028489262E-3</v>
      </c>
      <c r="K22" s="18">
        <v>5.0316001361133469E-3</v>
      </c>
      <c r="L22" s="18">
        <v>1.0237641631888383</v>
      </c>
      <c r="M22" s="18">
        <v>0.3118073619637805</v>
      </c>
      <c r="N22" s="18">
        <v>-5.003008267740223E-3</v>
      </c>
      <c r="O22" s="18">
        <v>1.5305352073438076E-2</v>
      </c>
      <c r="P22" s="18">
        <v>-5.003008267740223E-3</v>
      </c>
      <c r="Q22" s="18">
        <v>1.5305352073438076E-2</v>
      </c>
    </row>
    <row r="23" spans="1:17" ht="15.75" thickBot="1" x14ac:dyDescent="0.3">
      <c r="A23" s="24">
        <f>'ALL VARS'!A23</f>
        <v>43950</v>
      </c>
      <c r="B23" s="16">
        <f>'ALL VARS'!F23</f>
        <v>-2.9379858648651246E-2</v>
      </c>
      <c r="C23" s="16">
        <f>'ALL VARS'!G23</f>
        <v>2.904386379946032E-2</v>
      </c>
      <c r="D23" s="16">
        <f>'ALL VARS'!H23</f>
        <v>1.0667882350970269E-2</v>
      </c>
      <c r="E23" s="16">
        <f>'ALL VARS'!AY23</f>
        <v>8.9372420664605916E-5</v>
      </c>
      <c r="F23" s="16">
        <f>'ALL VARS'!BA23</f>
        <v>-5.1527743438722418E-4</v>
      </c>
      <c r="G23" s="16">
        <f>'ALL VARS'!J23</f>
        <v>39.449000699999999</v>
      </c>
      <c r="I23" s="28" t="s">
        <v>4</v>
      </c>
      <c r="J23" s="28">
        <v>1.7055628759080754E-4</v>
      </c>
      <c r="K23" s="28">
        <v>7.6834366567603057E-5</v>
      </c>
      <c r="L23" s="28">
        <v>2.2197916792968266</v>
      </c>
      <c r="M23" s="28">
        <v>3.1886375940938433E-2</v>
      </c>
      <c r="N23" s="28">
        <v>1.5498258273082465E-5</v>
      </c>
      <c r="O23" s="28">
        <v>3.2561431690853262E-4</v>
      </c>
      <c r="P23" s="28">
        <v>1.5498258273082465E-5</v>
      </c>
      <c r="Q23" s="28">
        <v>3.2561431690853262E-4</v>
      </c>
    </row>
    <row r="24" spans="1:17" x14ac:dyDescent="0.25">
      <c r="A24" s="24">
        <f>'ALL VARS'!A24</f>
        <v>43949</v>
      </c>
      <c r="B24" s="16">
        <f>'ALL VARS'!F24</f>
        <v>2.904386379946032E-2</v>
      </c>
      <c r="C24" s="16">
        <f>'ALL VARS'!G24</f>
        <v>1.0667882350970269E-2</v>
      </c>
      <c r="D24" s="16">
        <f>'ALL VARS'!H24</f>
        <v>1.5373998778727917E-2</v>
      </c>
      <c r="E24" s="16">
        <f>'ALL VARS'!AY24</f>
        <v>-2.6762421446872998E-2</v>
      </c>
      <c r="F24" s="16">
        <f>'ALL VARS'!BA24</f>
        <v>0.14308551412190074</v>
      </c>
      <c r="G24" s="16">
        <f>'ALL VARS'!J24</f>
        <v>39.868000500000008</v>
      </c>
    </row>
    <row r="25" spans="1:17" x14ac:dyDescent="0.25">
      <c r="A25" s="24">
        <f>'ALL VARS'!A25</f>
        <v>43948</v>
      </c>
      <c r="B25" s="16">
        <f>'ALL VARS'!F25</f>
        <v>1.0667882350970269E-2</v>
      </c>
      <c r="C25" s="16">
        <f>'ALL VARS'!G25</f>
        <v>1.5373998778727917E-2</v>
      </c>
      <c r="D25" s="16">
        <f>'ALL VARS'!H25</f>
        <v>1.1879839917270655E-2</v>
      </c>
      <c r="E25" s="16">
        <f>'ALL VARS'!AY25</f>
        <v>-6.3262697982867152E-3</v>
      </c>
      <c r="F25" s="16">
        <f>'ALL VARS'!BA25</f>
        <v>2.8838356635453779E-2</v>
      </c>
      <c r="G25" s="16">
        <f>'ALL VARS'!J25</f>
        <v>40.656000200000001</v>
      </c>
    </row>
    <row r="26" spans="1:17" x14ac:dyDescent="0.25">
      <c r="A26" s="24">
        <f>'ALL VARS'!A26</f>
        <v>43945</v>
      </c>
      <c r="B26" s="16">
        <f>'ALL VARS'!F26</f>
        <v>1.5373998778727917E-2</v>
      </c>
      <c r="C26" s="16">
        <f>'ALL VARS'!G26</f>
        <v>1.1879839917270655E-2</v>
      </c>
      <c r="D26" s="16">
        <f>'ALL VARS'!H26</f>
        <v>-2.5965891780394849E-3</v>
      </c>
      <c r="E26" s="16">
        <f>'ALL VARS'!AY26</f>
        <v>-3.5751277338171845E-3</v>
      </c>
      <c r="F26" s="16">
        <f>'ALL VARS'!BA26</f>
        <v>1.424512868172129E-2</v>
      </c>
      <c r="G26" s="16">
        <f>'ALL VARS'!J26</f>
        <v>41.230000000000004</v>
      </c>
    </row>
    <row r="27" spans="1:17" x14ac:dyDescent="0.25">
      <c r="A27" s="24">
        <f>'ALL VARS'!A27</f>
        <v>43944</v>
      </c>
      <c r="B27" s="16">
        <f>'ALL VARS'!F27</f>
        <v>1.1879839917270655E-2</v>
      </c>
      <c r="C27" s="16">
        <f>'ALL VARS'!G27</f>
        <v>-2.5965891780394849E-3</v>
      </c>
      <c r="D27" s="16">
        <f>'ALL VARS'!H27</f>
        <v>2.4971169199914333E-2</v>
      </c>
      <c r="E27" s="16">
        <f>'ALL VARS'!AY27</f>
        <v>-7.1160182191305141E-2</v>
      </c>
      <c r="F27" s="16">
        <f>'ALL VARS'!BA27</f>
        <v>0.26951985283799923</v>
      </c>
      <c r="G27" s="16">
        <f>'ALL VARS'!J27</f>
        <v>41.42699970000001</v>
      </c>
    </row>
    <row r="28" spans="1:17" x14ac:dyDescent="0.25">
      <c r="A28" s="24">
        <f>'ALL VARS'!A28</f>
        <v>43943</v>
      </c>
      <c r="B28" s="16">
        <f>'ALL VARS'!F28</f>
        <v>-2.5965891780394849E-3</v>
      </c>
      <c r="C28" s="16">
        <f>'ALL VARS'!G28</f>
        <v>2.4971169199914333E-2</v>
      </c>
      <c r="D28" s="16">
        <f>'ALL VARS'!H28</f>
        <v>-3.1150323670921017E-2</v>
      </c>
      <c r="E28" s="16">
        <f>'ALL VARS'!AY28</f>
        <v>5.8401204160221654E-3</v>
      </c>
      <c r="F28" s="16">
        <f>'ALL VARS'!BA28</f>
        <v>-1.9362973050395759E-2</v>
      </c>
      <c r="G28" s="16">
        <f>'ALL VARS'!J28</f>
        <v>41.898999799999999</v>
      </c>
    </row>
    <row r="29" spans="1:17" x14ac:dyDescent="0.25">
      <c r="A29" s="24">
        <f>'ALL VARS'!A29</f>
        <v>43942</v>
      </c>
      <c r="B29" s="16">
        <f>'ALL VARS'!F29</f>
        <v>2.4971169199914333E-2</v>
      </c>
      <c r="C29" s="16">
        <f>'ALL VARS'!G29</f>
        <v>-3.1150323670921017E-2</v>
      </c>
      <c r="D29" s="16">
        <f>'ALL VARS'!H29</f>
        <v>1.9776887879946956E-3</v>
      </c>
      <c r="E29" s="16">
        <f>'ALL VARS'!AY29</f>
        <v>9.3997355234824015E-4</v>
      </c>
      <c r="F29" s="16">
        <f>'ALL VARS'!BA29</f>
        <v>-3.1324703361550678E-3</v>
      </c>
      <c r="G29" s="16">
        <f>'ALL VARS'!J29</f>
        <v>41.881999999999998</v>
      </c>
    </row>
    <row r="30" spans="1:17" x14ac:dyDescent="0.25">
      <c r="A30" s="24">
        <f>'ALL VARS'!A30</f>
        <v>43941</v>
      </c>
      <c r="B30" s="16">
        <f>'ALL VARS'!F30</f>
        <v>-3.1150323670921017E-2</v>
      </c>
      <c r="C30" s="16">
        <f>'ALL VARS'!G30</f>
        <v>1.9776887879946956E-3</v>
      </c>
      <c r="D30" s="16">
        <f>'ALL VARS'!H30</f>
        <v>3.3138402111040632E-2</v>
      </c>
      <c r="E30" s="16">
        <f>'ALL VARS'!AY30</f>
        <v>5.5845793814444837E-3</v>
      </c>
      <c r="F30" s="16">
        <f>'ALL VARS'!BA30</f>
        <v>-1.6952042727342888E-2</v>
      </c>
      <c r="G30" s="16">
        <f>'ALL VARS'!J30</f>
        <v>42.178999699999999</v>
      </c>
    </row>
    <row r="31" spans="1:17" x14ac:dyDescent="0.25">
      <c r="A31" s="24">
        <f>'ALL VARS'!A31</f>
        <v>43938</v>
      </c>
      <c r="B31" s="16">
        <f>'ALL VARS'!F31</f>
        <v>1.9776887879946956E-3</v>
      </c>
      <c r="C31" s="16">
        <f>'ALL VARS'!G31</f>
        <v>3.3138402111040632E-2</v>
      </c>
      <c r="D31" s="16">
        <f>'ALL VARS'!H31</f>
        <v>-4.2482631253185207E-3</v>
      </c>
      <c r="E31" s="16">
        <f>'ALL VARS'!AY31</f>
        <v>-2.2423216333695172E-3</v>
      </c>
      <c r="F31" s="16">
        <f>'ALL VARS'!BA31</f>
        <v>3.9453862474402995E-3</v>
      </c>
      <c r="G31" s="16">
        <f>'ALL VARS'!J31</f>
        <v>43.4549995</v>
      </c>
    </row>
    <row r="32" spans="1:17" x14ac:dyDescent="0.25">
      <c r="A32" s="24">
        <f>'ALL VARS'!A32</f>
        <v>43937</v>
      </c>
      <c r="B32" s="16">
        <f>'ALL VARS'!F32</f>
        <v>3.3138402111040632E-2</v>
      </c>
      <c r="C32" s="16">
        <f>'ALL VARS'!G32</f>
        <v>-4.2482631253185207E-3</v>
      </c>
      <c r="D32" s="16">
        <f>'ALL VARS'!H32</f>
        <v>-2.1026256366684357E-2</v>
      </c>
      <c r="E32" s="16">
        <f>'ALL VARS'!AY32</f>
        <v>-1.9692996135975758E-3</v>
      </c>
      <c r="F32" s="16">
        <f>'ALL VARS'!BA32</f>
        <v>1.2703856106262331E-4</v>
      </c>
      <c r="G32" s="16">
        <f>'ALL VARS'!J32</f>
        <v>45.149999499999993</v>
      </c>
    </row>
    <row r="33" spans="1:7" x14ac:dyDescent="0.25">
      <c r="A33" s="24">
        <f>'ALL VARS'!A33</f>
        <v>43936</v>
      </c>
      <c r="B33" s="16">
        <f>'ALL VARS'!F33</f>
        <v>-4.2482631253185207E-3</v>
      </c>
      <c r="C33" s="16">
        <f>'ALL VARS'!G33</f>
        <v>-2.1026256366684357E-2</v>
      </c>
      <c r="D33" s="16">
        <f>'ALL VARS'!H33</f>
        <v>1.2965422809946055E-2</v>
      </c>
      <c r="E33" s="16">
        <f>'ALL VARS'!AY33</f>
        <v>-4.8921747672897725E-3</v>
      </c>
      <c r="F33" s="16">
        <f>'ALL VARS'!BA33</f>
        <v>-5.8974706268630668E-3</v>
      </c>
      <c r="G33" s="16">
        <f>'ALL VARS'!J33</f>
        <v>46.419999600000004</v>
      </c>
    </row>
    <row r="34" spans="1:7" x14ac:dyDescent="0.25">
      <c r="A34" s="24">
        <f>'ALL VARS'!A34</f>
        <v>43935</v>
      </c>
      <c r="B34" s="16">
        <f>'ALL VARS'!F34</f>
        <v>-2.1026256366684357E-2</v>
      </c>
      <c r="C34" s="16">
        <f>'ALL VARS'!G34</f>
        <v>1.2965422809946055E-2</v>
      </c>
      <c r="D34" s="16">
        <f>'ALL VARS'!H34</f>
        <v>-6.4023280464834062E-3</v>
      </c>
      <c r="E34" s="16">
        <f>'ALL VARS'!AY34</f>
        <v>1.8605836542548403E-2</v>
      </c>
      <c r="F34" s="16">
        <f>'ALL VARS'!BA34</f>
        <v>5.8375644438582792E-2</v>
      </c>
      <c r="G34" s="16">
        <f>'ALL VARS'!J34</f>
        <v>48.352000000000004</v>
      </c>
    </row>
    <row r="35" spans="1:7" x14ac:dyDescent="0.25">
      <c r="A35" s="24">
        <f>'ALL VARS'!A35</f>
        <v>43934</v>
      </c>
      <c r="B35" s="16">
        <f>'ALL VARS'!F35</f>
        <v>1.2965422809946055E-2</v>
      </c>
      <c r="C35" s="16">
        <f>'ALL VARS'!G35</f>
        <v>-6.4023280464834062E-3</v>
      </c>
      <c r="D35" s="16">
        <f>'ALL VARS'!H35</f>
        <v>1.729890853793448E-2</v>
      </c>
      <c r="E35" s="16">
        <f>'ALL VARS'!AY35</f>
        <v>-1.9870423292422858E-2</v>
      </c>
      <c r="F35" s="16">
        <f>'ALL VARS'!BA35</f>
        <v>-0.11076750149204598</v>
      </c>
      <c r="G35" s="16">
        <f>'ALL VARS'!J35</f>
        <v>50.789000299999998</v>
      </c>
    </row>
    <row r="36" spans="1:7" x14ac:dyDescent="0.25">
      <c r="A36" s="24">
        <f>'ALL VARS'!A36</f>
        <v>43930</v>
      </c>
      <c r="B36" s="16">
        <f>'ALL VARS'!F36</f>
        <v>-6.4023280464834062E-3</v>
      </c>
      <c r="C36" s="16">
        <f>'ALL VARS'!G36</f>
        <v>1.729890853793448E-2</v>
      </c>
      <c r="D36" s="16">
        <f>'ALL VARS'!H36</f>
        <v>2.2888078899761091E-2</v>
      </c>
      <c r="E36" s="16">
        <f>'ALL VARS'!AY36</f>
        <v>3.2570272732499578E-3</v>
      </c>
      <c r="F36" s="16">
        <f>'ALL VARS'!BA36</f>
        <v>2.4452104523479644E-2</v>
      </c>
      <c r="G36" s="16">
        <f>'ALL VARS'!J36</f>
        <v>52.722000499999993</v>
      </c>
    </row>
    <row r="37" spans="1:7" x14ac:dyDescent="0.25">
      <c r="A37" s="24">
        <f>'ALL VARS'!A37</f>
        <v>43929</v>
      </c>
      <c r="B37" s="16">
        <f>'ALL VARS'!F37</f>
        <v>1.729890853793448E-2</v>
      </c>
      <c r="C37" s="16">
        <f>'ALL VARS'!G37</f>
        <v>2.2888078899761091E-2</v>
      </c>
      <c r="D37" s="16">
        <f>'ALL VARS'!H37</f>
        <v>1.5743313464585205E-3</v>
      </c>
      <c r="E37" s="16">
        <f>'ALL VARS'!AY37</f>
        <v>-1.0593265496713111E-2</v>
      </c>
      <c r="F37" s="16">
        <f>'ALL VARS'!BA37</f>
        <v>-0.10135098062634858</v>
      </c>
      <c r="G37" s="16">
        <f>'ALL VARS'!J37</f>
        <v>54.782000800000006</v>
      </c>
    </row>
    <row r="38" spans="1:7" x14ac:dyDescent="0.25">
      <c r="A38" s="24">
        <f>'ALL VARS'!A38</f>
        <v>43928</v>
      </c>
      <c r="B38" s="16">
        <f>'ALL VARS'!F38</f>
        <v>2.2888078899761091E-2</v>
      </c>
      <c r="C38" s="16">
        <f>'ALL VARS'!G38</f>
        <v>1.5743313464585205E-3</v>
      </c>
      <c r="D38" s="16">
        <f>'ALL VARS'!H38</f>
        <v>5.0578545857092143E-2</v>
      </c>
      <c r="E38" s="16">
        <f>'ALL VARS'!AY38</f>
        <v>-7.7159060828370499E-2</v>
      </c>
      <c r="F38" s="16">
        <f>'ALL VARS'!BA38</f>
        <v>-0.85372577160055596</v>
      </c>
      <c r="G38" s="16">
        <f>'ALL VARS'!J38</f>
        <v>56.279000499999995</v>
      </c>
    </row>
    <row r="39" spans="1:7" x14ac:dyDescent="0.25">
      <c r="A39" s="24">
        <f>'ALL VARS'!A39</f>
        <v>43927</v>
      </c>
      <c r="B39" s="16">
        <f>'ALL VARS'!F39</f>
        <v>1.5743313464585205E-3</v>
      </c>
      <c r="C39" s="16">
        <f>'ALL VARS'!G39</f>
        <v>5.0578545857092143E-2</v>
      </c>
      <c r="D39" s="16">
        <f>'ALL VARS'!H39</f>
        <v>-1.2177617796472343E-2</v>
      </c>
      <c r="E39" s="16">
        <f>'ALL VARS'!AY39</f>
        <v>-4.188052424567771E-3</v>
      </c>
      <c r="F39" s="16">
        <f>'ALL VARS'!BA39</f>
        <v>-5.3186135270962741E-2</v>
      </c>
      <c r="G39" s="16">
        <f>'ALL VARS'!J39</f>
        <v>57.914000299999998</v>
      </c>
    </row>
    <row r="40" spans="1:7" x14ac:dyDescent="0.25">
      <c r="A40" s="24">
        <f>'ALL VARS'!A40</f>
        <v>43924</v>
      </c>
      <c r="B40" s="16">
        <f>'ALL VARS'!F40</f>
        <v>5.0578545857092143E-2</v>
      </c>
      <c r="C40" s="16">
        <f>'ALL VARS'!G40</f>
        <v>-1.2177617796472343E-2</v>
      </c>
      <c r="D40" s="16">
        <f>'ALL VARS'!H40</f>
        <v>1.7194200807451526E-2</v>
      </c>
      <c r="E40" s="16">
        <f>'ALL VARS'!AY40</f>
        <v>-8.8871063289103769E-3</v>
      </c>
      <c r="F40" s="16">
        <f>'ALL VARS'!BA40</f>
        <v>-0.12996052373568603</v>
      </c>
      <c r="G40" s="16">
        <f>'ALL VARS'!J40</f>
        <v>59.8380005</v>
      </c>
    </row>
    <row r="41" spans="1:7" x14ac:dyDescent="0.25">
      <c r="A41" s="24">
        <f>'ALL VARS'!A41</f>
        <v>43923</v>
      </c>
      <c r="B41" s="16">
        <f>'ALL VARS'!F41</f>
        <v>-1.2177617796472343E-2</v>
      </c>
      <c r="C41" s="16">
        <f>'ALL VARS'!G41</f>
        <v>1.7194200807451526E-2</v>
      </c>
      <c r="D41" s="16">
        <f>'ALL VARS'!H41</f>
        <v>-3.7551904604495374E-2</v>
      </c>
      <c r="E41" s="16">
        <f>'ALL VARS'!AY41</f>
        <v>-0.12922235853609865</v>
      </c>
      <c r="F41" s="16">
        <f>'ALL VARS'!BA41</f>
        <v>-2.1622120140015797</v>
      </c>
      <c r="G41" s="16">
        <f>'ALL VARS'!J41</f>
        <v>61.947000500000001</v>
      </c>
    </row>
    <row r="42" spans="1:7" x14ac:dyDescent="0.25">
      <c r="A42" s="24">
        <f>'ALL VARS'!A42</f>
        <v>43922</v>
      </c>
      <c r="B42" s="16">
        <f>'ALL VARS'!F42</f>
        <v>1.7194200807451526E-2</v>
      </c>
      <c r="C42" s="16">
        <f>'ALL VARS'!G42</f>
        <v>-3.7551904604495374E-2</v>
      </c>
      <c r="D42" s="16">
        <f>'ALL VARS'!H42</f>
        <v>2.6099613068988042E-2</v>
      </c>
      <c r="E42" s="16">
        <f>'ALL VARS'!AY42</f>
        <v>2.5741525247241121E-2</v>
      </c>
      <c r="F42" s="16">
        <f>'ALL VARS'!BA42</f>
        <v>0.48063265919300419</v>
      </c>
      <c r="G42" s="16">
        <f>'ALL VARS'!J42</f>
        <v>63.886000100000004</v>
      </c>
    </row>
    <row r="43" spans="1:7" x14ac:dyDescent="0.25">
      <c r="A43" s="24">
        <f>'ALL VARS'!A43</f>
        <v>43921</v>
      </c>
      <c r="B43" s="16">
        <f>'ALL VARS'!F43</f>
        <v>-3.7551904604495374E-2</v>
      </c>
      <c r="C43" s="16">
        <f>'ALL VARS'!G43</f>
        <v>2.6099613068988042E-2</v>
      </c>
      <c r="D43" s="16">
        <f>'ALL VARS'!H43</f>
        <v>2.7648809446036929E-2</v>
      </c>
      <c r="E43" s="16">
        <f>'ALL VARS'!AY43</f>
        <v>-7.2403150596203885E-4</v>
      </c>
      <c r="F43" s="16">
        <f>'ALL VARS'!BA43</f>
        <v>-1.5138406505574509E-2</v>
      </c>
      <c r="G43" s="16">
        <f>'ALL VARS'!J43</f>
        <v>66.123000399999995</v>
      </c>
    </row>
    <row r="44" spans="1:7" x14ac:dyDescent="0.25">
      <c r="A44" s="24">
        <f>'ALL VARS'!A44</f>
        <v>43920</v>
      </c>
      <c r="B44" s="16">
        <f>'ALL VARS'!F44</f>
        <v>2.6099613068988042E-2</v>
      </c>
      <c r="C44" s="16">
        <f>'ALL VARS'!G44</f>
        <v>2.7648809446036929E-2</v>
      </c>
      <c r="D44" s="16">
        <f>'ALL VARS'!H44</f>
        <v>-5.1117326046437227E-2</v>
      </c>
      <c r="E44" s="16">
        <f>'ALL VARS'!AY44</f>
        <v>1.2185984954640871E-3</v>
      </c>
      <c r="F44" s="16">
        <f>'ALL VARS'!BA44</f>
        <v>2.8599886892244231E-2</v>
      </c>
      <c r="G44" s="16">
        <f>'ALL VARS'!J44</f>
        <v>68.684000400000002</v>
      </c>
    </row>
    <row r="45" spans="1:7" x14ac:dyDescent="0.25">
      <c r="A45" s="24">
        <f>'ALL VARS'!A45</f>
        <v>43917</v>
      </c>
      <c r="B45" s="16">
        <f>'ALL VARS'!F45</f>
        <v>2.7648809446036929E-2</v>
      </c>
      <c r="C45" s="16">
        <f>'ALL VARS'!G45</f>
        <v>-5.1117326046437227E-2</v>
      </c>
      <c r="D45" s="16">
        <f>'ALL VARS'!H45</f>
        <v>1.7657086927428463E-2</v>
      </c>
      <c r="E45" s="16">
        <f>'ALL VARS'!AY45</f>
        <v>-3.7731349931210585E-2</v>
      </c>
      <c r="F45" s="16">
        <f>'ALL VARS'!BA45</f>
        <v>-0.85644472516754766</v>
      </c>
      <c r="G45" s="16">
        <f>'ALL VARS'!J45</f>
        <v>67.91300050000001</v>
      </c>
    </row>
    <row r="46" spans="1:7" x14ac:dyDescent="0.25">
      <c r="A46" s="24">
        <f>'ALL VARS'!A46</f>
        <v>43916</v>
      </c>
      <c r="B46" s="16">
        <f>'ALL VARS'!F46</f>
        <v>-5.1117326046437227E-2</v>
      </c>
      <c r="C46" s="16">
        <f>'ALL VARS'!G46</f>
        <v>1.7657086927428463E-2</v>
      </c>
      <c r="D46" s="16">
        <f>'ALL VARS'!H46</f>
        <v>4.5191001874909938E-2</v>
      </c>
      <c r="E46" s="16">
        <f>'ALL VARS'!AY46</f>
        <v>-4.0847629201295664E-2</v>
      </c>
      <c r="F46" s="16">
        <f>'ALL VARS'!BA46</f>
        <v>-0.98628608718650057</v>
      </c>
      <c r="G46" s="16">
        <f>'ALL VARS'!J46</f>
        <v>69.360000600000006</v>
      </c>
    </row>
    <row r="47" spans="1:7" x14ac:dyDescent="0.25">
      <c r="A47" s="24">
        <f>'ALL VARS'!A47</f>
        <v>43915</v>
      </c>
      <c r="B47" s="16">
        <f>'ALL VARS'!F47</f>
        <v>1.7657086927428463E-2</v>
      </c>
      <c r="C47" s="16">
        <f>'ALL VARS'!G47</f>
        <v>4.5191001874909938E-2</v>
      </c>
      <c r="D47" s="16">
        <f>'ALL VARS'!H47</f>
        <v>0.11957070036068938</v>
      </c>
      <c r="E47" s="16">
        <f>'ALL VARS'!AY47</f>
        <v>8.240900896687036E-3</v>
      </c>
      <c r="F47" s="16">
        <f>'ALL VARS'!BA47</f>
        <v>0.19069849868464742</v>
      </c>
      <c r="G47" s="16">
        <f>'ALL VARS'!J47</f>
        <v>68.355000700000005</v>
      </c>
    </row>
    <row r="48" spans="1:7" x14ac:dyDescent="0.25">
      <c r="A48" s="24">
        <f>'ALL VARS'!A48</f>
        <v>43914</v>
      </c>
      <c r="B48" s="16">
        <f>'ALL VARS'!F48</f>
        <v>4.5191001874909938E-2</v>
      </c>
      <c r="C48" s="16">
        <f>'ALL VARS'!G48</f>
        <v>0.11957070036068938</v>
      </c>
      <c r="D48" s="16">
        <f>'ALL VARS'!H48</f>
        <v>-5.2591151998453836E-2</v>
      </c>
      <c r="E48" s="16">
        <f>'ALL VARS'!AY48</f>
        <v>-1.5335674488113102E-3</v>
      </c>
      <c r="F48" s="16">
        <f>'ALL VARS'!BA48</f>
        <v>-3.3283768528499458E-2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D720-F044-4C67-91BF-89750DA2AC34}">
  <sheetPr codeName="Feuil25"/>
  <dimension ref="A1:Q48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VARS'!BC1</f>
        <v>Sent_t_k, k=9</v>
      </c>
      <c r="F1" s="16" t="str">
        <f>'ALL VARS'!BE1</f>
        <v>Sent_t_k, k=9 * (VIX_10_t  minus VIX_bar_10)</v>
      </c>
      <c r="G1" s="16" t="str">
        <f>'ALL VARS'!J1</f>
        <v>VIX_10_t</v>
      </c>
    </row>
    <row r="2" spans="1:14" x14ac:dyDescent="0.25">
      <c r="A2" s="24">
        <f>'ALL VARS'!A2</f>
        <v>43980</v>
      </c>
      <c r="B2" s="16">
        <f>'ALL VARS'!F2</f>
        <v>2.3093919546915233E-2</v>
      </c>
      <c r="C2" s="16">
        <f>'ALL VARS'!G2</f>
        <v>-4.5798180601685388E-3</v>
      </c>
      <c r="D2" s="16">
        <f>'ALL VARS'!H2</f>
        <v>-6.0894480094293875E-4</v>
      </c>
      <c r="E2" s="16">
        <f>'ALL VARS'!BC2</f>
        <v>-3.9796520318904297E-3</v>
      </c>
      <c r="F2" s="16">
        <f>'ALL VARS'!BE2</f>
        <v>6.2844710138390256E-2</v>
      </c>
      <c r="G2" s="16">
        <f>'ALL VARS'!J2</f>
        <v>29.423000200000001</v>
      </c>
      <c r="I2" s="18" t="s">
        <v>39</v>
      </c>
    </row>
    <row r="3" spans="1:14" ht="15.75" thickBot="1" x14ac:dyDescent="0.3">
      <c r="A3" s="24">
        <f>'ALL VARS'!A3</f>
        <v>43979</v>
      </c>
      <c r="B3" s="16">
        <f>'ALL VARS'!F3</f>
        <v>-4.5798180601685388E-3</v>
      </c>
      <c r="C3" s="16">
        <f>'ALL VARS'!G3</f>
        <v>-6.0894480094293875E-4</v>
      </c>
      <c r="D3" s="16">
        <f>'ALL VARS'!H3</f>
        <v>8.1792696244475296E-3</v>
      </c>
      <c r="E3" s="16">
        <f>'ALL VARS'!BC3</f>
        <v>1.3920829602683825E-4</v>
      </c>
      <c r="F3" s="16">
        <f>'ALL VARS'!BE3</f>
        <v>-2.1051786975734934E-3</v>
      </c>
      <c r="G3" s="16">
        <f>'ALL VARS'!J3</f>
        <v>30.092000099999996</v>
      </c>
    </row>
    <row r="4" spans="1:14" x14ac:dyDescent="0.25">
      <c r="A4" s="24">
        <f>'ALL VARS'!A4</f>
        <v>43978</v>
      </c>
      <c r="B4" s="16">
        <f>'ALL VARS'!F4</f>
        <v>-6.0894480094293875E-4</v>
      </c>
      <c r="C4" s="16">
        <f>'ALL VARS'!G4</f>
        <v>8.1792696244475296E-3</v>
      </c>
      <c r="D4" s="16">
        <f>'ALL VARS'!H4</f>
        <v>4.8223739412853626E-3</v>
      </c>
      <c r="E4" s="16">
        <f>'ALL VARS'!BC4</f>
        <v>-3.5602186601439139E-3</v>
      </c>
      <c r="F4" s="16">
        <f>'ALL VARS'!BE4</f>
        <v>5.1909799910142301E-2</v>
      </c>
      <c r="G4" s="16">
        <f>'ALL VARS'!J4</f>
        <v>30.634000099999998</v>
      </c>
      <c r="I4" s="26" t="s">
        <v>40</v>
      </c>
      <c r="J4" s="26"/>
    </row>
    <row r="5" spans="1:14" x14ac:dyDescent="0.25">
      <c r="A5" s="24">
        <f>'ALL VARS'!A5</f>
        <v>43977</v>
      </c>
      <c r="B5" s="16">
        <f>'ALL VARS'!F5</f>
        <v>8.1792696244475296E-3</v>
      </c>
      <c r="C5" s="16">
        <f>'ALL VARS'!G5</f>
        <v>4.8223739412853626E-3</v>
      </c>
      <c r="D5" s="16">
        <f>'ALL VARS'!H5</f>
        <v>1.0849210535487055E-2</v>
      </c>
      <c r="E5" s="16">
        <f>'ALL VARS'!BC5</f>
        <v>5.1086517628979589E-3</v>
      </c>
      <c r="F5" s="16">
        <f>'ALL VARS'!BE5</f>
        <v>-7.4711523245202124E-2</v>
      </c>
      <c r="G5" s="16">
        <f>'ALL VARS'!J5</f>
        <v>30.590000099999997</v>
      </c>
      <c r="I5" s="18" t="s">
        <v>41</v>
      </c>
      <c r="J5" s="18">
        <v>0.43875367578529539</v>
      </c>
    </row>
    <row r="6" spans="1:14" x14ac:dyDescent="0.25">
      <c r="A6" s="24">
        <f>'ALL VARS'!A6</f>
        <v>43976</v>
      </c>
      <c r="B6" s="16">
        <f>'ALL VARS'!F6</f>
        <v>4.8223739412853626E-3</v>
      </c>
      <c r="C6" s="16">
        <f>'ALL VARS'!G6</f>
        <v>1.0849210535487055E-2</v>
      </c>
      <c r="D6" s="16">
        <f>'ALL VARS'!H6</f>
        <v>1.9280759189597432E-3</v>
      </c>
      <c r="E6" s="16">
        <f>'ALL VARS'!BC6</f>
        <v>-1.1964375535987065E-2</v>
      </c>
      <c r="F6" s="16">
        <f>'ALL VARS'!BE6</f>
        <v>0.17508079605672974</v>
      </c>
      <c r="G6" s="16">
        <f>'ALL VARS'!J6</f>
        <v>30.581000099999997</v>
      </c>
      <c r="I6" s="18" t="s">
        <v>42</v>
      </c>
      <c r="J6" s="18">
        <v>0.19250478801510809</v>
      </c>
    </row>
    <row r="7" spans="1:14" x14ac:dyDescent="0.25">
      <c r="A7" s="24">
        <f>'ALL VARS'!A7</f>
        <v>43973</v>
      </c>
      <c r="B7" s="16">
        <f>'ALL VARS'!F7</f>
        <v>1.0849210535487055E-2</v>
      </c>
      <c r="C7" s="16">
        <f>'ALL VARS'!G7</f>
        <v>1.9280759189597432E-3</v>
      </c>
      <c r="D7" s="16">
        <f>'ALL VARS'!H7</f>
        <v>-7.5144837132717695E-3</v>
      </c>
      <c r="E7" s="16">
        <f>'ALL VARS'!BC7</f>
        <v>7.4226306874589608E-4</v>
      </c>
      <c r="F7" s="16">
        <f>'ALL VARS'!BE7</f>
        <v>-1.0868593600670804E-2</v>
      </c>
      <c r="G7" s="16">
        <f>'ALL VARS'!J7</f>
        <v>30.572000099999997</v>
      </c>
      <c r="I7" s="18" t="s">
        <v>42</v>
      </c>
      <c r="J7" s="18">
        <v>9.1790958302261222E-2</v>
      </c>
    </row>
    <row r="8" spans="1:14" x14ac:dyDescent="0.25">
      <c r="A8" s="24">
        <f>'ALL VARS'!A8</f>
        <v>43972</v>
      </c>
      <c r="B8" s="16">
        <f>'ALL VARS'!F8</f>
        <v>1.9280759189597432E-3</v>
      </c>
      <c r="C8" s="16">
        <f>'ALL VARS'!G8</f>
        <v>-7.5144837132717695E-3</v>
      </c>
      <c r="D8" s="16">
        <f>'ALL VARS'!H8</f>
        <v>7.5307923146686901E-3</v>
      </c>
      <c r="E8" s="16">
        <f>'ALL VARS'!BC8</f>
        <v>1.5858909099991488E-2</v>
      </c>
      <c r="F8" s="16">
        <f>'ALL VARS'!BE8</f>
        <v>-0.22918516622539872</v>
      </c>
      <c r="G8" s="16">
        <f>'ALL VARS'!J8</f>
        <v>30.763000099999999</v>
      </c>
      <c r="I8" s="18" t="s">
        <v>43</v>
      </c>
      <c r="J8" s="18">
        <v>1.9461902599339592E-2</v>
      </c>
    </row>
    <row r="9" spans="1:14" ht="15.75" thickBot="1" x14ac:dyDescent="0.3">
      <c r="A9" s="24">
        <f>'ALL VARS'!A9</f>
        <v>43971</v>
      </c>
      <c r="B9" s="16">
        <f>'ALL VARS'!F9</f>
        <v>-7.5144837132717695E-3</v>
      </c>
      <c r="C9" s="16">
        <f>'ALL VARS'!G9</f>
        <v>7.5307923146686901E-3</v>
      </c>
      <c r="D9" s="16">
        <f>'ALL VARS'!H9</f>
        <v>1.6845500851389788E-2</v>
      </c>
      <c r="E9" s="16">
        <f>'ALL VARS'!BC9</f>
        <v>8.7598101606754693E-3</v>
      </c>
      <c r="F9" s="16">
        <f>'ALL VARS'!BE9</f>
        <v>-0.1212227118697434</v>
      </c>
      <c r="G9" s="16">
        <f>'ALL VARS'!J9</f>
        <v>31.375999999999998</v>
      </c>
      <c r="I9" s="28" t="s">
        <v>44</v>
      </c>
      <c r="J9" s="28">
        <v>47</v>
      </c>
    </row>
    <row r="10" spans="1:14" x14ac:dyDescent="0.25">
      <c r="A10" s="24">
        <f>'ALL VARS'!A10</f>
        <v>43970</v>
      </c>
      <c r="B10" s="16">
        <f>'ALL VARS'!F10</f>
        <v>7.5307923146686901E-3</v>
      </c>
      <c r="C10" s="16">
        <f>'ALL VARS'!G10</f>
        <v>1.6845500851389788E-2</v>
      </c>
      <c r="D10" s="16">
        <f>'ALL VARS'!H10</f>
        <v>8.9044014875318926E-3</v>
      </c>
      <c r="E10" s="16">
        <f>'ALL VARS'!BC10</f>
        <v>8.3448581924290572E-3</v>
      </c>
      <c r="F10" s="16">
        <f>'ALL VARS'!BE10</f>
        <v>-0.11291017899350569</v>
      </c>
      <c r="G10" s="16">
        <f>'ALL VARS'!J10</f>
        <v>31.683999999999997</v>
      </c>
    </row>
    <row r="11" spans="1:14" ht="15.75" thickBot="1" x14ac:dyDescent="0.3">
      <c r="A11" s="24">
        <f>'ALL VARS'!A11</f>
        <v>43966</v>
      </c>
      <c r="B11" s="16">
        <f>'ALL VARS'!F11</f>
        <v>1.6845500851389788E-2</v>
      </c>
      <c r="C11" s="16">
        <f>'ALL VARS'!G11</f>
        <v>8.9044014875318926E-3</v>
      </c>
      <c r="D11" s="16">
        <f>'ALL VARS'!H11</f>
        <v>4.4817694802564231E-4</v>
      </c>
      <c r="E11" s="16">
        <f>'ALL VARS'!BC11</f>
        <v>-2.8211159628678006E-3</v>
      </c>
      <c r="F11" s="16">
        <f>'ALL VARS'!BE11</f>
        <v>3.4794258593445017E-2</v>
      </c>
      <c r="G11" s="16">
        <f>'ALL VARS'!J11</f>
        <v>32.881000200000003</v>
      </c>
      <c r="I11" s="18" t="s">
        <v>45</v>
      </c>
    </row>
    <row r="12" spans="1:14" x14ac:dyDescent="0.25">
      <c r="A12" s="24">
        <f>'ALL VARS'!A12</f>
        <v>43965</v>
      </c>
      <c r="B12" s="16">
        <f>'ALL VARS'!F12</f>
        <v>8.9044014875318926E-3</v>
      </c>
      <c r="C12" s="16">
        <f>'ALL VARS'!G12</f>
        <v>4.4817694802564231E-4</v>
      </c>
      <c r="D12" s="16">
        <f>'ALL VARS'!H12</f>
        <v>-2.5401176991557837E-2</v>
      </c>
      <c r="E12" s="16">
        <f>'ALL VARS'!BC12</f>
        <v>5.2178061128379328E-3</v>
      </c>
      <c r="F12" s="16">
        <f>'ALL VARS'!BE12</f>
        <v>-6.3550315019455003E-2</v>
      </c>
      <c r="G12" s="16">
        <f>'ALL VARS'!J12</f>
        <v>33.0350003</v>
      </c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A13" s="24">
        <f>'ALL VARS'!A13</f>
        <v>43964</v>
      </c>
      <c r="B13" s="16">
        <f>'ALL VARS'!F13</f>
        <v>4.4817694802564231E-4</v>
      </c>
      <c r="C13" s="16">
        <f>'ALL VARS'!G13</f>
        <v>-2.5401176991557837E-2</v>
      </c>
      <c r="D13" s="16">
        <f>'ALL VARS'!H13</f>
        <v>-1.4698871572495898E-2</v>
      </c>
      <c r="E13" s="16">
        <f>'ALL VARS'!BC13</f>
        <v>2.1353122868791098E-3</v>
      </c>
      <c r="F13" s="16">
        <f>'ALL VARS'!BE13</f>
        <v>-2.6871855867885073E-2</v>
      </c>
      <c r="G13" s="16">
        <f>'ALL VARS'!J13</f>
        <v>32.630000399999993</v>
      </c>
      <c r="I13" s="18" t="s">
        <v>46</v>
      </c>
      <c r="J13" s="18">
        <v>5</v>
      </c>
      <c r="K13" s="18">
        <v>3.7924639376457694E-3</v>
      </c>
      <c r="L13" s="18">
        <v>7.5849278752915391E-4</v>
      </c>
      <c r="M13" s="18">
        <v>2.0025384613143222</v>
      </c>
      <c r="N13" s="18">
        <v>9.8553066133477835E-2</v>
      </c>
    </row>
    <row r="14" spans="1:14" x14ac:dyDescent="0.25">
      <c r="A14" s="24">
        <f>'ALL VARS'!A14</f>
        <v>43963</v>
      </c>
      <c r="B14" s="16">
        <f>'ALL VARS'!F14</f>
        <v>-2.5401176991557837E-2</v>
      </c>
      <c r="C14" s="16">
        <f>'ALL VARS'!G14</f>
        <v>-1.4698871572495898E-2</v>
      </c>
      <c r="D14" s="16">
        <f>'ALL VARS'!H14</f>
        <v>9.1270288220883112E-3</v>
      </c>
      <c r="E14" s="16">
        <f>'ALL VARS'!BC14</f>
        <v>-1.335816749164582E-2</v>
      </c>
      <c r="F14" s="16">
        <f>'ALL VARS'!BE14</f>
        <v>0.1673979923250995</v>
      </c>
      <c r="G14" s="16">
        <f>'ALL VARS'!J14</f>
        <v>32.683000299999996</v>
      </c>
      <c r="I14" s="18" t="s">
        <v>47</v>
      </c>
      <c r="J14" s="18">
        <v>42</v>
      </c>
      <c r="K14" s="18">
        <v>1.5908157417019606E-2</v>
      </c>
      <c r="L14" s="18">
        <v>3.787656527861811E-4</v>
      </c>
    </row>
    <row r="15" spans="1:14" ht="15.75" thickBot="1" x14ac:dyDescent="0.3">
      <c r="A15" s="24">
        <f>'ALL VARS'!A15</f>
        <v>43962</v>
      </c>
      <c r="B15" s="16">
        <f>'ALL VARS'!F15</f>
        <v>-1.4698871572495898E-2</v>
      </c>
      <c r="C15" s="16">
        <f>'ALL VARS'!G15</f>
        <v>9.1270288220883112E-3</v>
      </c>
      <c r="D15" s="16">
        <f>'ALL VARS'!H15</f>
        <v>8.9592894728179693E-3</v>
      </c>
      <c r="E15" s="16">
        <f>'ALL VARS'!BC15</f>
        <v>1.5914589179289761E-3</v>
      </c>
      <c r="F15" s="16">
        <f>'ALL VARS'!BE15</f>
        <v>-1.9033066637854503E-2</v>
      </c>
      <c r="G15" s="16">
        <f>'ALL VARS'!J15</f>
        <v>33.2550004</v>
      </c>
      <c r="I15" s="28" t="s">
        <v>48</v>
      </c>
      <c r="J15" s="28">
        <v>47</v>
      </c>
      <c r="K15" s="28">
        <v>1.9700621354665375E-2</v>
      </c>
      <c r="L15" s="28"/>
      <c r="M15" s="28"/>
      <c r="N15" s="28"/>
    </row>
    <row r="16" spans="1:14" ht="15.75" thickBot="1" x14ac:dyDescent="0.3">
      <c r="A16" s="24">
        <f>'ALL VARS'!A16</f>
        <v>43959</v>
      </c>
      <c r="B16" s="16">
        <f>'ALL VARS'!F16</f>
        <v>9.1270288220883112E-3</v>
      </c>
      <c r="C16" s="16">
        <f>'ALL VARS'!G16</f>
        <v>8.9592894728179693E-3</v>
      </c>
      <c r="D16" s="16">
        <f>'ALL VARS'!H16</f>
        <v>2.0228309928424119E-4</v>
      </c>
      <c r="E16" s="16">
        <f>'ALL VARS'!BC16</f>
        <v>4.2874252555701571E-3</v>
      </c>
      <c r="F16" s="16">
        <f>'ALL VARS'!BE16</f>
        <v>-4.7866996197844479E-2</v>
      </c>
      <c r="G16" s="16">
        <f>'ALL VARS'!J16</f>
        <v>34.050000400000002</v>
      </c>
    </row>
    <row r="17" spans="1:17" x14ac:dyDescent="0.25">
      <c r="A17" s="24">
        <f>'ALL VARS'!A17</f>
        <v>43958</v>
      </c>
      <c r="B17" s="16">
        <f>'ALL VARS'!F17</f>
        <v>8.9592894728179693E-3</v>
      </c>
      <c r="C17" s="16">
        <f>'ALL VARS'!G17</f>
        <v>2.0228309928424119E-4</v>
      </c>
      <c r="D17" s="16">
        <f>'ALL VARS'!H17</f>
        <v>1.2895694256002256E-3</v>
      </c>
      <c r="E17" s="16">
        <f>'ALL VARS'!BC17</f>
        <v>-5.3106706276788151E-2</v>
      </c>
      <c r="F17" s="16">
        <f>'ALL VARS'!BE17</f>
        <v>0.54012221365110358</v>
      </c>
      <c r="G17" s="16">
        <f>'ALL VARS'!J17</f>
        <v>35.044000400000002</v>
      </c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1:17" x14ac:dyDescent="0.25">
      <c r="A18" s="24">
        <f>'ALL VARS'!A18</f>
        <v>43957</v>
      </c>
      <c r="B18" s="16">
        <f>'ALL VARS'!F18</f>
        <v>2.0228309928424119E-4</v>
      </c>
      <c r="C18" s="16">
        <f>'ALL VARS'!G18</f>
        <v>1.2895694256002256E-3</v>
      </c>
      <c r="D18" s="16">
        <f>'ALL VARS'!H18</f>
        <v>4.5167588335029351E-3</v>
      </c>
      <c r="E18" s="16">
        <f>'ALL VARS'!BC18</f>
        <v>-2.7385825814341918E-3</v>
      </c>
      <c r="F18" s="16">
        <f>'ALL VARS'!BE18</f>
        <v>2.5700251551857293E-2</v>
      </c>
      <c r="G18" s="16">
        <f>'ALL VARS'!J18</f>
        <v>35.830000499999997</v>
      </c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4">
        <f>'ALL VARS'!A19</f>
        <v>43956</v>
      </c>
      <c r="B19" s="16">
        <f>'ALL VARS'!F19</f>
        <v>1.2895694256002256E-3</v>
      </c>
      <c r="C19" s="16">
        <f>'ALL VARS'!G19</f>
        <v>4.5167588335029351E-3</v>
      </c>
      <c r="D19" s="16">
        <f>'ALL VARS'!H19</f>
        <v>8.5292501975474666E-3</v>
      </c>
      <c r="E19" s="16">
        <f>'ALL VARS'!BC19</f>
        <v>2.0555600679378824E-2</v>
      </c>
      <c r="F19" s="16">
        <f>'ALL VARS'!BE19</f>
        <v>-0.16864860284062841</v>
      </c>
      <c r="G19" s="16">
        <f>'ALL VARS'!J19</f>
        <v>37.010000400000003</v>
      </c>
      <c r="I19" s="18" t="s">
        <v>36</v>
      </c>
      <c r="J19" s="18">
        <v>-2.8716282834641355E-2</v>
      </c>
      <c r="K19" s="18">
        <v>0.11529410842434555</v>
      </c>
      <c r="L19" s="18">
        <v>-0.24906982002020159</v>
      </c>
      <c r="M19" s="18">
        <v>0.80452080023361461</v>
      </c>
      <c r="N19" s="18">
        <v>-0.26138921348857919</v>
      </c>
      <c r="O19" s="18">
        <v>0.20395664781929645</v>
      </c>
      <c r="P19" s="18">
        <v>-0.26138921348857919</v>
      </c>
      <c r="Q19" s="18">
        <v>0.20395664781929645</v>
      </c>
    </row>
    <row r="20" spans="1:17" x14ac:dyDescent="0.25">
      <c r="A20" s="24">
        <f>'ALL VARS'!A20</f>
        <v>43955</v>
      </c>
      <c r="B20" s="16">
        <f>'ALL VARS'!F20</f>
        <v>4.5167588335029351E-3</v>
      </c>
      <c r="C20" s="16">
        <f>'ALL VARS'!G20</f>
        <v>8.5292501975474666E-3</v>
      </c>
      <c r="D20" s="16">
        <f>'ALL VARS'!H20</f>
        <v>-1.0852015661224153E-2</v>
      </c>
      <c r="E20" s="16">
        <f>'ALL VARS'!BC20</f>
        <v>-3.4537293494067284E-3</v>
      </c>
      <c r="F20" s="16">
        <f>'ALL VARS'!BE20</f>
        <v>2.5621520583746588E-2</v>
      </c>
      <c r="G20" s="16">
        <f>'ALL VARS'!J20</f>
        <v>37.796000499999998</v>
      </c>
      <c r="I20" s="18" t="s">
        <v>37</v>
      </c>
      <c r="J20" s="18">
        <v>-0.16576550882349758</v>
      </c>
      <c r="K20" s="18">
        <v>0.10949453703777041</v>
      </c>
      <c r="L20" s="18">
        <v>-1.5139157925871347</v>
      </c>
      <c r="M20" s="18">
        <v>0.13753693635462599</v>
      </c>
      <c r="N20" s="18">
        <v>-0.38673443057799872</v>
      </c>
      <c r="O20" s="18">
        <v>5.5203412931003559E-2</v>
      </c>
      <c r="P20" s="18">
        <v>-0.38673443057799872</v>
      </c>
      <c r="Q20" s="18">
        <v>5.5203412931003559E-2</v>
      </c>
    </row>
    <row r="21" spans="1:17" x14ac:dyDescent="0.25">
      <c r="A21" s="24">
        <f>'ALL VARS'!A21</f>
        <v>43952</v>
      </c>
      <c r="B21" s="16">
        <f>'ALL VARS'!F21</f>
        <v>8.5292501975474666E-3</v>
      </c>
      <c r="C21" s="16">
        <f>'ALL VARS'!G21</f>
        <v>-1.0852015661224153E-2</v>
      </c>
      <c r="D21" s="16">
        <f>'ALL VARS'!H21</f>
        <v>-2.9379858648651246E-2</v>
      </c>
      <c r="E21" s="16">
        <f>'ALL VARS'!BC21</f>
        <v>-2.0513555669253079E-2</v>
      </c>
      <c r="F21" s="16">
        <f>'ALL VARS'!BE21</f>
        <v>0.15021067988717129</v>
      </c>
      <c r="G21" s="16">
        <f>'ALL VARS'!J21</f>
        <v>37.892000799999991</v>
      </c>
      <c r="I21" s="18" t="s">
        <v>30</v>
      </c>
      <c r="J21" s="18">
        <v>-0.29589588226487507</v>
      </c>
      <c r="K21" s="18">
        <v>0.14557287979288072</v>
      </c>
      <c r="L21" s="18">
        <v>-2.0326305468839529</v>
      </c>
      <c r="M21" s="18">
        <v>4.8443799505644702E-2</v>
      </c>
      <c r="N21" s="18">
        <v>-0.58967384740147677</v>
      </c>
      <c r="O21" s="18">
        <v>-2.1179171282733611E-3</v>
      </c>
      <c r="P21" s="18">
        <v>-0.58967384740147677</v>
      </c>
      <c r="Q21" s="18">
        <v>-2.1179171282733611E-3</v>
      </c>
    </row>
    <row r="22" spans="1:17" x14ac:dyDescent="0.25">
      <c r="A22" s="24">
        <f>'ALL VARS'!A22</f>
        <v>43951</v>
      </c>
      <c r="B22" s="16">
        <f>'ALL VARS'!F22</f>
        <v>-1.0852015661224153E-2</v>
      </c>
      <c r="C22" s="16">
        <f>'ALL VARS'!G22</f>
        <v>-2.9379858648651246E-2</v>
      </c>
      <c r="D22" s="16">
        <f>'ALL VARS'!H22</f>
        <v>2.904386379946032E-2</v>
      </c>
      <c r="E22" s="16">
        <f>'ALL VARS'!BC22</f>
        <v>-4.2614824507283683E-3</v>
      </c>
      <c r="F22" s="16">
        <f>'ALL VARS'!BE22</f>
        <v>2.8664897134938864E-2</v>
      </c>
      <c r="G22" s="16">
        <f>'ALL VARS'!J22</f>
        <v>38.488000700000001</v>
      </c>
      <c r="I22" s="18" t="s">
        <v>96</v>
      </c>
      <c r="J22" s="18">
        <v>7.5742727512138801E-3</v>
      </c>
      <c r="K22" s="18">
        <v>1.1167213477447875E-2</v>
      </c>
      <c r="L22" s="18">
        <v>0.6782598690810453</v>
      </c>
      <c r="M22" s="18">
        <v>0.50132700634540051</v>
      </c>
      <c r="N22" s="18">
        <v>-1.496207643909123E-2</v>
      </c>
      <c r="O22" s="18">
        <v>3.0110621941518988E-2</v>
      </c>
      <c r="P22" s="18">
        <v>-1.496207643909123E-2</v>
      </c>
      <c r="Q22" s="18">
        <v>3.0110621941518988E-2</v>
      </c>
    </row>
    <row r="23" spans="1:17" ht="15.75" thickBot="1" x14ac:dyDescent="0.3">
      <c r="A23" s="24">
        <f>'ALL VARS'!A23</f>
        <v>43950</v>
      </c>
      <c r="B23" s="16">
        <f>'ALL VARS'!F23</f>
        <v>-2.9379858648651246E-2</v>
      </c>
      <c r="C23" s="16">
        <f>'ALL VARS'!G23</f>
        <v>2.904386379946032E-2</v>
      </c>
      <c r="D23" s="16">
        <f>'ALL VARS'!H23</f>
        <v>1.0667882350970269E-2</v>
      </c>
      <c r="E23" s="16">
        <f>'ALL VARS'!BC23</f>
        <v>8.9372199608673595E-5</v>
      </c>
      <c r="F23" s="16">
        <f>'ALL VARS'!BE23</f>
        <v>-5.1527615988740849E-4</v>
      </c>
      <c r="G23" s="16">
        <f>'ALL VARS'!J23</f>
        <v>39.449000699999999</v>
      </c>
      <c r="I23" s="28" t="s">
        <v>4</v>
      </c>
      <c r="J23" s="28">
        <v>1.1348061892742952E-4</v>
      </c>
      <c r="K23" s="28">
        <v>7.1957081492603832E-5</v>
      </c>
      <c r="L23" s="28">
        <v>1.577059777488248</v>
      </c>
      <c r="M23" s="28">
        <v>0.12228502262030551</v>
      </c>
      <c r="N23" s="28">
        <v>-3.1734650621010116E-5</v>
      </c>
      <c r="O23" s="28">
        <v>2.5869588847586913E-4</v>
      </c>
      <c r="P23" s="28">
        <v>-3.1734650621010116E-5</v>
      </c>
      <c r="Q23" s="28">
        <v>2.5869588847586913E-4</v>
      </c>
    </row>
    <row r="24" spans="1:17" x14ac:dyDescent="0.25">
      <c r="A24" s="24">
        <f>'ALL VARS'!A24</f>
        <v>43949</v>
      </c>
      <c r="B24" s="16">
        <f>'ALL VARS'!F24</f>
        <v>2.904386379946032E-2</v>
      </c>
      <c r="C24" s="16">
        <f>'ALL VARS'!G24</f>
        <v>1.0667882350970269E-2</v>
      </c>
      <c r="D24" s="16">
        <f>'ALL VARS'!H24</f>
        <v>1.5373998778727917E-2</v>
      </c>
      <c r="E24" s="16">
        <f>'ALL VARS'!BC24</f>
        <v>-1.545793392282597E-2</v>
      </c>
      <c r="F24" s="16">
        <f>'ALL VARS'!BE24</f>
        <v>8.2645975327780286E-2</v>
      </c>
      <c r="G24" s="16">
        <f>'ALL VARS'!J24</f>
        <v>39.868000500000008</v>
      </c>
    </row>
    <row r="25" spans="1:17" x14ac:dyDescent="0.25">
      <c r="A25" s="24">
        <f>'ALL VARS'!A25</f>
        <v>43948</v>
      </c>
      <c r="B25" s="16">
        <f>'ALL VARS'!F25</f>
        <v>1.0667882350970269E-2</v>
      </c>
      <c r="C25" s="16">
        <f>'ALL VARS'!G25</f>
        <v>1.5373998778727917E-2</v>
      </c>
      <c r="D25" s="16">
        <f>'ALL VARS'!H25</f>
        <v>1.1879839917270655E-2</v>
      </c>
      <c r="E25" s="16">
        <f>'ALL VARS'!BC25</f>
        <v>-6.3264195949767855E-3</v>
      </c>
      <c r="F25" s="16">
        <f>'ALL VARS'!BE25</f>
        <v>2.8839039484985778E-2</v>
      </c>
      <c r="G25" s="16">
        <f>'ALL VARS'!J25</f>
        <v>40.656000200000001</v>
      </c>
    </row>
    <row r="26" spans="1:17" x14ac:dyDescent="0.25">
      <c r="A26" s="24">
        <f>'ALL VARS'!A26</f>
        <v>43945</v>
      </c>
      <c r="B26" s="16">
        <f>'ALL VARS'!F26</f>
        <v>1.5373998778727917E-2</v>
      </c>
      <c r="C26" s="16">
        <f>'ALL VARS'!G26</f>
        <v>1.1879839917270655E-2</v>
      </c>
      <c r="D26" s="16">
        <f>'ALL VARS'!H26</f>
        <v>-2.5965891780394849E-3</v>
      </c>
      <c r="E26" s="16">
        <f>'ALL VARS'!BC26</f>
        <v>-4.5491056290673619E-3</v>
      </c>
      <c r="F26" s="16">
        <f>'ALL VARS'!BE26</f>
        <v>1.8125952384816513E-2</v>
      </c>
      <c r="G26" s="16">
        <f>'ALL VARS'!J26</f>
        <v>41.230000000000004</v>
      </c>
    </row>
    <row r="27" spans="1:17" x14ac:dyDescent="0.25">
      <c r="A27" s="24">
        <f>'ALL VARS'!A27</f>
        <v>43944</v>
      </c>
      <c r="B27" s="16">
        <f>'ALL VARS'!F27</f>
        <v>1.1879839917270655E-2</v>
      </c>
      <c r="C27" s="16">
        <f>'ALL VARS'!G27</f>
        <v>-2.5965891780394849E-3</v>
      </c>
      <c r="D27" s="16">
        <f>'ALL VARS'!H27</f>
        <v>2.4971169199914333E-2</v>
      </c>
      <c r="E27" s="16">
        <f>'ALL VARS'!BC27</f>
        <v>-8.140650392919108E-3</v>
      </c>
      <c r="F27" s="16">
        <f>'ALL VARS'!BE27</f>
        <v>3.08327891854842E-2</v>
      </c>
      <c r="G27" s="16">
        <f>'ALL VARS'!J27</f>
        <v>41.42699970000001</v>
      </c>
    </row>
    <row r="28" spans="1:17" x14ac:dyDescent="0.25">
      <c r="A28" s="24">
        <f>'ALL VARS'!A28</f>
        <v>43943</v>
      </c>
      <c r="B28" s="16">
        <f>'ALL VARS'!F28</f>
        <v>-2.5965891780394849E-3</v>
      </c>
      <c r="C28" s="16">
        <f>'ALL VARS'!G28</f>
        <v>2.4971169199914333E-2</v>
      </c>
      <c r="D28" s="16">
        <f>'ALL VARS'!H28</f>
        <v>-3.1150323670921017E-2</v>
      </c>
      <c r="E28" s="16">
        <f>'ALL VARS'!BC28</f>
        <v>4.9697058157848186E-3</v>
      </c>
      <c r="F28" s="16">
        <f>'ALL VARS'!BE28</f>
        <v>-1.6477105423278193E-2</v>
      </c>
      <c r="G28" s="16">
        <f>'ALL VARS'!J28</f>
        <v>41.898999799999999</v>
      </c>
    </row>
    <row r="29" spans="1:17" x14ac:dyDescent="0.25">
      <c r="A29" s="24">
        <f>'ALL VARS'!A29</f>
        <v>43942</v>
      </c>
      <c r="B29" s="16">
        <f>'ALL VARS'!F29</f>
        <v>2.4971169199914333E-2</v>
      </c>
      <c r="C29" s="16">
        <f>'ALL VARS'!G29</f>
        <v>-3.1150323670921017E-2</v>
      </c>
      <c r="D29" s="16">
        <f>'ALL VARS'!H29</f>
        <v>1.9776887879946956E-3</v>
      </c>
      <c r="E29" s="16">
        <f>'ALL VARS'!BC29</f>
        <v>1.3251235387729895E-2</v>
      </c>
      <c r="F29" s="16">
        <f>'ALL VARS'!BE29</f>
        <v>-4.4159861376710262E-2</v>
      </c>
      <c r="G29" s="16">
        <f>'ALL VARS'!J29</f>
        <v>41.881999999999998</v>
      </c>
    </row>
    <row r="30" spans="1:17" x14ac:dyDescent="0.25">
      <c r="A30" s="24">
        <f>'ALL VARS'!A30</f>
        <v>43941</v>
      </c>
      <c r="B30" s="16">
        <f>'ALL VARS'!F30</f>
        <v>-3.1150323670921017E-2</v>
      </c>
      <c r="C30" s="16">
        <f>'ALL VARS'!G30</f>
        <v>1.9776887879946956E-3</v>
      </c>
      <c r="D30" s="16">
        <f>'ALL VARS'!H30</f>
        <v>3.3138402111040632E-2</v>
      </c>
      <c r="E30" s="16">
        <f>'ALL VARS'!BC30</f>
        <v>6.160744642198155E-2</v>
      </c>
      <c r="F30" s="16">
        <f>'ALL VARS'!BE30</f>
        <v>-0.18700997742784095</v>
      </c>
      <c r="G30" s="16">
        <f>'ALL VARS'!J30</f>
        <v>42.178999699999999</v>
      </c>
    </row>
    <row r="31" spans="1:17" x14ac:dyDescent="0.25">
      <c r="A31" s="24">
        <f>'ALL VARS'!A31</f>
        <v>43938</v>
      </c>
      <c r="B31" s="16">
        <f>'ALL VARS'!F31</f>
        <v>1.9776887879946956E-3</v>
      </c>
      <c r="C31" s="16">
        <f>'ALL VARS'!G31</f>
        <v>3.3138402111040632E-2</v>
      </c>
      <c r="D31" s="16">
        <f>'ALL VARS'!H31</f>
        <v>-4.2482631253185207E-3</v>
      </c>
      <c r="E31" s="16">
        <f>'ALL VARS'!BC31</f>
        <v>-2.5340185514325002E-3</v>
      </c>
      <c r="F31" s="16">
        <f>'ALL VARS'!BE31</f>
        <v>4.4586297499868239E-3</v>
      </c>
      <c r="G31" s="16">
        <f>'ALL VARS'!J31</f>
        <v>43.4549995</v>
      </c>
    </row>
    <row r="32" spans="1:17" x14ac:dyDescent="0.25">
      <c r="A32" s="24">
        <f>'ALL VARS'!A32</f>
        <v>43937</v>
      </c>
      <c r="B32" s="16">
        <f>'ALL VARS'!F32</f>
        <v>3.3138402111040632E-2</v>
      </c>
      <c r="C32" s="16">
        <f>'ALL VARS'!G32</f>
        <v>-4.2482631253185207E-3</v>
      </c>
      <c r="D32" s="16">
        <f>'ALL VARS'!H32</f>
        <v>-2.1026256366684357E-2</v>
      </c>
      <c r="E32" s="16">
        <f>'ALL VARS'!BC32</f>
        <v>-4.6637090889452179E-4</v>
      </c>
      <c r="F32" s="16">
        <f>'ALL VARS'!BE32</f>
        <v>3.0085360692877741E-5</v>
      </c>
      <c r="G32" s="16">
        <f>'ALL VARS'!J32</f>
        <v>45.149999499999993</v>
      </c>
    </row>
    <row r="33" spans="1:7" x14ac:dyDescent="0.25">
      <c r="A33" s="24">
        <f>'ALL VARS'!A33</f>
        <v>43936</v>
      </c>
      <c r="B33" s="16">
        <f>'ALL VARS'!F33</f>
        <v>-4.2482631253185207E-3</v>
      </c>
      <c r="C33" s="16">
        <f>'ALL VARS'!G33</f>
        <v>-2.1026256366684357E-2</v>
      </c>
      <c r="D33" s="16">
        <f>'ALL VARS'!H33</f>
        <v>1.2965422809946055E-2</v>
      </c>
      <c r="E33" s="16">
        <f>'ALL VARS'!BC33</f>
        <v>-4.892276269837903E-3</v>
      </c>
      <c r="F33" s="16">
        <f>'ALL VARS'!BE33</f>
        <v>-5.8975929872292897E-3</v>
      </c>
      <c r="G33" s="16">
        <f>'ALL VARS'!J33</f>
        <v>46.419999600000004</v>
      </c>
    </row>
    <row r="34" spans="1:7" x14ac:dyDescent="0.25">
      <c r="A34" s="24">
        <f>'ALL VARS'!A34</f>
        <v>43935</v>
      </c>
      <c r="B34" s="16">
        <f>'ALL VARS'!F34</f>
        <v>-2.1026256366684357E-2</v>
      </c>
      <c r="C34" s="16">
        <f>'ALL VARS'!G34</f>
        <v>1.2965422809946055E-2</v>
      </c>
      <c r="D34" s="16">
        <f>'ALL VARS'!H34</f>
        <v>-6.4023280464834062E-3</v>
      </c>
      <c r="E34" s="16">
        <f>'ALL VARS'!BC34</f>
        <v>1.6972422084757979E-3</v>
      </c>
      <c r="F34" s="16">
        <f>'ALL VARS'!BE34</f>
        <v>5.3250821300920518E-3</v>
      </c>
      <c r="G34" s="16">
        <f>'ALL VARS'!J34</f>
        <v>48.352000000000004</v>
      </c>
    </row>
    <row r="35" spans="1:7" x14ac:dyDescent="0.25">
      <c r="A35" s="24">
        <f>'ALL VARS'!A35</f>
        <v>43934</v>
      </c>
      <c r="B35" s="16">
        <f>'ALL VARS'!F35</f>
        <v>1.2965422809946055E-2</v>
      </c>
      <c r="C35" s="16">
        <f>'ALL VARS'!G35</f>
        <v>-6.4023280464834062E-3</v>
      </c>
      <c r="D35" s="16">
        <f>'ALL VARS'!H35</f>
        <v>1.729890853793448E-2</v>
      </c>
      <c r="E35" s="16">
        <f>'ALL VARS'!BC35</f>
        <v>-6.1823648810083627E-3</v>
      </c>
      <c r="F35" s="16">
        <f>'ALL VARS'!BE35</f>
        <v>-3.4463539155836782E-2</v>
      </c>
      <c r="G35" s="16">
        <f>'ALL VARS'!J35</f>
        <v>50.789000299999998</v>
      </c>
    </row>
    <row r="36" spans="1:7" x14ac:dyDescent="0.25">
      <c r="A36" s="24">
        <f>'ALL VARS'!A36</f>
        <v>43930</v>
      </c>
      <c r="B36" s="16">
        <f>'ALL VARS'!F36</f>
        <v>-6.4023280464834062E-3</v>
      </c>
      <c r="C36" s="16">
        <f>'ALL VARS'!G36</f>
        <v>1.729890853793448E-2</v>
      </c>
      <c r="D36" s="16">
        <f>'ALL VARS'!H36</f>
        <v>2.2888078899761091E-2</v>
      </c>
      <c r="E36" s="16">
        <f>'ALL VARS'!BC36</f>
        <v>1.3995297573664355E-3</v>
      </c>
      <c r="F36" s="16">
        <f>'ALL VARS'!BE36</f>
        <v>1.0506957737783084E-2</v>
      </c>
      <c r="G36" s="16">
        <f>'ALL VARS'!J36</f>
        <v>52.722000499999993</v>
      </c>
    </row>
    <row r="37" spans="1:7" x14ac:dyDescent="0.25">
      <c r="A37" s="24">
        <f>'ALL VARS'!A37</f>
        <v>43929</v>
      </c>
      <c r="B37" s="16">
        <f>'ALL VARS'!F37</f>
        <v>1.729890853793448E-2</v>
      </c>
      <c r="C37" s="16">
        <f>'ALL VARS'!G37</f>
        <v>2.2888078899761091E-2</v>
      </c>
      <c r="D37" s="16">
        <f>'ALL VARS'!H37</f>
        <v>1.5743313464585205E-3</v>
      </c>
      <c r="E37" s="16">
        <f>'ALL VARS'!BC37</f>
        <v>-1.2298260361468369E-3</v>
      </c>
      <c r="F37" s="16">
        <f>'ALL VARS'!BE37</f>
        <v>-1.1766350499000692E-2</v>
      </c>
      <c r="G37" s="16">
        <f>'ALL VARS'!J37</f>
        <v>54.782000800000006</v>
      </c>
    </row>
    <row r="38" spans="1:7" x14ac:dyDescent="0.25">
      <c r="A38" s="24">
        <f>'ALL VARS'!A38</f>
        <v>43928</v>
      </c>
      <c r="B38" s="16">
        <f>'ALL VARS'!F38</f>
        <v>2.2888078899761091E-2</v>
      </c>
      <c r="C38" s="16">
        <f>'ALL VARS'!G38</f>
        <v>1.5743313464585205E-3</v>
      </c>
      <c r="D38" s="16">
        <f>'ALL VARS'!H38</f>
        <v>5.0578545857092143E-2</v>
      </c>
      <c r="E38" s="16">
        <f>'ALL VARS'!BC38</f>
        <v>-7.6309448321582957E-2</v>
      </c>
      <c r="F38" s="16">
        <f>'ALL VARS'!BE38</f>
        <v>-0.84432524125283592</v>
      </c>
      <c r="G38" s="16">
        <f>'ALL VARS'!J38</f>
        <v>56.279000499999995</v>
      </c>
    </row>
    <row r="39" spans="1:7" x14ac:dyDescent="0.25">
      <c r="A39" s="24">
        <f>'ALL VARS'!A39</f>
        <v>43927</v>
      </c>
      <c r="B39" s="16">
        <f>'ALL VARS'!F39</f>
        <v>1.5743313464585205E-3</v>
      </c>
      <c r="C39" s="16">
        <f>'ALL VARS'!G39</f>
        <v>5.0578545857092143E-2</v>
      </c>
      <c r="D39" s="16">
        <f>'ALL VARS'!H39</f>
        <v>-1.2177617796472343E-2</v>
      </c>
      <c r="E39" s="16">
        <f>'ALL VARS'!BC39</f>
        <v>-6.0566925067360123E-3</v>
      </c>
      <c r="F39" s="16">
        <f>'ALL VARS'!BE39</f>
        <v>-7.6916913711063128E-2</v>
      </c>
      <c r="G39" s="16">
        <f>'ALL VARS'!J39</f>
        <v>57.914000299999998</v>
      </c>
    </row>
    <row r="40" spans="1:7" x14ac:dyDescent="0.25">
      <c r="A40" s="24">
        <f>'ALL VARS'!A40</f>
        <v>43924</v>
      </c>
      <c r="B40" s="16">
        <f>'ALL VARS'!F40</f>
        <v>5.0578545857092143E-2</v>
      </c>
      <c r="C40" s="16">
        <f>'ALL VARS'!G40</f>
        <v>-1.2177617796472343E-2</v>
      </c>
      <c r="D40" s="16">
        <f>'ALL VARS'!H40</f>
        <v>1.7194200807451526E-2</v>
      </c>
      <c r="E40" s="16">
        <f>'ALL VARS'!BC40</f>
        <v>-0.10159212809198306</v>
      </c>
      <c r="F40" s="16">
        <f>'ALL VARS'!BE40</f>
        <v>-1.4856316201941739</v>
      </c>
      <c r="G40" s="16">
        <f>'ALL VARS'!J40</f>
        <v>59.8380005</v>
      </c>
    </row>
    <row r="41" spans="1:7" x14ac:dyDescent="0.25">
      <c r="A41" s="24">
        <f>'ALL VARS'!A41</f>
        <v>43923</v>
      </c>
      <c r="B41" s="16">
        <f>'ALL VARS'!F41</f>
        <v>-1.2177617796472343E-2</v>
      </c>
      <c r="C41" s="16">
        <f>'ALL VARS'!G41</f>
        <v>1.7194200807451526E-2</v>
      </c>
      <c r="D41" s="16">
        <f>'ALL VARS'!H41</f>
        <v>-3.7551904604495374E-2</v>
      </c>
      <c r="E41" s="16">
        <f>'ALL VARS'!BC41</f>
        <v>-5.0730612500434714E-3</v>
      </c>
      <c r="F41" s="16">
        <f>'ALL VARS'!BE41</f>
        <v>-8.4884954174131055E-2</v>
      </c>
      <c r="G41" s="16">
        <f>'ALL VARS'!J41</f>
        <v>61.947000500000001</v>
      </c>
    </row>
    <row r="42" spans="1:7" x14ac:dyDescent="0.25">
      <c r="A42" s="24">
        <f>'ALL VARS'!A42</f>
        <v>43922</v>
      </c>
      <c r="B42" s="16">
        <f>'ALL VARS'!F42</f>
        <v>1.7194200807451526E-2</v>
      </c>
      <c r="C42" s="16">
        <f>'ALL VARS'!G42</f>
        <v>-3.7551904604495374E-2</v>
      </c>
      <c r="D42" s="16">
        <f>'ALL VARS'!H42</f>
        <v>2.6099613068988042E-2</v>
      </c>
      <c r="E42" s="16">
        <f>'ALL VARS'!BC42</f>
        <v>1.3260906871456596E-2</v>
      </c>
      <c r="F42" s="16">
        <f>'ALL VARS'!BE42</f>
        <v>0.24760090444221311</v>
      </c>
      <c r="G42" s="16">
        <f>'ALL VARS'!J42</f>
        <v>63.886000100000004</v>
      </c>
    </row>
    <row r="43" spans="1:7" x14ac:dyDescent="0.25">
      <c r="A43" s="24">
        <f>'ALL VARS'!A43</f>
        <v>43921</v>
      </c>
      <c r="B43" s="16">
        <f>'ALL VARS'!F43</f>
        <v>-3.7551904604495374E-2</v>
      </c>
      <c r="C43" s="16">
        <f>'ALL VARS'!G43</f>
        <v>2.6099613068988042E-2</v>
      </c>
      <c r="D43" s="16">
        <f>'ALL VARS'!H43</f>
        <v>2.7648809446036929E-2</v>
      </c>
      <c r="E43" s="16">
        <f>'ALL VARS'!BC43</f>
        <v>-6.0880198536122808E-3</v>
      </c>
      <c r="F43" s="16">
        <f>'ALL VARS'!BE43</f>
        <v>-0.12729131066683588</v>
      </c>
      <c r="G43" s="16">
        <f>'ALL VARS'!J43</f>
        <v>66.123000399999995</v>
      </c>
    </row>
    <row r="44" spans="1:7" x14ac:dyDescent="0.25">
      <c r="A44" s="24">
        <f>'ALL VARS'!A44</f>
        <v>43920</v>
      </c>
      <c r="B44" s="16">
        <f>'ALL VARS'!F44</f>
        <v>2.6099613068988042E-2</v>
      </c>
      <c r="C44" s="16">
        <f>'ALL VARS'!G44</f>
        <v>2.7648809446036929E-2</v>
      </c>
      <c r="D44" s="16">
        <f>'ALL VARS'!H44</f>
        <v>-5.1117326046437227E-2</v>
      </c>
      <c r="E44" s="16">
        <f>'ALL VARS'!BC44</f>
        <v>1.218634387890933E-3</v>
      </c>
      <c r="F44" s="16">
        <f>'ALL VARS'!BE44</f>
        <v>2.8600729269246915E-2</v>
      </c>
      <c r="G44" s="16">
        <f>'ALL VARS'!J44</f>
        <v>68.684000400000002</v>
      </c>
    </row>
    <row r="45" spans="1:7" x14ac:dyDescent="0.25">
      <c r="A45" s="24">
        <f>'ALL VARS'!A45</f>
        <v>43917</v>
      </c>
      <c r="B45" s="16">
        <f>'ALL VARS'!F45</f>
        <v>2.7648809446036929E-2</v>
      </c>
      <c r="C45" s="16">
        <f>'ALL VARS'!G45</f>
        <v>-5.1117326046437227E-2</v>
      </c>
      <c r="D45" s="16">
        <f>'ALL VARS'!H45</f>
        <v>1.7657086927428463E-2</v>
      </c>
      <c r="E45" s="16">
        <f>'ALL VARS'!BC45</f>
        <v>-1.5103702282393836E-2</v>
      </c>
      <c r="F45" s="16">
        <f>'ALL VARS'!BE45</f>
        <v>-0.34283125766346589</v>
      </c>
      <c r="G45" s="16">
        <f>'ALL VARS'!J45</f>
        <v>67.91300050000001</v>
      </c>
    </row>
    <row r="46" spans="1:7" x14ac:dyDescent="0.25">
      <c r="A46" s="24">
        <f>'ALL VARS'!A46</f>
        <v>43916</v>
      </c>
      <c r="B46" s="16">
        <f>'ALL VARS'!F46</f>
        <v>-5.1117326046437227E-2</v>
      </c>
      <c r="C46" s="16">
        <f>'ALL VARS'!G46</f>
        <v>1.7657086927428463E-2</v>
      </c>
      <c r="D46" s="16">
        <f>'ALL VARS'!H46</f>
        <v>4.5191001874909938E-2</v>
      </c>
      <c r="E46" s="16">
        <f>'ALL VARS'!BC46</f>
        <v>-4.4819921989731761E-2</v>
      </c>
      <c r="F46" s="16">
        <f>'ALL VARS'!BE46</f>
        <v>-1.0821990492866735</v>
      </c>
      <c r="G46" s="16">
        <f>'ALL VARS'!J46</f>
        <v>69.360000600000006</v>
      </c>
    </row>
    <row r="47" spans="1:7" x14ac:dyDescent="0.25">
      <c r="A47" s="24">
        <f>'ALL VARS'!A47</f>
        <v>43915</v>
      </c>
      <c r="B47" s="16">
        <f>'ALL VARS'!F47</f>
        <v>1.7657086927428463E-2</v>
      </c>
      <c r="C47" s="16">
        <f>'ALL VARS'!G47</f>
        <v>4.5191001874909938E-2</v>
      </c>
      <c r="D47" s="16">
        <f>'ALL VARS'!H47</f>
        <v>0.11957070036068938</v>
      </c>
      <c r="E47" s="16">
        <f>'ALL VARS'!BC47</f>
        <v>7.074244223783892E-3</v>
      </c>
      <c r="F47" s="16">
        <f>'ALL VARS'!BE47</f>
        <v>0.1637014896449567</v>
      </c>
      <c r="G47" s="16">
        <f>'ALL VARS'!J47</f>
        <v>68.355000700000005</v>
      </c>
    </row>
    <row r="48" spans="1:7" x14ac:dyDescent="0.25">
      <c r="A48" s="24">
        <f>'ALL VARS'!A48</f>
        <v>43914</v>
      </c>
      <c r="B48" s="16">
        <f>'ALL VARS'!F48</f>
        <v>4.5191001874909938E-2</v>
      </c>
      <c r="C48" s="16">
        <f>'ALL VARS'!G48</f>
        <v>0.11957070036068938</v>
      </c>
      <c r="D48" s="16">
        <f>'ALL VARS'!H48</f>
        <v>-5.2591151998453836E-2</v>
      </c>
      <c r="E48" s="16">
        <f>'ALL VARS'!BC48</f>
        <v>-1.1790587580581871E-2</v>
      </c>
      <c r="F48" s="16">
        <f>'ALL VARS'!BE48</f>
        <v>-0.25589692070685871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EF77-905D-4EE1-ABFB-4889D88A8BF2}">
  <sheetPr codeName="Feuil27"/>
  <dimension ref="A1:J16"/>
  <sheetViews>
    <sheetView workbookViewId="0">
      <selection sqref="A1:E1"/>
    </sheetView>
  </sheetViews>
  <sheetFormatPr baseColWidth="10" defaultRowHeight="15" x14ac:dyDescent="0.25"/>
  <cols>
    <col min="1" max="2" width="15.7109375" style="1" customWidth="1"/>
    <col min="3" max="3" width="15.7109375" style="1" hidden="1" customWidth="1"/>
    <col min="4" max="4" width="15.7109375" style="1" customWidth="1"/>
    <col min="5" max="5" width="15.7109375" style="2" hidden="1" customWidth="1"/>
    <col min="6" max="6" width="0" style="1" hidden="1" customWidth="1"/>
    <col min="7" max="10" width="15.140625" style="2" hidden="1" customWidth="1"/>
    <col min="11" max="26" width="0" style="1" hidden="1" customWidth="1"/>
    <col min="27" max="16384" width="11.42578125" style="1"/>
  </cols>
  <sheetData>
    <row r="1" spans="1:10" x14ac:dyDescent="0.25">
      <c r="A1" s="34" t="s">
        <v>76</v>
      </c>
      <c r="B1" s="34"/>
      <c r="C1" s="34"/>
      <c r="D1" s="34"/>
      <c r="E1" s="34"/>
    </row>
    <row r="2" spans="1:10" x14ac:dyDescent="0.25">
      <c r="A2" s="3"/>
      <c r="B2" s="3"/>
      <c r="C2" s="3"/>
      <c r="D2" s="3"/>
      <c r="E2" s="4"/>
    </row>
    <row r="3" spans="1:10" x14ac:dyDescent="0.25">
      <c r="A3" s="35" t="s">
        <v>103</v>
      </c>
      <c r="B3" s="35"/>
      <c r="C3" s="35"/>
      <c r="D3" s="35"/>
      <c r="E3" s="35"/>
      <c r="G3" s="8"/>
    </row>
    <row r="4" spans="1:10" x14ac:dyDescent="0.25">
      <c r="A4" s="3"/>
      <c r="B4" s="4" t="s">
        <v>62</v>
      </c>
      <c r="C4" s="4" t="s">
        <v>63</v>
      </c>
      <c r="D4" s="4" t="s">
        <v>64</v>
      </c>
      <c r="E4" s="4" t="s">
        <v>97</v>
      </c>
      <c r="G4" s="2" t="s">
        <v>98</v>
      </c>
      <c r="H4" s="2" t="s">
        <v>100</v>
      </c>
      <c r="I4" s="2" t="s">
        <v>101</v>
      </c>
      <c r="J4" s="2" t="s">
        <v>99</v>
      </c>
    </row>
    <row r="5" spans="1:10" x14ac:dyDescent="0.25">
      <c r="A5" s="1" t="s">
        <v>65</v>
      </c>
      <c r="B5" s="2" t="str">
        <f>IF('Eq4 avec Sent_t__+__1'!M21&lt;0.1,'Eq4 avec Sent_t__+__1'!J21,"-")</f>
        <v>-</v>
      </c>
      <c r="C5" s="2" t="str">
        <f>IF('Eq4 avec Sent_t__+__1'!M22&lt;0.1,'Eq4 avec Sent_t__+__1'!J22,"-")</f>
        <v>-</v>
      </c>
      <c r="D5" s="2" t="str">
        <f>IF('Eq7 avec Sent_t'!M21&lt;0.1,'Eq7 avec Sent_t'!J21,"-")</f>
        <v>-</v>
      </c>
      <c r="E5" s="2" t="str">
        <f>IF('Eq7 avec Sent_t'!M22&lt;0.1,'Eq7 avec Sent_t'!J22,"-")</f>
        <v>-</v>
      </c>
      <c r="G5" s="2" t="str">
        <f>IF(OR(B5="-",D5="-"),"Yes","No")</f>
        <v>Yes</v>
      </c>
      <c r="H5" s="2" t="str">
        <f>IF(G5="Yes","No",IF(AND(B5&gt;0,D5&lt;0),"Yes","No"))</f>
        <v>No</v>
      </c>
      <c r="I5" s="2" t="str">
        <f>IF(G5="Yes","No",IF(AND(B5&lt;0,D5&gt;0),"Yes","No"))</f>
        <v>No</v>
      </c>
      <c r="J5" s="2" t="str">
        <f>IF(OR(H5="Yes",I5="Yes"),"Yes","No")</f>
        <v>No</v>
      </c>
    </row>
    <row r="6" spans="1:10" x14ac:dyDescent="0.25">
      <c r="A6" s="1" t="s">
        <v>66</v>
      </c>
      <c r="B6" s="2" t="str">
        <f>IF('Eq4 avec Sent__t_+_1_k, k=0'!M21&lt;0.1,'Eq4 avec Sent__t_+_1_k, k=0'!J21,"-")</f>
        <v>-</v>
      </c>
      <c r="C6" s="2" t="str">
        <f>IF('Eq4 avec Sent__t_+_1_k, k=0'!M22&lt;0.1,'Eq4 avec Sent__t_+_1_k, k=0'!J22,"-")</f>
        <v>-</v>
      </c>
      <c r="D6" s="2">
        <f>IF('Eq7 avec Sent__t_k, k=0'!M21&lt;0.1,'Eq7 avec Sent__t_k, k=0'!J21,"-")</f>
        <v>-0.49027304558123447</v>
      </c>
      <c r="E6" s="2" t="str">
        <f>IF('Eq7 avec Sent__t_k, k=0'!M22&lt;0.1,'Eq7 avec Sent__t_k, k=0'!J22,"-")</f>
        <v>-</v>
      </c>
      <c r="G6" s="2" t="str">
        <f t="shared" ref="G6:G15" si="0">IF(OR(B6="-",D6="-"),"Yes","No")</f>
        <v>Yes</v>
      </c>
      <c r="H6" s="2" t="str">
        <f t="shared" ref="H6:H15" si="1">IF(G6="Yes","No",IF(AND(B6&gt;0,D6&lt;0),"Yes","No"))</f>
        <v>No</v>
      </c>
      <c r="I6" s="2" t="str">
        <f t="shared" ref="I6:I15" si="2">IF(G6="Yes","No",IF(AND(B6&lt;0,D6&gt;0),"Yes","No"))</f>
        <v>No</v>
      </c>
      <c r="J6" s="2" t="str">
        <f t="shared" ref="J6:J15" si="3">IF(OR(H6="Yes",I6="Yes"),"Yes","No")</f>
        <v>No</v>
      </c>
    </row>
    <row r="7" spans="1:10" x14ac:dyDescent="0.25">
      <c r="A7" s="1" t="s">
        <v>67</v>
      </c>
      <c r="B7" s="2" t="str">
        <f>IF('Eq4 avec Sent__t_+_1_k, k=1'!M21&lt;0.1,'Eq4 avec Sent__t_+_1_k, k=1'!J21,"-")</f>
        <v>-</v>
      </c>
      <c r="C7" s="2" t="str">
        <f>IF('Eq4 avec Sent__t_+_1_k, k=1'!M22&lt;0.1,'Eq4 avec Sent__t_+_1_k, k=1'!J22,"-")</f>
        <v>-</v>
      </c>
      <c r="D7" s="2" t="str">
        <f>IF('Eq7 avec Sent__t_k, k=1'!M21&lt;0.1,'Eq7 avec Sent__t_k, k=1'!J21,"-")</f>
        <v>-</v>
      </c>
      <c r="E7" s="2" t="str">
        <f>IF('Eq7 avec Sent__t_k, k=1'!M22&lt;0.1,'Eq7 avec Sent__t_k, k=1'!J22,"-")</f>
        <v>-</v>
      </c>
      <c r="G7" s="2" t="str">
        <f t="shared" si="0"/>
        <v>Yes</v>
      </c>
      <c r="H7" s="2" t="str">
        <f t="shared" si="1"/>
        <v>No</v>
      </c>
      <c r="I7" s="2" t="str">
        <f t="shared" si="2"/>
        <v>No</v>
      </c>
      <c r="J7" s="2" t="str">
        <f t="shared" si="3"/>
        <v>No</v>
      </c>
    </row>
    <row r="8" spans="1:10" x14ac:dyDescent="0.25">
      <c r="A8" s="1" t="s">
        <v>68</v>
      </c>
      <c r="B8" s="2" t="str">
        <f>IF('Eq4 avec Sent__t_+_1_k, k=2'!M21&lt;0.1,'Eq4 avec Sent__t_+_1_k, k=2'!J21,"-")</f>
        <v>-</v>
      </c>
      <c r="C8" s="2" t="str">
        <f>IF('Eq4 avec Sent__t_+_1_k, k=2'!M22&lt;0.1,'Eq4 avec Sent__t_+_1_k, k=2'!J22,"-")</f>
        <v>-</v>
      </c>
      <c r="D8" s="2" t="str">
        <f>IF('Eq7 avec Sent__t_k, k=2'!M21&lt;0.1,'Eq7 avec Sent__t_k, k=2'!J21,"-")</f>
        <v>-</v>
      </c>
      <c r="E8" s="2">
        <f>IF('Eq7 avec Sent__t_k, k=2'!M22&lt;0.1,'Eq7 avec Sent__t_k, k=2'!J22,"-")</f>
        <v>1.6232525933143359E-2</v>
      </c>
      <c r="G8" s="2" t="str">
        <f t="shared" si="0"/>
        <v>Yes</v>
      </c>
      <c r="H8" s="2" t="str">
        <f t="shared" si="1"/>
        <v>No</v>
      </c>
      <c r="I8" s="2" t="str">
        <f t="shared" si="2"/>
        <v>No</v>
      </c>
      <c r="J8" s="2" t="str">
        <f t="shared" si="3"/>
        <v>No</v>
      </c>
    </row>
    <row r="9" spans="1:10" x14ac:dyDescent="0.25">
      <c r="A9" s="1" t="s">
        <v>69</v>
      </c>
      <c r="B9" s="2" t="str">
        <f>IF('Eq4 avec Sent__t_+_1_k, k=3'!M21&lt;0.1,'Eq4 avec Sent__t_+_1_k, k=3'!J21,"-")</f>
        <v>-</v>
      </c>
      <c r="C9" s="2" t="str">
        <f>IF('Eq4 avec Sent__t_+_1_k, k=3'!M22&lt;0.1,'Eq4 avec Sent__t_+_1_k, k=3'!J22,"-")</f>
        <v>-</v>
      </c>
      <c r="D9" s="2" t="str">
        <f>IF('Eq7 avec Sent__t_k, k=3'!M21&lt;0.1,'Eq7 avec Sent__t_k, k=3'!J21,"-")</f>
        <v>-</v>
      </c>
      <c r="E9" s="2" t="str">
        <f>IF('Eq7 avec Sent__t_k, k=3'!M22&lt;0.1,'Eq7 avec Sent__t_k, k=3'!J22,"-")</f>
        <v>-</v>
      </c>
      <c r="G9" s="2" t="str">
        <f t="shared" si="0"/>
        <v>Yes</v>
      </c>
      <c r="H9" s="2" t="str">
        <f t="shared" si="1"/>
        <v>No</v>
      </c>
      <c r="I9" s="2" t="str">
        <f t="shared" si="2"/>
        <v>No</v>
      </c>
      <c r="J9" s="2" t="str">
        <f t="shared" si="3"/>
        <v>No</v>
      </c>
    </row>
    <row r="10" spans="1:10" x14ac:dyDescent="0.25">
      <c r="A10" s="1" t="s">
        <v>70</v>
      </c>
      <c r="B10" s="2" t="str">
        <f>IF('Eq4 avec Sent__t_+_1_k, k=4'!L21&lt;0.1,'Eq4 avec Sent__t_+_1_k, k=4'!J21,"-")</f>
        <v>-</v>
      </c>
      <c r="C10" s="2" t="str">
        <f>IF('Eq4 avec Sent__t_+_1_k, k=4'!L22&lt;0.1,'Eq4 avec Sent__t_+_1_k, k=4'!J22,"-")</f>
        <v>-</v>
      </c>
      <c r="D10" s="2" t="str">
        <f>IF('Eq7 avec Sent__t_k, k=4'!M21&lt;0.1,'Eq7 avec Sent__t_k, k=4'!J21,"-")</f>
        <v>-</v>
      </c>
      <c r="E10" s="2" t="str">
        <f>IF('Eq7 avec Sent__t_k, k=4'!M22&lt;0.1,'Eq7 avec Sent__t_k, k=4'!J22,"-")</f>
        <v>-</v>
      </c>
      <c r="G10" s="2" t="str">
        <f t="shared" si="0"/>
        <v>Yes</v>
      </c>
      <c r="H10" s="2" t="str">
        <f t="shared" si="1"/>
        <v>No</v>
      </c>
      <c r="I10" s="2" t="str">
        <f t="shared" si="2"/>
        <v>No</v>
      </c>
      <c r="J10" s="2" t="str">
        <f t="shared" si="3"/>
        <v>No</v>
      </c>
    </row>
    <row r="11" spans="1:10" x14ac:dyDescent="0.25">
      <c r="A11" s="1" t="s">
        <v>71</v>
      </c>
      <c r="B11" s="2" t="str">
        <f>IF('Eq4 avec Sent__t_+_1_k, k=5'!M21&lt;0.1,'Eq4 avec Sent__t_+_1_k, k=5'!J21,"-")</f>
        <v>-</v>
      </c>
      <c r="C11" s="2" t="str">
        <f>IF('Eq4 avec Sent__t_+_1_k, k=5'!M22&lt;0.1,'Eq4 avec Sent__t_+_1_k, k=5'!J22,"-")</f>
        <v>-</v>
      </c>
      <c r="D11" s="2" t="str">
        <f>IF('Eq7 avec Sent__t_k, k=5'!M21&lt;0.1,'Eq7 avec Sent__t_k, k=5'!J21,"-")</f>
        <v>-</v>
      </c>
      <c r="E11" s="2" t="str">
        <f>IF('Eq7 avec Sent__t_k, k=5'!M22&lt;0.1,'Eq7 avec Sent__t_k, k=5'!J22,"-")</f>
        <v>-</v>
      </c>
      <c r="G11" s="2" t="str">
        <f t="shared" si="0"/>
        <v>Yes</v>
      </c>
      <c r="H11" s="2" t="str">
        <f t="shared" si="1"/>
        <v>No</v>
      </c>
      <c r="I11" s="2" t="str">
        <f t="shared" si="2"/>
        <v>No</v>
      </c>
      <c r="J11" s="2" t="str">
        <f t="shared" si="3"/>
        <v>No</v>
      </c>
    </row>
    <row r="12" spans="1:10" x14ac:dyDescent="0.25">
      <c r="A12" s="1" t="s">
        <v>72</v>
      </c>
      <c r="B12" s="2">
        <f>IF('Eq4 avec Sent__t_+_1_k, k=6'!M21&lt;0.1,'Eq4 avec Sent__t_+_1_k, k=6'!J21,"-")</f>
        <v>0.11044260745449713</v>
      </c>
      <c r="C12" s="2">
        <f>IF('Eq4 avec Sent__t_+_1_k, k=6'!M22&lt;0.1,'Eq4 avec Sent__t_+_1_k, k=6'!J22,"-")</f>
        <v>8.8008600894763419E-3</v>
      </c>
      <c r="D12" s="2">
        <f>IF('Eq7 avec Sent__t_k, k=6'!M21&lt;0.1,'Eq7 avec Sent__t_k, k=6'!J21,"-")</f>
        <v>-0.13854990815295576</v>
      </c>
      <c r="E12" s="2">
        <f>IF('Eq7 avec Sent__t_k, k=6'!M22&lt;0.1,'Eq7 avec Sent__t_k, k=6'!J22,"-")</f>
        <v>-7.3467557507536268E-3</v>
      </c>
      <c r="G12" s="2" t="str">
        <f t="shared" si="0"/>
        <v>No</v>
      </c>
      <c r="H12" s="2" t="str">
        <f t="shared" si="1"/>
        <v>Yes</v>
      </c>
      <c r="I12" s="2" t="str">
        <f t="shared" si="2"/>
        <v>No</v>
      </c>
      <c r="J12" s="2" t="str">
        <f t="shared" si="3"/>
        <v>Yes</v>
      </c>
    </row>
    <row r="13" spans="1:10" x14ac:dyDescent="0.25">
      <c r="A13" s="1" t="s">
        <v>73</v>
      </c>
      <c r="B13" s="2" t="str">
        <f>IF('Eq4 avec Sent__t_+_1_k, k=7'!M21&lt;0.1,'Eq4 avec Sent__t_+_1_k, k=7'!J21,"-")</f>
        <v>-</v>
      </c>
      <c r="C13" s="2">
        <f>IF('Eq4 avec Sent__t_+_1_k, k=7'!M22&lt;0.1,'Eq4 avec Sent__t_+_1_k, k=7'!J22,"-")</f>
        <v>6.5558176660950448E-3</v>
      </c>
      <c r="D13" s="2" t="str">
        <f>IF('Eq7 avec Sent__t_k, k=7'!M21&lt;0.1,'Eq7 avec Sent__t_k, k=7'!J21,"-")</f>
        <v>-</v>
      </c>
      <c r="E13" s="2" t="str">
        <f>IF('Eq7 avec Sent__t_k, k=7'!M22&lt;0.1,'Eq7 avec Sent__t_k, k=7'!J22,"-")</f>
        <v>-</v>
      </c>
      <c r="G13" s="2" t="str">
        <f t="shared" si="0"/>
        <v>Yes</v>
      </c>
      <c r="H13" s="2" t="str">
        <f t="shared" si="1"/>
        <v>No</v>
      </c>
      <c r="I13" s="2" t="str">
        <f t="shared" si="2"/>
        <v>No</v>
      </c>
      <c r="J13" s="2" t="str">
        <f t="shared" si="3"/>
        <v>No</v>
      </c>
    </row>
    <row r="14" spans="1:10" x14ac:dyDescent="0.25">
      <c r="A14" s="1" t="s">
        <v>74</v>
      </c>
      <c r="B14" s="2" t="str">
        <f>IF('Eq4 avec Sent__t_+_1_k, k=8'!M21&lt;0.1,'Eq4 avec Sent__t_+_1_k, k=8'!J21,"-")</f>
        <v>-</v>
      </c>
      <c r="C14" s="2" t="str">
        <f>IF('Eq4 avec Sent__t_+_1_k, k=8'!M22&lt;0.1,'Eq4 avec Sent__t_+_1_k, k=8'!J22,"-")</f>
        <v>-</v>
      </c>
      <c r="D14" s="2" t="str">
        <f>IF('Eq7 avec Sent__t_k, k=8'!M21&lt;0.1,'Eq7 avec Sent__t_k, k=8'!J21,"-")</f>
        <v>-</v>
      </c>
      <c r="E14" s="2" t="str">
        <f>IF('Eq7 avec Sent__t_k, k=8'!M22&lt;0.1,'Eq7 avec Sent__t_k, k=8'!J22,"-")</f>
        <v>-</v>
      </c>
      <c r="G14" s="2" t="str">
        <f t="shared" si="0"/>
        <v>Yes</v>
      </c>
      <c r="H14" s="2" t="str">
        <f t="shared" si="1"/>
        <v>No</v>
      </c>
      <c r="I14" s="2" t="str">
        <f t="shared" si="2"/>
        <v>No</v>
      </c>
      <c r="J14" s="2" t="str">
        <f t="shared" si="3"/>
        <v>No</v>
      </c>
    </row>
    <row r="15" spans="1:10" x14ac:dyDescent="0.25">
      <c r="A15" s="3" t="s">
        <v>75</v>
      </c>
      <c r="B15" s="4" t="str">
        <f>IF('Eq4 avec Sent__t_+_1_k, k=9'!M21&lt;0.1,'Eq4 avec Sent__t_+_1_k, k=9'!J21,"-")</f>
        <v>-</v>
      </c>
      <c r="C15" s="4" t="str">
        <f>IF('Eq4 avec Sent__t_+_1_k, k=9'!M22&lt;0.1,'Eq4 avec Sent__t_+_1_k, k=9'!J22,"-")</f>
        <v>-</v>
      </c>
      <c r="D15" s="4">
        <f>IF('Eq7 avec Sent__t_k, k=9'!M21&lt;0.1,'Eq7 avec Sent__t_k, k=9'!J21,"-")</f>
        <v>-0.29589588226487507</v>
      </c>
      <c r="E15" s="4" t="str">
        <f>IF('Eq7 avec Sent__t_k, k=9'!M22&lt;0.1,'Eq7 avec Sent__t_k, k=9'!J22,"-")</f>
        <v>-</v>
      </c>
      <c r="G15" s="2" t="str">
        <f t="shared" si="0"/>
        <v>Yes</v>
      </c>
      <c r="H15" s="2" t="str">
        <f t="shared" si="1"/>
        <v>No</v>
      </c>
      <c r="I15" s="2" t="str">
        <f t="shared" si="2"/>
        <v>No</v>
      </c>
      <c r="J15" s="2" t="str">
        <f t="shared" si="3"/>
        <v>No</v>
      </c>
    </row>
    <row r="16" spans="1:10" x14ac:dyDescent="0.25">
      <c r="A16" s="1" t="s">
        <v>102</v>
      </c>
      <c r="B16" s="9">
        <f>COUNTIF(J5:J15,"Yes")</f>
        <v>1</v>
      </c>
    </row>
  </sheetData>
  <mergeCells count="2"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68B2BF738E3469943B0B7152E42FE" ma:contentTypeVersion="12" ma:contentTypeDescription="Crée un document." ma:contentTypeScope="" ma:versionID="bbf0080ce89be618caee659880399c04">
  <xsd:schema xmlns:xsd="http://www.w3.org/2001/XMLSchema" xmlns:xs="http://www.w3.org/2001/XMLSchema" xmlns:p="http://schemas.microsoft.com/office/2006/metadata/properties" xmlns:ns3="613741de-e33e-4b99-b92f-4fabaae84ef9" targetNamespace="http://schemas.microsoft.com/office/2006/metadata/properties" ma:root="true" ma:fieldsID="574f7c13e527a7d1f02f6dbf300da866" ns3:_="">
    <xsd:import namespace="613741de-e33e-4b99-b92f-4fabaae84e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41de-e33e-4b99-b92f-4fabaae84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D977C9-23E7-4DB8-9BF2-811FE5A312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96C611-C390-4AD4-985B-1EC80137D848}">
  <ds:schemaRefs>
    <ds:schemaRef ds:uri="http://purl.org/dc/terms/"/>
    <ds:schemaRef ds:uri="http://purl.org/dc/elements/1.1/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EC8ACAC-58F6-406E-9BCE-B8C251E1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25</vt:i4>
      </vt:variant>
      <vt:variant>
        <vt:lpstr>Plages nommées</vt:lpstr>
      </vt:variant>
      <vt:variant>
        <vt:i4>1</vt:i4>
      </vt:variant>
    </vt:vector>
  </HeadingPairs>
  <TitlesOfParts>
    <vt:vector size="26" baseType="lpstr">
      <vt:lpstr>ALL VARS</vt:lpstr>
      <vt:lpstr>Adj close price</vt:lpstr>
      <vt:lpstr>Eq4 avec Sent_t__+__1</vt:lpstr>
      <vt:lpstr>Eq4 avec Sent__t_+_1_k, k=0</vt:lpstr>
      <vt:lpstr>Eq4 avec Sent__t_+_1_k, k=1</vt:lpstr>
      <vt:lpstr>Eq4 avec Sent__t_+_1_k, k=2</vt:lpstr>
      <vt:lpstr>Eq4 avec Sent__t_+_1_k, k=3</vt:lpstr>
      <vt:lpstr>Eq4 avec Sent__t_+_1_k, k=4</vt:lpstr>
      <vt:lpstr>Eq4 avec Sent__t_+_1_k, k=5</vt:lpstr>
      <vt:lpstr>Eq4 avec Sent__t_+_1_k, k=6</vt:lpstr>
      <vt:lpstr>Eq4 avec Sent__t_+_1_k, k=7</vt:lpstr>
      <vt:lpstr>Eq4 avec Sent__t_+_1_k, k=8</vt:lpstr>
      <vt:lpstr>Eq4 avec Sent__t_+_1_k, k=9</vt:lpstr>
      <vt:lpstr>Eq7 avec Sent_t</vt:lpstr>
      <vt:lpstr>Eq7 avec Sent__t_k, k=0</vt:lpstr>
      <vt:lpstr>Eq7 avec Sent__t_k, k=1</vt:lpstr>
      <vt:lpstr>Eq7 avec Sent__t_k, k=2</vt:lpstr>
      <vt:lpstr>Eq7 avec Sent__t_k, k=3</vt:lpstr>
      <vt:lpstr>Eq7 avec Sent__t_k, k=4</vt:lpstr>
      <vt:lpstr>Eq7 avec Sent__t_k, k=5</vt:lpstr>
      <vt:lpstr>Eq7 avec Sent__t_k, k=6</vt:lpstr>
      <vt:lpstr>Eq7 avec Sent__t_k, k=7</vt:lpstr>
      <vt:lpstr>Eq7 avec Sent__t_k, k=8</vt:lpstr>
      <vt:lpstr>Eq7 avec Sent__t_k, k=9</vt:lpstr>
      <vt:lpstr>Sommaire</vt:lpstr>
      <vt:lpstr>E44ct2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Juan Hernandez</cp:lastModifiedBy>
  <dcterms:created xsi:type="dcterms:W3CDTF">2015-06-05T18:19:34Z</dcterms:created>
  <dcterms:modified xsi:type="dcterms:W3CDTF">2026-03-31T23:31:49Z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0x01010027B68B2BF738E3469943B0B7152E42FE</vt:lpwstr>
  </property>
</Properties>
</file>