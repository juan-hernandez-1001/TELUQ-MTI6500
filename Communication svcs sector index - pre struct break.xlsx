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Teluq\MTI6500-Regression files to share online\Test_files\"/>
    </mc:Choice>
  </mc:AlternateContent>
  <xr:revisionPtr revIDLastSave="0" documentId="13_ncr:1_{8A2EF7B6-6267-41D7-991C-AFA5CDAEB534}" xr6:coauthVersionLast="47" xr6:coauthVersionMax="47" xr10:uidLastSave="{00000000-0000-0000-0000-000000000000}"/>
  <bookViews>
    <workbookView xWindow="-120" yWindow="-120" windowWidth="20730" windowHeight="11160" tabRatio="803" firstSheet="2" activeTab="2" xr2:uid="{63962853-EC3C-460A-969F-FA997F8D0907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VARS'!$A$1:$CD$518</definedName>
    <definedName name="A2ca17">'Eq7 avec Sent_t'!$A$2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12" l="1"/>
  <c r="D15" i="112"/>
  <c r="C15" i="112"/>
  <c r="B15" i="112"/>
  <c r="E14" i="112"/>
  <c r="D14" i="112"/>
  <c r="C14" i="112"/>
  <c r="B14" i="112"/>
  <c r="E13" i="112"/>
  <c r="D13" i="112"/>
  <c r="C13" i="112"/>
  <c r="B13" i="112"/>
  <c r="E12" i="112"/>
  <c r="D12" i="112"/>
  <c r="C12" i="112"/>
  <c r="B12" i="112"/>
  <c r="E11" i="112"/>
  <c r="D11" i="112"/>
  <c r="C11" i="112"/>
  <c r="B11" i="112"/>
  <c r="E10" i="112"/>
  <c r="D10" i="112"/>
  <c r="C10" i="112"/>
  <c r="B10" i="112"/>
  <c r="E9" i="112"/>
  <c r="D9" i="112"/>
  <c r="C9" i="112"/>
  <c r="B9" i="112"/>
  <c r="E8" i="112"/>
  <c r="D8" i="112"/>
  <c r="C8" i="112"/>
  <c r="B8" i="112"/>
  <c r="E7" i="112"/>
  <c r="D7" i="112"/>
  <c r="C7" i="112"/>
  <c r="B7" i="112"/>
  <c r="E6" i="112"/>
  <c r="D6" i="112"/>
  <c r="C6" i="112"/>
  <c r="B6" i="112"/>
  <c r="E5" i="112"/>
  <c r="D5" i="112"/>
  <c r="C5" i="112"/>
  <c r="B5" i="112"/>
  <c r="G15" i="112" l="1"/>
  <c r="I15" i="112" s="1"/>
  <c r="G14" i="112"/>
  <c r="I14" i="112" s="1"/>
  <c r="G13" i="112"/>
  <c r="I13" i="112" s="1"/>
  <c r="G12" i="112"/>
  <c r="I12" i="112" s="1"/>
  <c r="G11" i="112"/>
  <c r="I11" i="112" s="1"/>
  <c r="G10" i="112"/>
  <c r="I10" i="112" s="1"/>
  <c r="G9" i="112"/>
  <c r="I9" i="112" s="1"/>
  <c r="G8" i="112"/>
  <c r="I8" i="112" s="1"/>
  <c r="G7" i="112"/>
  <c r="I7" i="112" s="1"/>
  <c r="G6" i="112"/>
  <c r="H6" i="112" s="1"/>
  <c r="G5" i="112"/>
  <c r="I5" i="112" s="1"/>
  <c r="H15" i="112" l="1"/>
  <c r="J15" i="112" s="1"/>
  <c r="H14" i="112"/>
  <c r="J14" i="112" s="1"/>
  <c r="H13" i="112"/>
  <c r="J13" i="112" s="1"/>
  <c r="H12" i="112"/>
  <c r="J12" i="112" s="1"/>
  <c r="H11" i="112"/>
  <c r="J11" i="112" s="1"/>
  <c r="H10" i="112"/>
  <c r="J10" i="112" s="1"/>
  <c r="H9" i="112"/>
  <c r="J9" i="112" s="1"/>
  <c r="H8" i="112"/>
  <c r="J8" i="112" s="1"/>
  <c r="H7" i="112"/>
  <c r="J7" i="112" s="1"/>
  <c r="I6" i="112"/>
  <c r="J6" i="112" s="1"/>
  <c r="H5" i="112"/>
  <c r="J5" i="112" s="1"/>
  <c r="B16" i="112" s="1"/>
  <c r="A1" i="97"/>
  <c r="A1" i="107"/>
  <c r="E1" i="110"/>
  <c r="A11" i="110"/>
  <c r="A10" i="110"/>
  <c r="A9" i="110"/>
  <c r="A8" i="110"/>
  <c r="A7" i="110"/>
  <c r="A6" i="110"/>
  <c r="A5" i="110"/>
  <c r="A4" i="110"/>
  <c r="A3" i="110"/>
  <c r="A2" i="110"/>
  <c r="G1" i="110"/>
  <c r="D1" i="110"/>
  <c r="C1" i="110"/>
  <c r="B1" i="110"/>
  <c r="A1" i="110"/>
  <c r="E1" i="109"/>
  <c r="A11" i="109"/>
  <c r="A10" i="109"/>
  <c r="A9" i="109"/>
  <c r="A8" i="109"/>
  <c r="A7" i="109"/>
  <c r="A6" i="109"/>
  <c r="A5" i="109"/>
  <c r="A4" i="109"/>
  <c r="A3" i="109"/>
  <c r="A2" i="109"/>
  <c r="G1" i="109"/>
  <c r="D1" i="109"/>
  <c r="C1" i="109"/>
  <c r="B1" i="109"/>
  <c r="A1" i="109"/>
  <c r="E1" i="108"/>
  <c r="A11" i="108"/>
  <c r="A10" i="108"/>
  <c r="A9" i="108"/>
  <c r="A8" i="108"/>
  <c r="A7" i="108"/>
  <c r="A6" i="108"/>
  <c r="A5" i="108"/>
  <c r="A4" i="108"/>
  <c r="A3" i="108"/>
  <c r="A2" i="108"/>
  <c r="G1" i="108"/>
  <c r="D1" i="108"/>
  <c r="C1" i="108"/>
  <c r="B1" i="108"/>
  <c r="A1" i="108"/>
  <c r="E1" i="107"/>
  <c r="A11" i="107"/>
  <c r="A10" i="107"/>
  <c r="A9" i="107"/>
  <c r="A8" i="107"/>
  <c r="A7" i="107"/>
  <c r="A6" i="107"/>
  <c r="A5" i="107"/>
  <c r="A4" i="107"/>
  <c r="A3" i="107"/>
  <c r="A2" i="107"/>
  <c r="G1" i="107"/>
  <c r="D1" i="107"/>
  <c r="C1" i="107"/>
  <c r="B1" i="107"/>
  <c r="E1" i="106"/>
  <c r="A11" i="106"/>
  <c r="A10" i="106"/>
  <c r="A9" i="106"/>
  <c r="A8" i="106"/>
  <c r="A7" i="106"/>
  <c r="A6" i="106"/>
  <c r="A5" i="106"/>
  <c r="A4" i="106"/>
  <c r="A3" i="106"/>
  <c r="A2" i="106"/>
  <c r="G1" i="106"/>
  <c r="D1" i="106"/>
  <c r="C1" i="106"/>
  <c r="B1" i="106"/>
  <c r="A1" i="106"/>
  <c r="E1" i="105"/>
  <c r="A11" i="105"/>
  <c r="A10" i="105"/>
  <c r="A9" i="105"/>
  <c r="A8" i="105"/>
  <c r="A7" i="105"/>
  <c r="A6" i="105"/>
  <c r="A5" i="105"/>
  <c r="A4" i="105"/>
  <c r="A3" i="105"/>
  <c r="A2" i="105"/>
  <c r="G1" i="105"/>
  <c r="D1" i="105"/>
  <c r="C1" i="105"/>
  <c r="B1" i="105"/>
  <c r="A1" i="105"/>
  <c r="E1" i="104"/>
  <c r="A11" i="104"/>
  <c r="A10" i="104"/>
  <c r="A9" i="104"/>
  <c r="A8" i="104"/>
  <c r="A7" i="104"/>
  <c r="A6" i="104"/>
  <c r="A5" i="104"/>
  <c r="A4" i="104"/>
  <c r="A3" i="104"/>
  <c r="A2" i="104"/>
  <c r="G1" i="104"/>
  <c r="D1" i="104"/>
  <c r="C1" i="104"/>
  <c r="B1" i="104"/>
  <c r="A1" i="104"/>
  <c r="E1" i="103"/>
  <c r="A11" i="103"/>
  <c r="A10" i="103"/>
  <c r="A9" i="103"/>
  <c r="A8" i="103"/>
  <c r="A7" i="103"/>
  <c r="A6" i="103"/>
  <c r="A5" i="103"/>
  <c r="A4" i="103"/>
  <c r="A3" i="103"/>
  <c r="A2" i="103"/>
  <c r="G1" i="103"/>
  <c r="D1" i="103"/>
  <c r="C1" i="103"/>
  <c r="B1" i="103"/>
  <c r="A1" i="103"/>
  <c r="E1" i="102"/>
  <c r="A11" i="102"/>
  <c r="A10" i="102"/>
  <c r="A9" i="102"/>
  <c r="A8" i="102"/>
  <c r="A7" i="102"/>
  <c r="A6" i="102"/>
  <c r="A5" i="102"/>
  <c r="A4" i="102"/>
  <c r="A3" i="102"/>
  <c r="A2" i="102"/>
  <c r="G1" i="102"/>
  <c r="D1" i="102"/>
  <c r="C1" i="102"/>
  <c r="B1" i="102"/>
  <c r="A1" i="102"/>
  <c r="E1" i="101"/>
  <c r="A11" i="101"/>
  <c r="A10" i="101"/>
  <c r="A9" i="101"/>
  <c r="A8" i="101"/>
  <c r="A7" i="101"/>
  <c r="A6" i="101"/>
  <c r="A5" i="101"/>
  <c r="A4" i="101"/>
  <c r="A3" i="101"/>
  <c r="A2" i="101"/>
  <c r="G1" i="101"/>
  <c r="D1" i="101"/>
  <c r="C1" i="101"/>
  <c r="B1" i="101"/>
  <c r="A1" i="101"/>
  <c r="E1" i="100"/>
  <c r="A11" i="100"/>
  <c r="A10" i="100"/>
  <c r="A9" i="100"/>
  <c r="A8" i="100"/>
  <c r="A7" i="100"/>
  <c r="A6" i="100"/>
  <c r="A5" i="100"/>
  <c r="A4" i="100"/>
  <c r="A3" i="100"/>
  <c r="A2" i="100"/>
  <c r="G1" i="100"/>
  <c r="D1" i="100"/>
  <c r="C1" i="100"/>
  <c r="B1" i="100"/>
  <c r="A1" i="100"/>
  <c r="F1" i="99"/>
  <c r="E1" i="99"/>
  <c r="A11" i="99"/>
  <c r="A10" i="99"/>
  <c r="A9" i="99"/>
  <c r="A8" i="99"/>
  <c r="A7" i="99"/>
  <c r="A6" i="99"/>
  <c r="A5" i="99"/>
  <c r="A4" i="99"/>
  <c r="A3" i="99"/>
  <c r="A2" i="99"/>
  <c r="G1" i="99"/>
  <c r="D1" i="99"/>
  <c r="C1" i="99"/>
  <c r="B1" i="99"/>
  <c r="A1" i="99"/>
  <c r="E1" i="98"/>
  <c r="A11" i="98"/>
  <c r="A10" i="98"/>
  <c r="A9" i="98"/>
  <c r="A8" i="98"/>
  <c r="A7" i="98"/>
  <c r="A6" i="98"/>
  <c r="A5" i="98"/>
  <c r="A4" i="98"/>
  <c r="A3" i="98"/>
  <c r="A2" i="98"/>
  <c r="G1" i="98"/>
  <c r="D1" i="98"/>
  <c r="C1" i="98"/>
  <c r="B1" i="98"/>
  <c r="A1" i="98"/>
  <c r="E1" i="97"/>
  <c r="A11" i="97"/>
  <c r="A10" i="97"/>
  <c r="A9" i="97"/>
  <c r="A8" i="97"/>
  <c r="A7" i="97"/>
  <c r="A6" i="97"/>
  <c r="A5" i="97"/>
  <c r="A4" i="97"/>
  <c r="A3" i="97"/>
  <c r="A2" i="97"/>
  <c r="G1" i="97"/>
  <c r="D1" i="97"/>
  <c r="C1" i="97"/>
  <c r="B1" i="97"/>
  <c r="E1" i="96"/>
  <c r="A11" i="96"/>
  <c r="A10" i="96"/>
  <c r="A9" i="96"/>
  <c r="A8" i="96"/>
  <c r="A7" i="96"/>
  <c r="A6" i="96"/>
  <c r="A5" i="96"/>
  <c r="A4" i="96"/>
  <c r="A3" i="96"/>
  <c r="A2" i="96"/>
  <c r="G1" i="96"/>
  <c r="D1" i="96"/>
  <c r="C1" i="96"/>
  <c r="B1" i="96"/>
  <c r="A1" i="96"/>
  <c r="E1" i="95"/>
  <c r="A11" i="95"/>
  <c r="A10" i="95"/>
  <c r="A9" i="95"/>
  <c r="A8" i="95"/>
  <c r="A7" i="95"/>
  <c r="A6" i="95"/>
  <c r="A5" i="95"/>
  <c r="A4" i="95"/>
  <c r="A3" i="95"/>
  <c r="A2" i="95"/>
  <c r="G1" i="95"/>
  <c r="D1" i="95"/>
  <c r="C1" i="95"/>
  <c r="B1" i="95"/>
  <c r="A1" i="95"/>
  <c r="E1" i="94"/>
  <c r="A11" i="94"/>
  <c r="A10" i="94"/>
  <c r="A9" i="94"/>
  <c r="A8" i="94"/>
  <c r="A7" i="94"/>
  <c r="A6" i="94"/>
  <c r="A5" i="94"/>
  <c r="A4" i="94"/>
  <c r="A3" i="94"/>
  <c r="A2" i="94"/>
  <c r="G1" i="94"/>
  <c r="D1" i="94"/>
  <c r="C1" i="94"/>
  <c r="B1" i="94"/>
  <c r="A1" i="94"/>
  <c r="E1" i="93"/>
  <c r="A11" i="93"/>
  <c r="A10" i="93"/>
  <c r="A9" i="93"/>
  <c r="A8" i="93"/>
  <c r="A7" i="93"/>
  <c r="A6" i="93"/>
  <c r="A5" i="93"/>
  <c r="A4" i="93"/>
  <c r="A3" i="93"/>
  <c r="A2" i="93"/>
  <c r="G1" i="93"/>
  <c r="D1" i="93"/>
  <c r="C1" i="93"/>
  <c r="B1" i="93"/>
  <c r="A1" i="93"/>
  <c r="E1" i="92"/>
  <c r="A11" i="92"/>
  <c r="A10" i="92"/>
  <c r="A9" i="92"/>
  <c r="A8" i="92"/>
  <c r="A7" i="92"/>
  <c r="A6" i="92"/>
  <c r="A5" i="92"/>
  <c r="A4" i="92"/>
  <c r="A3" i="92"/>
  <c r="A2" i="92"/>
  <c r="G1" i="92"/>
  <c r="D1" i="92"/>
  <c r="C1" i="92"/>
  <c r="B1" i="92"/>
  <c r="A1" i="92"/>
  <c r="E1" i="91"/>
  <c r="A11" i="91"/>
  <c r="A10" i="91"/>
  <c r="A9" i="91"/>
  <c r="A8" i="91"/>
  <c r="A7" i="91"/>
  <c r="A6" i="91"/>
  <c r="A5" i="91"/>
  <c r="A4" i="91"/>
  <c r="A3" i="91"/>
  <c r="A2" i="91"/>
  <c r="G1" i="91"/>
  <c r="D1" i="91"/>
  <c r="C1" i="91"/>
  <c r="B1" i="91"/>
  <c r="A1" i="91"/>
  <c r="E1" i="90"/>
  <c r="A11" i="90"/>
  <c r="A10" i="90"/>
  <c r="A9" i="90"/>
  <c r="A8" i="90"/>
  <c r="A7" i="90"/>
  <c r="A6" i="90"/>
  <c r="A5" i="90"/>
  <c r="A4" i="90"/>
  <c r="A3" i="90"/>
  <c r="A2" i="90"/>
  <c r="G1" i="90"/>
  <c r="D1" i="90"/>
  <c r="C1" i="90"/>
  <c r="B1" i="90"/>
  <c r="A1" i="90"/>
  <c r="F1" i="109"/>
  <c r="F1" i="98"/>
  <c r="F1" i="97"/>
  <c r="F1" i="96"/>
  <c r="F1" i="95"/>
  <c r="F1" i="94"/>
  <c r="F1" i="93"/>
  <c r="F1" i="92"/>
  <c r="F1" i="91"/>
  <c r="F1" i="90"/>
  <c r="G1" i="89" l="1"/>
  <c r="F1" i="89"/>
  <c r="E1" i="89"/>
  <c r="D1" i="89"/>
  <c r="C1" i="89"/>
  <c r="B1" i="89"/>
  <c r="A2" i="89"/>
  <c r="A3" i="89"/>
  <c r="A4" i="89"/>
  <c r="A5" i="89"/>
  <c r="A6" i="89"/>
  <c r="A7" i="89"/>
  <c r="A8" i="89"/>
  <c r="A9" i="89"/>
  <c r="A10" i="89"/>
  <c r="A11" i="89"/>
  <c r="A1" i="89"/>
  <c r="A2" i="42"/>
  <c r="A3" i="42"/>
  <c r="A4" i="42"/>
  <c r="A5" i="42"/>
  <c r="A6" i="42"/>
  <c r="A7" i="42"/>
  <c r="A8" i="42"/>
  <c r="A9" i="42"/>
  <c r="A10" i="42"/>
  <c r="A11" i="42"/>
  <c r="B1" i="42"/>
  <c r="A1" i="42"/>
  <c r="B2" i="42"/>
  <c r="B13" i="42" s="1"/>
  <c r="B3" i="42"/>
  <c r="B4" i="42"/>
  <c r="B5" i="42"/>
  <c r="B6" i="42"/>
  <c r="B7" i="42"/>
  <c r="B8" i="42"/>
  <c r="B9" i="42"/>
  <c r="B10" i="42"/>
  <c r="B11" i="42"/>
  <c r="E22" i="42" l="1"/>
  <c r="E21" i="42"/>
  <c r="E24" i="42"/>
  <c r="E20" i="42"/>
  <c r="E23" i="42"/>
  <c r="D11" i="110"/>
  <c r="D11" i="108"/>
  <c r="D11" i="95"/>
  <c r="D11" i="93"/>
  <c r="D11" i="91"/>
  <c r="D11" i="105"/>
  <c r="D11" i="103"/>
  <c r="D11" i="101"/>
  <c r="D11" i="99"/>
  <c r="D11" i="97"/>
  <c r="D11" i="109"/>
  <c r="D11" i="107"/>
  <c r="D11" i="96"/>
  <c r="D11" i="94"/>
  <c r="D11" i="92"/>
  <c r="D11" i="90"/>
  <c r="D11" i="106"/>
  <c r="D11" i="104"/>
  <c r="D11" i="102"/>
  <c r="D11" i="100"/>
  <c r="D11" i="98"/>
  <c r="D11" i="89"/>
  <c r="F1" i="110" l="1"/>
  <c r="F1" i="108"/>
  <c r="F1" i="107"/>
  <c r="F1" i="106"/>
  <c r="F1" i="105"/>
  <c r="F1" i="104"/>
  <c r="F1" i="103"/>
  <c r="F1" i="102"/>
  <c r="F1" i="101"/>
  <c r="F1" i="100"/>
  <c r="E2" i="99"/>
  <c r="E3" i="99"/>
  <c r="E4" i="99"/>
  <c r="E5" i="99"/>
  <c r="E6" i="99"/>
  <c r="E7" i="99"/>
  <c r="E8" i="99"/>
  <c r="E9" i="99"/>
  <c r="E10" i="99"/>
  <c r="E11" i="99"/>
  <c r="E10" i="100" l="1"/>
  <c r="E2" i="100"/>
  <c r="E11" i="110"/>
  <c r="E11" i="101"/>
  <c r="E10" i="102"/>
  <c r="E9" i="107"/>
  <c r="E8" i="108"/>
  <c r="E8" i="104"/>
  <c r="E7" i="105"/>
  <c r="E7" i="101"/>
  <c r="E6" i="102"/>
  <c r="E5" i="107"/>
  <c r="E4" i="108"/>
  <c r="E4" i="104"/>
  <c r="E3" i="105"/>
  <c r="E3" i="101"/>
  <c r="E2" i="102"/>
  <c r="E9" i="100"/>
  <c r="E5" i="100"/>
  <c r="E11" i="103"/>
  <c r="E7" i="103"/>
  <c r="E3" i="107"/>
  <c r="E3" i="103"/>
  <c r="E2" i="108"/>
  <c r="E2" i="104"/>
  <c r="E6" i="100"/>
  <c r="E11" i="105"/>
  <c r="E10" i="106"/>
  <c r="E9" i="103"/>
  <c r="E7" i="110"/>
  <c r="E6" i="106"/>
  <c r="E5" i="103"/>
  <c r="E3" i="110"/>
  <c r="E2" i="106"/>
  <c r="E11" i="108"/>
  <c r="E11" i="104"/>
  <c r="E10" i="110"/>
  <c r="E10" i="105"/>
  <c r="E10" i="101"/>
  <c r="E9" i="106"/>
  <c r="E9" i="102"/>
  <c r="E8" i="107"/>
  <c r="E8" i="103"/>
  <c r="E7" i="108"/>
  <c r="E7" i="104"/>
  <c r="E6" i="110"/>
  <c r="E6" i="105"/>
  <c r="E6" i="101"/>
  <c r="E5" i="106"/>
  <c r="E5" i="102"/>
  <c r="E4" i="107"/>
  <c r="E4" i="103"/>
  <c r="E3" i="108"/>
  <c r="E3" i="104"/>
  <c r="E2" i="110"/>
  <c r="E2" i="105"/>
  <c r="E2" i="101"/>
  <c r="E8" i="100"/>
  <c r="E4" i="100"/>
  <c r="E11" i="107"/>
  <c r="E10" i="108"/>
  <c r="E10" i="104"/>
  <c r="E9" i="110"/>
  <c r="E9" i="105"/>
  <c r="E9" i="101"/>
  <c r="E8" i="106"/>
  <c r="E8" i="102"/>
  <c r="E7" i="107"/>
  <c r="E6" i="108"/>
  <c r="E6" i="104"/>
  <c r="E5" i="110"/>
  <c r="E5" i="105"/>
  <c r="E5" i="101"/>
  <c r="E4" i="106"/>
  <c r="E4" i="102"/>
  <c r="E11" i="100"/>
  <c r="E7" i="100"/>
  <c r="E3" i="100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2" i="107"/>
  <c r="E2" i="103"/>
  <c r="E9" i="98"/>
  <c r="E11" i="98"/>
  <c r="E7" i="98"/>
  <c r="E5" i="98"/>
  <c r="E8" i="98"/>
  <c r="E4" i="98"/>
  <c r="E10" i="98"/>
  <c r="E6" i="98"/>
  <c r="E10" i="97"/>
  <c r="E6" i="97"/>
  <c r="E9" i="97"/>
  <c r="E5" i="97"/>
  <c r="E8" i="97"/>
  <c r="E4" i="97"/>
  <c r="E11" i="97"/>
  <c r="E7" i="97"/>
  <c r="E10" i="96"/>
  <c r="E6" i="96"/>
  <c r="E9" i="96"/>
  <c r="E5" i="96"/>
  <c r="E11" i="96"/>
  <c r="E7" i="96"/>
  <c r="E8" i="96"/>
  <c r="E4" i="96"/>
  <c r="E4" i="95"/>
  <c r="E11" i="95"/>
  <c r="E7" i="95"/>
  <c r="E10" i="95"/>
  <c r="E6" i="95"/>
  <c r="E8" i="95"/>
  <c r="E9" i="95"/>
  <c r="E5" i="95"/>
  <c r="E10" i="94"/>
  <c r="E9" i="94"/>
  <c r="E5" i="94"/>
  <c r="E8" i="94"/>
  <c r="E4" i="94"/>
  <c r="E11" i="94"/>
  <c r="E7" i="94"/>
  <c r="E6" i="94"/>
  <c r="E6" i="93"/>
  <c r="E5" i="93"/>
  <c r="E8" i="93"/>
  <c r="E4" i="93"/>
  <c r="E10" i="93"/>
  <c r="E9" i="93"/>
  <c r="E11" i="93"/>
  <c r="E7" i="93"/>
  <c r="E7" i="92"/>
  <c r="E10" i="92"/>
  <c r="E6" i="92"/>
  <c r="E9" i="92"/>
  <c r="E5" i="92"/>
  <c r="E11" i="92"/>
  <c r="E8" i="92"/>
  <c r="E4" i="92"/>
  <c r="E8" i="91"/>
  <c r="E11" i="91"/>
  <c r="E7" i="91"/>
  <c r="E10" i="91"/>
  <c r="E6" i="91"/>
  <c r="E4" i="91"/>
  <c r="E9" i="91"/>
  <c r="E5" i="91"/>
  <c r="E11" i="90"/>
  <c r="E10" i="90"/>
  <c r="E9" i="90"/>
  <c r="E5" i="90"/>
  <c r="E7" i="90"/>
  <c r="E6" i="90"/>
  <c r="E8" i="90"/>
  <c r="E4" i="90"/>
  <c r="E2" i="89" l="1"/>
  <c r="E3" i="93"/>
  <c r="E2" i="93"/>
  <c r="E3" i="94"/>
  <c r="E2" i="94"/>
  <c r="E3" i="97"/>
  <c r="E2" i="97"/>
  <c r="E3" i="98"/>
  <c r="E2" i="98"/>
  <c r="E3" i="96"/>
  <c r="E2" i="96"/>
  <c r="E3" i="90"/>
  <c r="E2" i="90"/>
  <c r="E3" i="91"/>
  <c r="E2" i="91"/>
  <c r="E3" i="92"/>
  <c r="E2" i="92"/>
  <c r="E3" i="95"/>
  <c r="E2" i="95"/>
  <c r="E2" i="109"/>
  <c r="E9" i="109"/>
  <c r="E6" i="109"/>
  <c r="E7" i="109"/>
  <c r="E10" i="109"/>
  <c r="E11" i="109"/>
  <c r="E5" i="109"/>
  <c r="E8" i="109"/>
  <c r="E4" i="109"/>
  <c r="E3" i="109"/>
  <c r="E9" i="89"/>
  <c r="E11" i="89"/>
  <c r="E7" i="89"/>
  <c r="E4" i="89"/>
  <c r="E6" i="89"/>
  <c r="E5" i="89"/>
  <c r="E8" i="89"/>
  <c r="E10" i="89"/>
  <c r="E3" i="89"/>
  <c r="G3" i="89" l="1"/>
  <c r="G3" i="110"/>
  <c r="G3" i="109"/>
  <c r="G3" i="108"/>
  <c r="G3" i="107"/>
  <c r="G3" i="105"/>
  <c r="G3" i="102"/>
  <c r="G3" i="106"/>
  <c r="G3" i="100"/>
  <c r="G3" i="98"/>
  <c r="G3" i="96"/>
  <c r="G3" i="103"/>
  <c r="G3" i="101"/>
  <c r="G3" i="99"/>
  <c r="G3" i="97"/>
  <c r="G3" i="95"/>
  <c r="G3" i="93"/>
  <c r="G3" i="90"/>
  <c r="G3" i="91"/>
  <c r="G3" i="92"/>
  <c r="G3" i="104"/>
  <c r="G3" i="94"/>
  <c r="G4" i="89"/>
  <c r="G4" i="109"/>
  <c r="G4" i="110"/>
  <c r="G4" i="108"/>
  <c r="G4" i="106"/>
  <c r="G4" i="104"/>
  <c r="G4" i="107"/>
  <c r="G4" i="105"/>
  <c r="G4" i="95"/>
  <c r="G4" i="93"/>
  <c r="G4" i="103"/>
  <c r="G4" i="101"/>
  <c r="G4" i="100"/>
  <c r="G4" i="99"/>
  <c r="G4" i="98"/>
  <c r="G4" i="97"/>
  <c r="G4" i="96"/>
  <c r="G4" i="94"/>
  <c r="G4" i="102"/>
  <c r="G4" i="92"/>
  <c r="G4" i="91"/>
  <c r="G4" i="90"/>
  <c r="G2" i="89"/>
  <c r="G2" i="110"/>
  <c r="G2" i="109"/>
  <c r="G2" i="108"/>
  <c r="G2" i="105"/>
  <c r="G2" i="107"/>
  <c r="G2" i="106"/>
  <c r="G2" i="94"/>
  <c r="G2" i="92"/>
  <c r="G2" i="102"/>
  <c r="G2" i="101"/>
  <c r="G2" i="100"/>
  <c r="G2" i="99"/>
  <c r="G2" i="98"/>
  <c r="G2" i="97"/>
  <c r="G2" i="96"/>
  <c r="G2" i="104"/>
  <c r="G2" i="91"/>
  <c r="G2" i="95"/>
  <c r="G2" i="93"/>
  <c r="G2" i="90"/>
  <c r="G2" i="103"/>
  <c r="G9" i="89"/>
  <c r="G9" i="108"/>
  <c r="G9" i="107"/>
  <c r="G9" i="109"/>
  <c r="G9" i="105"/>
  <c r="G9" i="103"/>
  <c r="G9" i="110"/>
  <c r="G9" i="101"/>
  <c r="G9" i="99"/>
  <c r="G9" i="97"/>
  <c r="G9" i="106"/>
  <c r="G9" i="102"/>
  <c r="G9" i="104"/>
  <c r="G9" i="100"/>
  <c r="G9" i="98"/>
  <c r="G9" i="96"/>
  <c r="G9" i="94"/>
  <c r="G9" i="95"/>
  <c r="G9" i="93"/>
  <c r="G9" i="91"/>
  <c r="G9" i="90"/>
  <c r="G9" i="92"/>
  <c r="G10" i="89"/>
  <c r="G10" i="110"/>
  <c r="G10" i="109"/>
  <c r="G10" i="108"/>
  <c r="G10" i="105"/>
  <c r="G10" i="107"/>
  <c r="G10" i="106"/>
  <c r="G10" i="94"/>
  <c r="G10" i="92"/>
  <c r="G10" i="102"/>
  <c r="G10" i="101"/>
  <c r="G10" i="100"/>
  <c r="G10" i="99"/>
  <c r="G10" i="98"/>
  <c r="G10" i="97"/>
  <c r="G10" i="96"/>
  <c r="G10" i="104"/>
  <c r="G10" i="91"/>
  <c r="G10" i="95"/>
  <c r="G10" i="93"/>
  <c r="G10" i="90"/>
  <c r="G10" i="103"/>
  <c r="G5" i="89"/>
  <c r="G5" i="110"/>
  <c r="G5" i="108"/>
  <c r="G5" i="107"/>
  <c r="G5" i="109"/>
  <c r="G5" i="105"/>
  <c r="G5" i="103"/>
  <c r="G5" i="101"/>
  <c r="G5" i="99"/>
  <c r="G5" i="97"/>
  <c r="G5" i="106"/>
  <c r="G5" i="102"/>
  <c r="G5" i="104"/>
  <c r="G5" i="100"/>
  <c r="G5" i="98"/>
  <c r="G5" i="96"/>
  <c r="G5" i="94"/>
  <c r="G5" i="95"/>
  <c r="G5" i="93"/>
  <c r="G5" i="91"/>
  <c r="G5" i="90"/>
  <c r="G5" i="92"/>
  <c r="G11" i="89"/>
  <c r="G11" i="110"/>
  <c r="G11" i="109"/>
  <c r="G11" i="108"/>
  <c r="G11" i="107"/>
  <c r="G11" i="105"/>
  <c r="G11" i="102"/>
  <c r="G11" i="106"/>
  <c r="G11" i="100"/>
  <c r="G11" i="98"/>
  <c r="G11" i="96"/>
  <c r="G11" i="103"/>
  <c r="G11" i="101"/>
  <c r="G11" i="99"/>
  <c r="G11" i="97"/>
  <c r="G11" i="95"/>
  <c r="G11" i="93"/>
  <c r="G11" i="92"/>
  <c r="G11" i="90"/>
  <c r="G11" i="94"/>
  <c r="G11" i="91"/>
  <c r="G11" i="104"/>
  <c r="G8" i="89"/>
  <c r="G8" i="109"/>
  <c r="G8" i="110"/>
  <c r="G8" i="108"/>
  <c r="G8" i="106"/>
  <c r="G8" i="104"/>
  <c r="G8" i="107"/>
  <c r="G8" i="105"/>
  <c r="G8" i="95"/>
  <c r="G8" i="93"/>
  <c r="G8" i="103"/>
  <c r="G8" i="101"/>
  <c r="G8" i="100"/>
  <c r="G8" i="99"/>
  <c r="G8" i="98"/>
  <c r="G8" i="97"/>
  <c r="G8" i="96"/>
  <c r="G8" i="94"/>
  <c r="G8" i="92"/>
  <c r="G8" i="91"/>
  <c r="G8" i="102"/>
  <c r="G8" i="90"/>
  <c r="G7" i="89"/>
  <c r="G7" i="110"/>
  <c r="G7" i="109"/>
  <c r="G7" i="108"/>
  <c r="G7" i="107"/>
  <c r="G7" i="105"/>
  <c r="G7" i="102"/>
  <c r="G7" i="106"/>
  <c r="G7" i="100"/>
  <c r="G7" i="98"/>
  <c r="G7" i="96"/>
  <c r="G7" i="103"/>
  <c r="G7" i="101"/>
  <c r="G7" i="99"/>
  <c r="G7" i="97"/>
  <c r="G7" i="95"/>
  <c r="G7" i="93"/>
  <c r="G7" i="90"/>
  <c r="G7" i="91"/>
  <c r="G7" i="94"/>
  <c r="G7" i="92"/>
  <c r="G7" i="104"/>
  <c r="G6" i="89"/>
  <c r="G6" i="110"/>
  <c r="G6" i="109"/>
  <c r="G6" i="108"/>
  <c r="G6" i="105"/>
  <c r="G6" i="107"/>
  <c r="G6" i="106"/>
  <c r="G6" i="94"/>
  <c r="G6" i="92"/>
  <c r="G6" i="102"/>
  <c r="G6" i="101"/>
  <c r="G6" i="100"/>
  <c r="G6" i="99"/>
  <c r="G6" i="98"/>
  <c r="G6" i="97"/>
  <c r="G6" i="96"/>
  <c r="G6" i="104"/>
  <c r="G6" i="103"/>
  <c r="G6" i="91"/>
  <c r="G6" i="95"/>
  <c r="G6" i="93"/>
  <c r="G6" i="90"/>
  <c r="F8" i="109"/>
  <c r="F4" i="109"/>
  <c r="F5" i="109"/>
  <c r="F8" i="99" l="1"/>
  <c r="F7" i="98"/>
  <c r="F7" i="109"/>
  <c r="F2" i="98"/>
  <c r="F2" i="109"/>
  <c r="F3" i="98"/>
  <c r="F3" i="109"/>
  <c r="F6" i="98"/>
  <c r="F6" i="109"/>
  <c r="F11" i="98"/>
  <c r="F11" i="109"/>
  <c r="F9" i="98"/>
  <c r="F9" i="109"/>
  <c r="F10" i="98"/>
  <c r="F10" i="109"/>
  <c r="F5" i="97"/>
  <c r="F5" i="98"/>
  <c r="F4" i="97"/>
  <c r="F4" i="98"/>
  <c r="F8" i="97"/>
  <c r="F8" i="98"/>
  <c r="F6" i="96"/>
  <c r="F6" i="97"/>
  <c r="F11" i="96"/>
  <c r="F11" i="97"/>
  <c r="F9" i="96"/>
  <c r="F9" i="97"/>
  <c r="F7" i="96"/>
  <c r="F7" i="97"/>
  <c r="F2" i="96"/>
  <c r="F2" i="97"/>
  <c r="F3" i="96"/>
  <c r="F3" i="97"/>
  <c r="F10" i="96"/>
  <c r="F10" i="97"/>
  <c r="F5" i="95"/>
  <c r="F5" i="96"/>
  <c r="F4" i="95"/>
  <c r="F4" i="96"/>
  <c r="F8" i="95"/>
  <c r="F8" i="96"/>
  <c r="F6" i="94"/>
  <c r="F6" i="95"/>
  <c r="F11" i="94"/>
  <c r="F11" i="95"/>
  <c r="F7" i="94"/>
  <c r="F7" i="95"/>
  <c r="F2" i="94"/>
  <c r="F2" i="95"/>
  <c r="F3" i="94"/>
  <c r="F3" i="95"/>
  <c r="F9" i="94"/>
  <c r="F9" i="95"/>
  <c r="F10" i="94"/>
  <c r="F10" i="95"/>
  <c r="F5" i="93"/>
  <c r="F5" i="94"/>
  <c r="F4" i="93"/>
  <c r="F4" i="94"/>
  <c r="F8" i="93"/>
  <c r="F8" i="94"/>
  <c r="F7" i="92"/>
  <c r="F7" i="93"/>
  <c r="F2" i="92"/>
  <c r="F2" i="93"/>
  <c r="F3" i="92"/>
  <c r="F3" i="93"/>
  <c r="F6" i="92"/>
  <c r="F6" i="93"/>
  <c r="F11" i="92"/>
  <c r="F11" i="93"/>
  <c r="F9" i="92"/>
  <c r="F9" i="93"/>
  <c r="F10" i="92"/>
  <c r="F10" i="93"/>
  <c r="F5" i="91"/>
  <c r="F5" i="92"/>
  <c r="F4" i="91"/>
  <c r="F4" i="92"/>
  <c r="F8" i="91"/>
  <c r="F8" i="92"/>
  <c r="F7" i="90"/>
  <c r="F7" i="91"/>
  <c r="F2" i="90"/>
  <c r="F2" i="91"/>
  <c r="F9" i="90"/>
  <c r="F9" i="91"/>
  <c r="F3" i="90"/>
  <c r="F3" i="91"/>
  <c r="F6" i="90"/>
  <c r="F6" i="91"/>
  <c r="F11" i="90"/>
  <c r="F11" i="91"/>
  <c r="F10" i="90"/>
  <c r="F10" i="91"/>
  <c r="F5" i="89"/>
  <c r="F5" i="90"/>
  <c r="F4" i="89"/>
  <c r="F4" i="90"/>
  <c r="F8" i="89"/>
  <c r="F8" i="90"/>
  <c r="F10" i="89"/>
  <c r="F7" i="89"/>
  <c r="F2" i="89"/>
  <c r="F3" i="89"/>
  <c r="F10" i="100"/>
  <c r="F6" i="89"/>
  <c r="F11" i="89"/>
  <c r="F9" i="89"/>
  <c r="F8" i="100"/>
  <c r="F6" i="100"/>
  <c r="F5" i="100"/>
  <c r="F4" i="100"/>
  <c r="F11" i="100"/>
  <c r="F2" i="100"/>
  <c r="F3" i="100"/>
  <c r="F9" i="106"/>
  <c r="F9" i="104"/>
  <c r="F9" i="103"/>
  <c r="F9" i="105"/>
  <c r="F9" i="102"/>
  <c r="F9" i="101"/>
  <c r="F9" i="108"/>
  <c r="F9" i="107"/>
  <c r="F9" i="110"/>
  <c r="F8" i="108"/>
  <c r="F8" i="104"/>
  <c r="F8" i="106"/>
  <c r="F8" i="107"/>
  <c r="F8" i="105"/>
  <c r="F8" i="110"/>
  <c r="F8" i="103"/>
  <c r="F8" i="101"/>
  <c r="F8" i="102"/>
  <c r="F7" i="105"/>
  <c r="F7" i="102"/>
  <c r="F7" i="108"/>
  <c r="F7" i="101"/>
  <c r="F7" i="106"/>
  <c r="F7" i="107"/>
  <c r="F7" i="103"/>
  <c r="F7" i="110"/>
  <c r="F7" i="104"/>
  <c r="F2" i="102"/>
  <c r="F2" i="106"/>
  <c r="F2" i="104"/>
  <c r="F2" i="110"/>
  <c r="F2" i="103"/>
  <c r="F2" i="107"/>
  <c r="F2" i="105"/>
  <c r="F2" i="108"/>
  <c r="F2" i="101"/>
  <c r="F3" i="110"/>
  <c r="F3" i="102"/>
  <c r="F3" i="101"/>
  <c r="F3" i="104"/>
  <c r="F3" i="105"/>
  <c r="F3" i="107"/>
  <c r="F3" i="106"/>
  <c r="F3" i="108"/>
  <c r="F3" i="103"/>
  <c r="F7" i="100"/>
  <c r="F9" i="100"/>
  <c r="F6" i="102"/>
  <c r="F6" i="108"/>
  <c r="F6" i="106"/>
  <c r="F6" i="103"/>
  <c r="F6" i="110"/>
  <c r="F6" i="104"/>
  <c r="F6" i="107"/>
  <c r="F6" i="101"/>
  <c r="F6" i="105"/>
  <c r="F5" i="103"/>
  <c r="F5" i="108"/>
  <c r="F5" i="106"/>
  <c r="F5" i="101"/>
  <c r="F5" i="104"/>
  <c r="F5" i="110"/>
  <c r="F5" i="102"/>
  <c r="F5" i="105"/>
  <c r="F5" i="107"/>
  <c r="F11" i="110"/>
  <c r="F11" i="103"/>
  <c r="F11" i="102"/>
  <c r="F11" i="107"/>
  <c r="F11" i="105"/>
  <c r="F11" i="104"/>
  <c r="F11" i="106"/>
  <c r="F11" i="108"/>
  <c r="F11" i="101"/>
  <c r="F4" i="107"/>
  <c r="F4" i="104"/>
  <c r="F4" i="106"/>
  <c r="F4" i="108"/>
  <c r="F4" i="110"/>
  <c r="F4" i="102"/>
  <c r="F4" i="103"/>
  <c r="F4" i="101"/>
  <c r="F4" i="105"/>
  <c r="F10" i="106"/>
  <c r="F10" i="102"/>
  <c r="F10" i="104"/>
  <c r="F10" i="110"/>
  <c r="F10" i="108"/>
  <c r="F10" i="103"/>
  <c r="F10" i="105"/>
  <c r="F10" i="107"/>
  <c r="F10" i="101"/>
  <c r="F4" i="99" l="1"/>
  <c r="F3" i="99"/>
  <c r="F10" i="99"/>
  <c r="F5" i="99"/>
  <c r="F7" i="99"/>
  <c r="F11" i="99"/>
  <c r="F9" i="99"/>
  <c r="F2" i="99"/>
  <c r="F6" i="99"/>
  <c r="B7" i="109" l="1"/>
  <c r="B7" i="110"/>
  <c r="B7" i="108"/>
  <c r="B7" i="107"/>
  <c r="B7" i="106"/>
  <c r="B7" i="104"/>
  <c r="B7" i="105"/>
  <c r="B7" i="103"/>
  <c r="B7" i="102"/>
  <c r="B7" i="95"/>
  <c r="B7" i="93"/>
  <c r="B7" i="99"/>
  <c r="B7" i="96"/>
  <c r="B7" i="94"/>
  <c r="B7" i="97"/>
  <c r="B7" i="91"/>
  <c r="B7" i="100"/>
  <c r="B7" i="101"/>
  <c r="B7" i="98"/>
  <c r="B7" i="92"/>
  <c r="B7" i="90"/>
  <c r="D6" i="110"/>
  <c r="D6" i="109"/>
  <c r="D6" i="108"/>
  <c r="D6" i="107"/>
  <c r="D6" i="105"/>
  <c r="D6" i="103"/>
  <c r="D6" i="106"/>
  <c r="D6" i="101"/>
  <c r="D6" i="99"/>
  <c r="D6" i="97"/>
  <c r="D6" i="94"/>
  <c r="D6" i="100"/>
  <c r="D6" i="91"/>
  <c r="D6" i="95"/>
  <c r="D6" i="102"/>
  <c r="D6" i="104"/>
  <c r="D6" i="98"/>
  <c r="D6" i="92"/>
  <c r="D6" i="96"/>
  <c r="D6" i="93"/>
  <c r="D6" i="90"/>
  <c r="B5" i="110"/>
  <c r="B5" i="109"/>
  <c r="B5" i="107"/>
  <c r="B5" i="105"/>
  <c r="B5" i="106"/>
  <c r="B5" i="108"/>
  <c r="B5" i="104"/>
  <c r="B5" i="103"/>
  <c r="B5" i="102"/>
  <c r="B5" i="94"/>
  <c r="B5" i="92"/>
  <c r="B5" i="100"/>
  <c r="B5" i="96"/>
  <c r="B5" i="97"/>
  <c r="B5" i="91"/>
  <c r="B5" i="101"/>
  <c r="B5" i="98"/>
  <c r="B5" i="95"/>
  <c r="B5" i="93"/>
  <c r="B5" i="90"/>
  <c r="B5" i="99"/>
  <c r="D4" i="110"/>
  <c r="D4" i="109"/>
  <c r="D4" i="108"/>
  <c r="D4" i="102"/>
  <c r="D4" i="105"/>
  <c r="D4" i="107"/>
  <c r="D4" i="100"/>
  <c r="D4" i="98"/>
  <c r="D4" i="96"/>
  <c r="D4" i="104"/>
  <c r="D4" i="95"/>
  <c r="D4" i="93"/>
  <c r="D4" i="103"/>
  <c r="D4" i="99"/>
  <c r="D4" i="90"/>
  <c r="D4" i="91"/>
  <c r="D4" i="101"/>
  <c r="D4" i="97"/>
  <c r="D4" i="94"/>
  <c r="D4" i="106"/>
  <c r="D4" i="92"/>
  <c r="C10" i="110"/>
  <c r="C10" i="109"/>
  <c r="C10" i="108"/>
  <c r="C10" i="106"/>
  <c r="C10" i="104"/>
  <c r="C10" i="107"/>
  <c r="C10" i="102"/>
  <c r="C10" i="103"/>
  <c r="C10" i="95"/>
  <c r="C10" i="93"/>
  <c r="C10" i="99"/>
  <c r="C10" i="105"/>
  <c r="C10" i="97"/>
  <c r="C10" i="96"/>
  <c r="C10" i="101"/>
  <c r="C10" i="100"/>
  <c r="C10" i="91"/>
  <c r="C10" i="98"/>
  <c r="C10" i="94"/>
  <c r="C10" i="92"/>
  <c r="C10" i="90"/>
  <c r="C7" i="110"/>
  <c r="C7" i="107"/>
  <c r="C7" i="106"/>
  <c r="C7" i="103"/>
  <c r="C7" i="104"/>
  <c r="C7" i="109"/>
  <c r="C7" i="101"/>
  <c r="C7" i="99"/>
  <c r="C7" i="97"/>
  <c r="C7" i="105"/>
  <c r="C7" i="94"/>
  <c r="C7" i="108"/>
  <c r="C7" i="91"/>
  <c r="C7" i="98"/>
  <c r="C7" i="92"/>
  <c r="C7" i="90"/>
  <c r="C7" i="93"/>
  <c r="C7" i="102"/>
  <c r="C7" i="100"/>
  <c r="C7" i="96"/>
  <c r="C7" i="95"/>
  <c r="D3" i="110"/>
  <c r="D3" i="109"/>
  <c r="D3" i="108"/>
  <c r="D3" i="105"/>
  <c r="D3" i="107"/>
  <c r="D3" i="104"/>
  <c r="D3" i="94"/>
  <c r="D3" i="92"/>
  <c r="D3" i="106"/>
  <c r="D3" i="103"/>
  <c r="D3" i="100"/>
  <c r="D3" i="98"/>
  <c r="D3" i="96"/>
  <c r="D3" i="102"/>
  <c r="D3" i="97"/>
  <c r="D3" i="101"/>
  <c r="D3" i="91"/>
  <c r="D3" i="90"/>
  <c r="D3" i="95"/>
  <c r="D3" i="93"/>
  <c r="D3" i="99"/>
  <c r="B9" i="110"/>
  <c r="B9" i="109"/>
  <c r="B9" i="107"/>
  <c r="B9" i="105"/>
  <c r="B9" i="106"/>
  <c r="B9" i="108"/>
  <c r="B9" i="104"/>
  <c r="B9" i="103"/>
  <c r="B9" i="102"/>
  <c r="B9" i="94"/>
  <c r="B9" i="92"/>
  <c r="B9" i="100"/>
  <c r="B9" i="96"/>
  <c r="B9" i="91"/>
  <c r="B9" i="101"/>
  <c r="B9" i="98"/>
  <c r="B9" i="95"/>
  <c r="B9" i="93"/>
  <c r="B9" i="90"/>
  <c r="B9" i="99"/>
  <c r="B9" i="97"/>
  <c r="C9" i="110"/>
  <c r="C9" i="109"/>
  <c r="C9" i="108"/>
  <c r="C9" i="102"/>
  <c r="C9" i="106"/>
  <c r="C9" i="100"/>
  <c r="C9" i="98"/>
  <c r="C9" i="96"/>
  <c r="C9" i="95"/>
  <c r="C9" i="93"/>
  <c r="C9" i="101"/>
  <c r="C9" i="90"/>
  <c r="C9" i="94"/>
  <c r="C9" i="91"/>
  <c r="C9" i="107"/>
  <c r="C9" i="105"/>
  <c r="C9" i="99"/>
  <c r="C9" i="103"/>
  <c r="C9" i="97"/>
  <c r="C9" i="104"/>
  <c r="C9" i="92"/>
  <c r="D5" i="109"/>
  <c r="D5" i="108"/>
  <c r="D5" i="110"/>
  <c r="D5" i="106"/>
  <c r="D5" i="104"/>
  <c r="D5" i="105"/>
  <c r="D5" i="107"/>
  <c r="D5" i="95"/>
  <c r="D5" i="93"/>
  <c r="D5" i="102"/>
  <c r="D5" i="101"/>
  <c r="D5" i="99"/>
  <c r="D5" i="97"/>
  <c r="D5" i="98"/>
  <c r="D5" i="92"/>
  <c r="D5" i="100"/>
  <c r="D5" i="103"/>
  <c r="D5" i="96"/>
  <c r="D5" i="94"/>
  <c r="D5" i="91"/>
  <c r="D5" i="90"/>
  <c r="D9" i="109"/>
  <c r="D9" i="108"/>
  <c r="D9" i="106"/>
  <c r="D9" i="104"/>
  <c r="D9" i="105"/>
  <c r="D9" i="95"/>
  <c r="D9" i="93"/>
  <c r="D9" i="110"/>
  <c r="D9" i="102"/>
  <c r="D9" i="101"/>
  <c r="D9" i="99"/>
  <c r="D9" i="97"/>
  <c r="D9" i="98"/>
  <c r="D9" i="107"/>
  <c r="D9" i="92"/>
  <c r="D9" i="103"/>
  <c r="D9" i="96"/>
  <c r="D9" i="94"/>
  <c r="D9" i="91"/>
  <c r="D9" i="100"/>
  <c r="D9" i="90"/>
  <c r="C3" i="110"/>
  <c r="C3" i="107"/>
  <c r="C3" i="109"/>
  <c r="C3" i="108"/>
  <c r="C3" i="106"/>
  <c r="C3" i="103"/>
  <c r="C3" i="104"/>
  <c r="C3" i="101"/>
  <c r="C3" i="99"/>
  <c r="C3" i="97"/>
  <c r="C3" i="105"/>
  <c r="C3" i="94"/>
  <c r="C3" i="91"/>
  <c r="C3" i="92"/>
  <c r="C3" i="90"/>
  <c r="C3" i="96"/>
  <c r="C3" i="93"/>
  <c r="C3" i="102"/>
  <c r="C3" i="100"/>
  <c r="C3" i="98"/>
  <c r="C3" i="95"/>
  <c r="D10" i="110"/>
  <c r="D10" i="109"/>
  <c r="D10" i="108"/>
  <c r="D10" i="107"/>
  <c r="D10" i="105"/>
  <c r="D10" i="103"/>
  <c r="D10" i="106"/>
  <c r="D10" i="101"/>
  <c r="D10" i="99"/>
  <c r="D10" i="97"/>
  <c r="D10" i="94"/>
  <c r="D10" i="100"/>
  <c r="D10" i="91"/>
  <c r="D10" i="90"/>
  <c r="D10" i="104"/>
  <c r="D10" i="98"/>
  <c r="D10" i="92"/>
  <c r="D10" i="96"/>
  <c r="D10" i="95"/>
  <c r="D10" i="93"/>
  <c r="D10" i="102"/>
  <c r="C8" i="110"/>
  <c r="C8" i="109"/>
  <c r="C8" i="108"/>
  <c r="C8" i="107"/>
  <c r="C8" i="105"/>
  <c r="C8" i="103"/>
  <c r="C8" i="102"/>
  <c r="C8" i="94"/>
  <c r="C8" i="92"/>
  <c r="C8" i="104"/>
  <c r="C8" i="101"/>
  <c r="C8" i="96"/>
  <c r="C8" i="100"/>
  <c r="C8" i="97"/>
  <c r="C8" i="98"/>
  <c r="C8" i="95"/>
  <c r="C8" i="91"/>
  <c r="C8" i="106"/>
  <c r="C8" i="99"/>
  <c r="C8" i="90"/>
  <c r="C8" i="93"/>
  <c r="B6" i="110"/>
  <c r="B6" i="109"/>
  <c r="B6" i="107"/>
  <c r="B6" i="108"/>
  <c r="B6" i="106"/>
  <c r="B6" i="102"/>
  <c r="B6" i="104"/>
  <c r="B6" i="103"/>
  <c r="B6" i="100"/>
  <c r="B6" i="98"/>
  <c r="B6" i="96"/>
  <c r="B6" i="105"/>
  <c r="B6" i="95"/>
  <c r="B6" i="93"/>
  <c r="B6" i="97"/>
  <c r="B6" i="90"/>
  <c r="B6" i="91"/>
  <c r="B6" i="92"/>
  <c r="B6" i="101"/>
  <c r="B6" i="99"/>
  <c r="B6" i="94"/>
  <c r="D8" i="110"/>
  <c r="D8" i="109"/>
  <c r="D8" i="108"/>
  <c r="D8" i="102"/>
  <c r="D8" i="105"/>
  <c r="D8" i="107"/>
  <c r="D8" i="100"/>
  <c r="D8" i="98"/>
  <c r="D8" i="96"/>
  <c r="D8" i="104"/>
  <c r="D8" i="95"/>
  <c r="D8" i="93"/>
  <c r="D8" i="106"/>
  <c r="D8" i="103"/>
  <c r="D8" i="99"/>
  <c r="D8" i="90"/>
  <c r="D8" i="91"/>
  <c r="D8" i="101"/>
  <c r="D8" i="97"/>
  <c r="D8" i="94"/>
  <c r="D8" i="92"/>
  <c r="C2" i="110"/>
  <c r="C2" i="109"/>
  <c r="C2" i="108"/>
  <c r="C2" i="106"/>
  <c r="C2" i="104"/>
  <c r="C2" i="107"/>
  <c r="C2" i="102"/>
  <c r="C2" i="103"/>
  <c r="C2" i="95"/>
  <c r="C2" i="93"/>
  <c r="C2" i="98"/>
  <c r="C2" i="94"/>
  <c r="C2" i="101"/>
  <c r="C2" i="100"/>
  <c r="C2" i="91"/>
  <c r="C2" i="99"/>
  <c r="C2" i="92"/>
  <c r="C2" i="105"/>
  <c r="C2" i="97"/>
  <c r="C2" i="96"/>
  <c r="C2" i="90"/>
  <c r="B4" i="110"/>
  <c r="B4" i="109"/>
  <c r="B4" i="107"/>
  <c r="B4" i="108"/>
  <c r="B4" i="106"/>
  <c r="B4" i="103"/>
  <c r="B4" i="104"/>
  <c r="B4" i="102"/>
  <c r="B4" i="105"/>
  <c r="B4" i="101"/>
  <c r="B4" i="99"/>
  <c r="B4" i="97"/>
  <c r="B4" i="94"/>
  <c r="B4" i="98"/>
  <c r="B4" i="95"/>
  <c r="B4" i="93"/>
  <c r="B4" i="91"/>
  <c r="B4" i="92"/>
  <c r="B4" i="96"/>
  <c r="B4" i="90"/>
  <c r="B4" i="100"/>
  <c r="D7" i="110"/>
  <c r="D7" i="109"/>
  <c r="D7" i="108"/>
  <c r="D7" i="105"/>
  <c r="D7" i="107"/>
  <c r="D7" i="104"/>
  <c r="D7" i="94"/>
  <c r="D7" i="92"/>
  <c r="D7" i="106"/>
  <c r="D7" i="103"/>
  <c r="D7" i="100"/>
  <c r="D7" i="98"/>
  <c r="D7" i="96"/>
  <c r="D7" i="102"/>
  <c r="D7" i="97"/>
  <c r="D7" i="101"/>
  <c r="D7" i="93"/>
  <c r="D7" i="99"/>
  <c r="D7" i="91"/>
  <c r="D7" i="90"/>
  <c r="D7" i="95"/>
  <c r="B2" i="110"/>
  <c r="B2" i="109"/>
  <c r="B2" i="107"/>
  <c r="B2" i="108"/>
  <c r="B2" i="106"/>
  <c r="B2" i="102"/>
  <c r="B2" i="104"/>
  <c r="B2" i="103"/>
  <c r="B2" i="100"/>
  <c r="B2" i="98"/>
  <c r="B2" i="96"/>
  <c r="B2" i="105"/>
  <c r="B2" i="95"/>
  <c r="B2" i="93"/>
  <c r="B2" i="97"/>
  <c r="B2" i="90"/>
  <c r="B2" i="91"/>
  <c r="B2" i="99"/>
  <c r="B2" i="94"/>
  <c r="B2" i="92"/>
  <c r="B2" i="101"/>
  <c r="B3" i="109"/>
  <c r="B3" i="110"/>
  <c r="B3" i="108"/>
  <c r="B3" i="107"/>
  <c r="B3" i="106"/>
  <c r="B3" i="104"/>
  <c r="B3" i="105"/>
  <c r="B3" i="103"/>
  <c r="B3" i="102"/>
  <c r="B3" i="95"/>
  <c r="B3" i="93"/>
  <c r="B3" i="99"/>
  <c r="B3" i="96"/>
  <c r="B3" i="94"/>
  <c r="B3" i="97"/>
  <c r="B3" i="91"/>
  <c r="B3" i="100"/>
  <c r="B3" i="101"/>
  <c r="B3" i="98"/>
  <c r="B3" i="92"/>
  <c r="B3" i="90"/>
  <c r="D2" i="110"/>
  <c r="D2" i="109"/>
  <c r="D2" i="108"/>
  <c r="D2" i="107"/>
  <c r="D2" i="105"/>
  <c r="D2" i="103"/>
  <c r="D2" i="106"/>
  <c r="D2" i="101"/>
  <c r="D2" i="99"/>
  <c r="D2" i="97"/>
  <c r="D2" i="94"/>
  <c r="D2" i="100"/>
  <c r="D2" i="91"/>
  <c r="D2" i="95"/>
  <c r="D2" i="93"/>
  <c r="D2" i="102"/>
  <c r="D2" i="104"/>
  <c r="D2" i="98"/>
  <c r="D2" i="92"/>
  <c r="D2" i="96"/>
  <c r="D2" i="90"/>
  <c r="C4" i="110"/>
  <c r="C4" i="109"/>
  <c r="C4" i="108"/>
  <c r="C4" i="107"/>
  <c r="C4" i="105"/>
  <c r="C4" i="103"/>
  <c r="C4" i="102"/>
  <c r="C4" i="94"/>
  <c r="C4" i="92"/>
  <c r="C4" i="104"/>
  <c r="C4" i="101"/>
  <c r="C4" i="96"/>
  <c r="C4" i="100"/>
  <c r="C4" i="106"/>
  <c r="C4" i="98"/>
  <c r="C4" i="95"/>
  <c r="C4" i="91"/>
  <c r="C4" i="99"/>
  <c r="C4" i="90"/>
  <c r="C4" i="97"/>
  <c r="C4" i="93"/>
  <c r="C5" i="110"/>
  <c r="C5" i="109"/>
  <c r="C5" i="108"/>
  <c r="C5" i="102"/>
  <c r="C5" i="106"/>
  <c r="C5" i="100"/>
  <c r="C5" i="98"/>
  <c r="C5" i="96"/>
  <c r="C5" i="107"/>
  <c r="C5" i="95"/>
  <c r="C5" i="93"/>
  <c r="C5" i="101"/>
  <c r="C5" i="90"/>
  <c r="C5" i="103"/>
  <c r="C5" i="97"/>
  <c r="C5" i="91"/>
  <c r="C5" i="105"/>
  <c r="C5" i="104"/>
  <c r="C5" i="99"/>
  <c r="C5" i="94"/>
  <c r="C5" i="92"/>
  <c r="B10" i="110"/>
  <c r="B10" i="109"/>
  <c r="B10" i="107"/>
  <c r="B10" i="108"/>
  <c r="B10" i="106"/>
  <c r="B10" i="102"/>
  <c r="B10" i="104"/>
  <c r="B10" i="103"/>
  <c r="B10" i="100"/>
  <c r="B10" i="98"/>
  <c r="B10" i="96"/>
  <c r="B10" i="105"/>
  <c r="B10" i="95"/>
  <c r="B10" i="93"/>
  <c r="B10" i="97"/>
  <c r="B10" i="90"/>
  <c r="B10" i="91"/>
  <c r="B10" i="99"/>
  <c r="B10" i="94"/>
  <c r="B10" i="92"/>
  <c r="B10" i="101"/>
  <c r="C6" i="110"/>
  <c r="C6" i="109"/>
  <c r="C6" i="108"/>
  <c r="C6" i="106"/>
  <c r="C6" i="104"/>
  <c r="C6" i="107"/>
  <c r="C6" i="102"/>
  <c r="C6" i="103"/>
  <c r="C6" i="95"/>
  <c r="C6" i="93"/>
  <c r="C6" i="99"/>
  <c r="C6" i="105"/>
  <c r="C6" i="101"/>
  <c r="C6" i="100"/>
  <c r="C6" i="91"/>
  <c r="C6" i="98"/>
  <c r="C6" i="94"/>
  <c r="C6" i="92"/>
  <c r="C6" i="97"/>
  <c r="C6" i="96"/>
  <c r="C6" i="90"/>
  <c r="B11" i="109"/>
  <c r="B11" i="110"/>
  <c r="B11" i="108"/>
  <c r="B11" i="107"/>
  <c r="B11" i="106"/>
  <c r="B11" i="104"/>
  <c r="B11" i="105"/>
  <c r="B11" i="103"/>
  <c r="B11" i="102"/>
  <c r="B11" i="95"/>
  <c r="B11" i="93"/>
  <c r="B11" i="99"/>
  <c r="B11" i="96"/>
  <c r="B11" i="94"/>
  <c r="B11" i="98"/>
  <c r="B11" i="97"/>
  <c r="B11" i="91"/>
  <c r="B11" i="100"/>
  <c r="B11" i="101"/>
  <c r="B11" i="92"/>
  <c r="B11" i="90"/>
  <c r="B8" i="110"/>
  <c r="B8" i="109"/>
  <c r="B8" i="107"/>
  <c r="B8" i="108"/>
  <c r="B8" i="106"/>
  <c r="B8" i="103"/>
  <c r="B8" i="104"/>
  <c r="B8" i="102"/>
  <c r="B8" i="105"/>
  <c r="B8" i="101"/>
  <c r="B8" i="99"/>
  <c r="B8" i="97"/>
  <c r="B8" i="94"/>
  <c r="B8" i="98"/>
  <c r="B8" i="95"/>
  <c r="B8" i="93"/>
  <c r="B8" i="91"/>
  <c r="B8" i="100"/>
  <c r="B8" i="92"/>
  <c r="B8" i="96"/>
  <c r="B8" i="90"/>
  <c r="C11" i="110"/>
  <c r="C11" i="107"/>
  <c r="C11" i="109"/>
  <c r="C11" i="108"/>
  <c r="C11" i="106"/>
  <c r="C11" i="103"/>
  <c r="C11" i="104"/>
  <c r="C11" i="101"/>
  <c r="C11" i="99"/>
  <c r="C11" i="97"/>
  <c r="C11" i="105"/>
  <c r="C11" i="94"/>
  <c r="C11" i="91"/>
  <c r="C11" i="98"/>
  <c r="C11" i="92"/>
  <c r="C11" i="93"/>
  <c r="C11" i="102"/>
  <c r="C11" i="100"/>
  <c r="C11" i="90"/>
  <c r="C11" i="96"/>
  <c r="C11" i="95"/>
  <c r="D3" i="89"/>
  <c r="C9" i="89"/>
  <c r="D9" i="89"/>
  <c r="C3" i="89"/>
  <c r="B10" i="89"/>
  <c r="B11" i="89"/>
  <c r="C8" i="89"/>
  <c r="B6" i="89"/>
  <c r="D8" i="89"/>
  <c r="C2" i="89"/>
  <c r="B7" i="89"/>
  <c r="B4" i="89"/>
  <c r="D6" i="89"/>
  <c r="B2" i="89"/>
  <c r="B3" i="89"/>
  <c r="C10" i="89"/>
  <c r="D2" i="89"/>
  <c r="C7" i="89"/>
  <c r="B5" i="89"/>
  <c r="D4" i="89"/>
  <c r="D10" i="89"/>
  <c r="D7" i="89"/>
  <c r="B9" i="89"/>
  <c r="D5" i="89"/>
  <c r="C4" i="89"/>
  <c r="C5" i="89"/>
  <c r="C6" i="89"/>
  <c r="B8" i="89"/>
  <c r="C11" i="8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tc={71D0E312-908E-441F-AFF7-464BC936AE3A}</author>
    <author>tc={633497FA-1E10-40E9-B4D1-EA4FC5D87954}</author>
    <author>tc={8D16D989-355B-4BBE-A715-C2C52E7DDCAD}</author>
    <author>tc={DF5E8B17-8D70-4F86-AAE8-F26A2A46A4BB}</author>
    <author>tc={FA419424-6F93-4DBB-90E8-9B2DFF321654}</author>
    <author>tc={71D60AC4-09CB-48F6-838E-CB6BED826483}</author>
    <author>tc={6DF040DA-2EE6-414C-B2AB-0D55445B7C84}</author>
    <author>tc={2D4B56D7-A937-460B-B37F-34BB735ED46F}</author>
    <author>tc={949AE4F8-28FB-44A5-A2B1-7065F9E6CC51}</author>
    <author>tc={6690C96F-0190-4B02-BD05-0E5DCA257F8E}</author>
    <author>tc={CB483263-CAB8-4617-B6CA-E5C5A3176A3D}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1D0E312-908E-441F-AFF7-464BC936AE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1" shapeId="0" xr:uid="{633497FA-1E10-40E9-B4D1-EA4FC5D879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2" shapeId="0" xr:uid="{8D16D989-355B-4BBE-A715-C2C52E7DDC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3" shapeId="0" xr:uid="{DF5E8B17-8D70-4F86-AAE8-F26A2A46A4B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4" shapeId="0" xr:uid="{FA419424-6F93-4DBB-90E8-9B2DFF3216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5" shapeId="0" xr:uid="{71D60AC4-09CB-48F6-838E-CB6BED82648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6" shapeId="0" xr:uid="{6DF040DA-2EE6-414C-B2AB-0D55445B7C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7" shapeId="0" xr:uid="{2D4B56D7-A937-460B-B37F-34BB735ED4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8" shapeId="0" xr:uid="{949AE4F8-28FB-44A5-A2B1-7065F9E6CC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9" shapeId="0" xr:uid="{6690C96F-0190-4B02-BD05-0E5DCA257F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0" shapeId="0" xr:uid="{CB483263-CAB8-4617-B6CA-E5C5A3176A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H11" authorId="11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11" authorId="12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11" authorId="13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11" authorId="14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11" authorId="15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11" authorId="16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11" authorId="17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11" authorId="18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11" authorId="19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11" authorId="20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11" authorId="21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<sst xmlns="http://schemas.openxmlformats.org/spreadsheetml/2006/main" count="768" uniqueCount="106">
  <si>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</si>
  <si>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</si>
  <si>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</si>
  <si>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</si>
  <si>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</si>
  <si>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</si>
  <si>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</si>
  <si>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</si>
  <si>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</si>
  <si>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</si>
  <si>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</si>
  <si>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</si>
  <si>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</si>
  <si>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</si>
  <si>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</si>
  <si>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</si>
  <si>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</si>
  <si>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</si>
  <si>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</si>
  <si>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</si>
  <si>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</si>
  <si>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</si>
  <si>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</si>
  <si>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</si>
  <si>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</si>
  <si>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</si>
  <si>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</si>
  <si>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</si>
  <si>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</si>
  <si>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</si>
  <si>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</si>
  <si>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</si>
  <si>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</si>
  <si>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</si>
  <si>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Sommaire pour la période avant la rupture  structurelle</t>
  </si>
  <si>
    <t>Sent</t>
  </si>
  <si>
    <t>EV</t>
  </si>
  <si>
    <t>EV*VIXl1</t>
  </si>
  <si>
    <t>EVl1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</si>
  <si>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</si>
  <si>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</si>
  <si>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</si>
  <si>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</si>
  <si>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</si>
  <si>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</si>
  <si>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</si>
  <si>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</si>
  <si>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</si>
  <si>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Sent_k, k=0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</si>
  <si>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</si>
  <si>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</si>
  <si>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</si>
  <si>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</si>
  <si>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</si>
  <si>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</si>
  <si>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</si>
  <si>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</si>
  <si>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</si>
  <si>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</si>
  <si>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</si>
  <si>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</si>
  <si>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</si>
  <si>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</si>
  <si>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</si>
  <si>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</si>
  <si>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</si>
  <si>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</si>
  <si>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</si>
  <si>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</si>
  <si>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</si>
  <si>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</si>
  <si>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</si>
  <si>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</si>
  <si>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</si>
  <si>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</si>
  <si>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</si>
  <si>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</si>
  <si>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</si>
  <si>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</si>
  <si>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</si>
  <si>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</si>
  <si>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</si>
  <si>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</si>
  <si>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</si>
  <si>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</si>
  <si>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</si>
  <si>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</si>
  <si>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</si>
  <si>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</si>
  <si>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</si>
  <si>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</si>
  <si>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</si>
  <si>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</si>
  <si>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</si>
  <si>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</si>
  <si>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</si>
  <si>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</si>
  <si>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</si>
  <si>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c3 ou d3 null?</t>
  </si>
  <si>
    <t>Overreaction + -</t>
  </si>
  <si>
    <t>Overreaction -+</t>
  </si>
  <si>
    <t>Overreaction</t>
  </si>
  <si>
    <t>Overreaction =</t>
  </si>
  <si>
    <t>S&amp;P/TSX Communication Services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</si>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</sst>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10" fontId="0" fillId="3" borderId="0" xfId="1" applyNumberFormat="1" applyFon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4" xfId="0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50537608032644E-2"/>
          <c:y val="4.1025635001650421E-2"/>
          <c:w val="0.91582734401190502"/>
          <c:h val="0.7456475237196889"/>
        </c:manualLayout>
      </c:layout>
      <c:scatterChart>
        <c:scatterStyle val="lineMarker"/>
        <c:varyColors val="0"/>
        <c:ser>
          <c:idx val="0"/>
          <c:order val="0"/>
          <c:tx>
            <c:v>Close price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'Close price'!$A$2:$A$11</c:f>
              <c:numCache>
                <c:formatCode>m/d/yyyy</c:formatCode>
                <c:ptCount val="10"/>
                <c:pt idx="0">
                  <c:v>43913</c:v>
                </c:pt>
                <c:pt idx="1">
                  <c:v>43910</c:v>
                </c:pt>
                <c:pt idx="2">
                  <c:v>43909</c:v>
                </c:pt>
                <c:pt idx="3">
                  <c:v>43908</c:v>
                </c:pt>
                <c:pt idx="4">
                  <c:v>43907</c:v>
                </c:pt>
                <c:pt idx="5">
                  <c:v>43906</c:v>
                </c:pt>
                <c:pt idx="6">
                  <c:v>43903</c:v>
                </c:pt>
                <c:pt idx="7">
                  <c:v>43902</c:v>
                </c:pt>
                <c:pt idx="8">
                  <c:v>43901</c:v>
                </c:pt>
                <c:pt idx="9">
                  <c:v>43900</c:v>
                </c:pt>
              </c:numCache>
            </c:numRef>
          </c:xVal>
          <c:yVal>
            <c:numRef>
              <c:f>'Close price'!$B$2:$B$11</c:f>
              <c:numCache>
                <c:formatCode>#,##0</c:formatCode>
                <c:ptCount val="10"/>
                <c:pt idx="0">
                  <c:v>133.22</c:v>
                </c:pt>
                <c:pt idx="1">
                  <c:v>146.4</c:v>
                </c:pt>
                <c:pt idx="2">
                  <c:v>152.87</c:v>
                </c:pt>
                <c:pt idx="3">
                  <c:v>144.76</c:v>
                </c:pt>
                <c:pt idx="4">
                  <c:v>152.41999999999999</c:v>
                </c:pt>
                <c:pt idx="5">
                  <c:v>143.80000000000001</c:v>
                </c:pt>
                <c:pt idx="6">
                  <c:v>159.78</c:v>
                </c:pt>
                <c:pt idx="7">
                  <c:v>144.07</c:v>
                </c:pt>
                <c:pt idx="8">
                  <c:v>165.07</c:v>
                </c:pt>
                <c:pt idx="9">
                  <c:v>170.2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D-43C0-BB4A-624C82C97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48800"/>
        <c:axId val="119367040"/>
      </c:scatterChart>
      <c:valAx>
        <c:axId val="119348800"/>
        <c:scaling>
          <c:orientation val="minMax"/>
          <c:max val="43913"/>
          <c:min val="43900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67040"/>
        <c:crosses val="autoZero"/>
        <c:crossBetween val="midCat"/>
        <c:majorUnit val="1"/>
        <c:minorUnit val="1"/>
      </c:valAx>
      <c:valAx>
        <c:axId val="119367040"/>
        <c:scaling>
          <c:orientation val="minMax"/>
          <c:max val="180"/>
          <c:min val="130"/>
        </c:scaling>
        <c:delete val="0"/>
        <c:axPos val="l"/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4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185737</xdr:rowOff>
    </xdr:from>
    <xdr:to>
      <xdr:col>7</xdr:col>
      <xdr:colOff>0</xdr:colOff>
      <xdr:row>18</xdr:row>
      <xdr:rowOff>161925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D551AD1-B13A-767B-6A22-684DECF6D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Index%20data\SP_TSX_ALL_Sector_Index_data.xlsx" TargetMode="External"/><Relationship Id="rId1" Type="http://schemas.openxmlformats.org/officeDocument/2006/relationships/externalLinkPath" Target="file:///C:\Users\client\Documents\Teluq\MTI6500\Index%20data\SP_TSX_ALL_Sector_Index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TSX Cons Disc"/>
      <sheetName val="SPTSX Cons Disc_ret"/>
      <sheetName val="SPTSX Cons Staples"/>
      <sheetName val="SPTSX Cons Staples_ret"/>
      <sheetName val="SPTSX Energy"/>
      <sheetName val="SPTSX Energy_ret"/>
      <sheetName val="SPTSX Materials"/>
      <sheetName val="SPTSX Materials_ret"/>
      <sheetName val="SPTSX Communication Services"/>
      <sheetName val="SPTSX Communication Svcs_ret"/>
      <sheetName val="SPTSX Financials"/>
      <sheetName val="SPTSX Financials_ret"/>
      <sheetName val="SPTSX Health Care"/>
      <sheetName val="SPTSX Health Care_ret"/>
      <sheetName val="SPTSX Industrials"/>
      <sheetName val="SPTSX Industrials_ret"/>
      <sheetName val="SPTSX Information Tech"/>
      <sheetName val="SPTSX Information Tech_ret"/>
      <sheetName val="SPTSX Real Estate"/>
      <sheetName val="SPTSX Real Estate_ret"/>
      <sheetName val="SPTSX Utilities"/>
      <sheetName val="SPTSX Utilities_r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C1" t="str">
            <v>Date_2</v>
          </cell>
        </row>
        <row r="123">
          <cell r="G123">
            <v>164.43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21T14:37:42.45" personId="{B386E71F-82BA-4214-89B1-D8DCB07045AF}" id="{71D0E312-908E-441F-AFF7-464BC936AE3A}">
    <text>Moyenne de la colonne</text>
  </threadedComment>
  <threadedComment ref="T2" dT="2024-07-21T14:37:42.45" personId="{B386E71F-82BA-4214-89B1-D8DCB07045AF}" id="{633497FA-1E10-40E9-B4D1-EA4FC5D87954}">
    <text>Moyenne de la colonne</text>
  </threadedComment>
  <threadedComment ref="X2" dT="2024-07-21T14:37:42.45" personId="{B386E71F-82BA-4214-89B1-D8DCB07045AF}" id="{8D16D989-355B-4BBE-A715-C2C52E7DDCAD}">
    <text>Moyenne de la colonne</text>
  </threadedComment>
  <threadedComment ref="AB2" dT="2024-07-21T14:37:42.45" personId="{B386E71F-82BA-4214-89B1-D8DCB07045AF}" id="{DF5E8B17-8D70-4F86-AAE8-F26A2A46A4BB}">
    <text>Moyenne de la colonne</text>
  </threadedComment>
  <threadedComment ref="AF2" dT="2024-07-21T14:37:42.45" personId="{B386E71F-82BA-4214-89B1-D8DCB07045AF}" id="{FA419424-6F93-4DBB-90E8-9B2DFF321654}">
    <text>Moyenne de la colonne</text>
  </threadedComment>
  <threadedComment ref="AJ2" dT="2024-07-21T14:37:42.45" personId="{B386E71F-82BA-4214-89B1-D8DCB07045AF}" id="{71D60AC4-09CB-48F6-838E-CB6BED826483}">
    <text>Moyenne de la colonne</text>
  </threadedComment>
  <threadedComment ref="AN2" dT="2024-07-21T14:37:42.45" personId="{B386E71F-82BA-4214-89B1-D8DCB07045AF}" id="{6DF040DA-2EE6-414C-B2AB-0D55445B7C84}">
    <text>Moyenne de la colonne</text>
  </threadedComment>
  <threadedComment ref="AR2" dT="2024-07-21T14:37:42.45" personId="{B386E71F-82BA-4214-89B1-D8DCB07045AF}" id="{2D4B56D7-A937-460B-B37F-34BB735ED46F}">
    <text>Moyenne de la colonne</text>
  </threadedComment>
  <threadedComment ref="AV2" dT="2024-07-21T14:37:42.45" personId="{B386E71F-82BA-4214-89B1-D8DCB07045AF}" id="{949AE4F8-28FB-44A5-A2B1-7065F9E6CC51}">
    <text>Moyenne de la colonne</text>
  </threadedComment>
  <threadedComment ref="AZ2" dT="2024-07-21T14:37:42.45" personId="{B386E71F-82BA-4214-89B1-D8DCB07045AF}" id="{6690C96F-0190-4B02-BD05-0E5DCA257F8E}">
    <text>Moyenne de la colonne</text>
  </threadedComment>
  <threadedComment ref="BD2" dT="2024-07-21T14:37:42.45" personId="{B386E71F-82BA-4214-89B1-D8DCB07045AF}" id="{CB483263-CAB8-4617-B6CA-E5C5A3176A3D}">
    <text>Moyenne de la colonne</text>
  </threadedComment>
  <threadedComment ref="BH11" dT="2024-03-19T03:08:32.20" personId="{163BB6B9-B723-4244-A02B-D203858A4BD4}" id="{3CBB640E-CE8B-48C6-A4DC-61CAA140CB66}">
    <text xml:space="preserve">Average </text>
  </threadedComment>
  <threadedComment ref="BH11" dT="2024-03-19T03:23:06.24" personId="{163BB6B9-B723-4244-A02B-D203858A4BD4}" id="{73E31130-E2DF-43CF-BE6D-3A3D9761907C}" parentId="{3CBB640E-CE8B-48C6-A4DC-61CAA140CB66}">
    <text>Moyenne</text>
  </threadedComment>
  <threadedComment ref="BH11" dT="2024-03-19T03:26:43.81" personId="{163BB6B9-B723-4244-A02B-D203858A4BD4}" id="{43D8F9B6-F875-44A2-B8D7-D19624648D88}" parentId="{3CBB640E-CE8B-48C6-A4DC-61CAA140CB66}">
    <text>Moyenne</text>
  </threadedComment>
  <threadedComment ref="BH11" dT="2024-03-19T03:27:04.07" personId="{163BB6B9-B723-4244-A02B-D203858A4BD4}" id="{99A0B4FA-67E7-4ECA-8DAE-6AECFF25076F}" parentId="{3CBB640E-CE8B-48C6-A4DC-61CAA140CB66}">
    <text>Moyenne</text>
  </threadedComment>
  <threadedComment ref="BH11" dT="2024-03-19T03:27:14.14" personId="{163BB6B9-B723-4244-A02B-D203858A4BD4}" id="{3EDD0EA6-F5DD-4A25-B1DD-87B2E2A389CE}" parentId="{3CBB640E-CE8B-48C6-A4DC-61CAA140CB66}">
    <text>Moyenne</text>
  </threadedComment>
  <threadedComment ref="BH11" dT="2024-03-19T03:27:37.31" personId="{163BB6B9-B723-4244-A02B-D203858A4BD4}" id="{51421915-B699-46B6-A191-EF62A1366A3F}" parentId="{3CBB640E-CE8B-48C6-A4DC-61CAA140CB66}">
    <text>Moyenne</text>
  </threadedComment>
  <threadedComment ref="BJ11" dT="2024-03-19T03:23:13.63" personId="{163BB6B9-B723-4244-A02B-D203858A4BD4}" id="{9C51EE1B-5DC5-4349-920B-A80894B3B69B}">
    <text>Moyenne</text>
  </threadedComment>
  <threadedComment ref="BL11" dT="2024-03-19T03:27:27.43" personId="{163BB6B9-B723-4244-A02B-D203858A4BD4}" id="{D6555B02-5C09-4905-B07C-EF1B6C5B84DB}">
    <text>Moyenne</text>
  </threadedComment>
  <threadedComment ref="BL11" dT="2024-03-19T03:30:31.26" personId="{163BB6B9-B723-4244-A02B-D203858A4BD4}" id="{EC874401-2111-4CF4-B104-A121C21FB747}" parentId="{D6555B02-5C09-4905-B07C-EF1B6C5B84DB}">
    <text>Moyenne</text>
  </threadedComment>
  <threadedComment ref="BN11" dT="2024-03-19T03:30:19.03" personId="{163BB6B9-B723-4244-A02B-D203858A4BD4}" id="{D2908705-9A34-4CE6-AA4C-CC27A744CC1F}">
    <text xml:space="preserve">Moyenne
</text>
  </threadedComment>
  <threadedComment ref="BP11" dT="2024-03-19T03:32:25.34" personId="{163BB6B9-B723-4244-A02B-D203858A4BD4}" id="{E96ED23C-526B-4D2B-B5F4-685DF9919957}">
    <text>Moyenne</text>
  </threadedComment>
  <threadedComment ref="BR11" dT="2024-03-19T03:34:37.99" personId="{163BB6B9-B723-4244-A02B-D203858A4BD4}" id="{2F5A0ACD-14C6-448B-A3E3-189F646CDE88}">
    <text>Moyenne</text>
  </threadedComment>
  <threadedComment ref="BT11" dT="2024-03-19T03:36:37.15" personId="{163BB6B9-B723-4244-A02B-D203858A4BD4}" id="{BCA56E8A-50FF-4349-8863-A58F2B78E81E}">
    <text>Moyenne</text>
  </threadedComment>
  <threadedComment ref="BV11" dT="2024-03-19T03:38:39.98" personId="{163BB6B9-B723-4244-A02B-D203858A4BD4}" id="{B41C1DB4-43F7-4B9C-BA7D-436489D242F7}">
    <text>Moyenne</text>
  </threadedComment>
  <threadedComment ref="BX11" dT="2024-03-19T03:41:01.16" personId="{163BB6B9-B723-4244-A02B-D203858A4BD4}" id="{DC61383F-5054-44E6-917B-B1DA946E6EEA}">
    <text>Moyenne</text>
  </threadedComment>
  <threadedComment ref="BZ11" dT="2024-03-19T03:43:17.83" personId="{163BB6B9-B723-4244-A02B-D203858A4BD4}" id="{7CE62977-8A60-4616-AF75-3725E35B2863}">
    <text>Moyenne</text>
  </threadedComment>
  <threadedComment ref="CB11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18"/>
  <sheetViews>
    <sheetView workbookViewId="0">
      <pane ySplit="1" topLeftCell="A2" activePane="bottomLeft" state="frozen"/>
      <selection pane="bottomLeft" sqref="A1:XFD1048576"/>
    </sheetView>
  </sheetViews>
  <sheetFormatPr baseColWidth="10" defaultColWidth="11.28515625" defaultRowHeight="15" x14ac:dyDescent="0.25"/>
  <cols>
    <col min="1" max="1" width="10.42578125" style="12" bestFit="1" customWidth="1"/>
    <col min="2" max="2" width="13" style="13" bestFit="1" customWidth="1"/>
    <col min="3" max="3" width="14.140625" style="13" bestFit="1" customWidth="1"/>
    <col min="4" max="4" width="27.85546875" style="14" bestFit="1" customWidth="1"/>
    <col min="5" max="5" width="2.42578125" style="14" customWidth="1"/>
    <col min="6" max="6" width="19" style="13" bestFit="1" customWidth="1"/>
    <col min="7" max="7" width="15.85546875" style="13" bestFit="1" customWidth="1"/>
    <col min="8" max="8" width="24.5703125" style="13" bestFit="1" customWidth="1"/>
    <col min="9" max="9" width="30.5703125" style="13" hidden="1" customWidth="1"/>
    <col min="10" max="10" width="11" style="14" bestFit="1" customWidth="1"/>
    <col min="11" max="11" width="13.140625" style="13" bestFit="1" customWidth="1"/>
    <col min="12" max="12" width="27.85546875" style="13" bestFit="1" customWidth="1"/>
    <col min="13" max="13" width="9.28515625" style="14" bestFit="1" customWidth="1"/>
    <col min="14" max="15" width="5.28515625" style="13" hidden="1" customWidth="1"/>
    <col min="16" max="16" width="13" style="13" bestFit="1" customWidth="1"/>
    <col min="17" max="17" width="37.140625" style="13" bestFit="1" customWidth="1"/>
    <col min="18" max="18" width="41.28515625" style="13" bestFit="1" customWidth="1"/>
    <col min="19" max="19" width="15" style="14" bestFit="1" customWidth="1"/>
    <col min="20" max="20" width="19.140625" style="14" bestFit="1" customWidth="1"/>
    <col min="21" max="21" width="43.28515625" style="14" bestFit="1" customWidth="1"/>
    <col min="22" max="22" width="47.42578125" style="14" bestFit="1" customWidth="1"/>
    <col min="23" max="23" width="15" style="14" bestFit="1" customWidth="1"/>
    <col min="24" max="24" width="19.140625" style="14" bestFit="1" customWidth="1"/>
    <col min="25" max="25" width="43.28515625" style="14" bestFit="1" customWidth="1"/>
    <col min="26" max="26" width="47.42578125" style="14" bestFit="1" customWidth="1"/>
    <col min="27" max="27" width="15" style="14" bestFit="1" customWidth="1"/>
    <col min="28" max="28" width="19.140625" style="14" bestFit="1" customWidth="1"/>
    <col min="29" max="29" width="43.28515625" style="14" bestFit="1" customWidth="1"/>
    <col min="30" max="30" width="47.42578125" style="14" bestFit="1" customWidth="1"/>
    <col min="31" max="31" width="15" style="14" bestFit="1" customWidth="1"/>
    <col min="32" max="32" width="19.140625" style="14" bestFit="1" customWidth="1"/>
    <col min="33" max="33" width="43.28515625" style="14" bestFit="1" customWidth="1"/>
    <col min="34" max="34" width="47.42578125" style="14" bestFit="1" customWidth="1"/>
    <col min="35" max="35" width="15" style="14" bestFit="1" customWidth="1"/>
    <col min="36" max="36" width="19.140625" style="14" bestFit="1" customWidth="1"/>
    <col min="37" max="37" width="43.28515625" style="14" bestFit="1" customWidth="1"/>
    <col min="38" max="38" width="47.42578125" style="14" bestFit="1" customWidth="1"/>
    <col min="39" max="39" width="15" style="14" bestFit="1" customWidth="1"/>
    <col min="40" max="40" width="19.140625" style="14" bestFit="1" customWidth="1"/>
    <col min="41" max="41" width="43.28515625" style="14" bestFit="1" customWidth="1"/>
    <col min="42" max="42" width="47.42578125" style="14" bestFit="1" customWidth="1"/>
    <col min="43" max="43" width="15" style="14" bestFit="1" customWidth="1"/>
    <col min="44" max="44" width="19.140625" style="14" bestFit="1" customWidth="1"/>
    <col min="45" max="45" width="43.28515625" style="14" bestFit="1" customWidth="1"/>
    <col min="46" max="46" width="47.42578125" style="14" bestFit="1" customWidth="1"/>
    <col min="47" max="47" width="15" style="14" bestFit="1" customWidth="1"/>
    <col min="48" max="48" width="19.140625" style="14" bestFit="1" customWidth="1"/>
    <col min="49" max="49" width="43.28515625" style="14" bestFit="1" customWidth="1"/>
    <col min="50" max="50" width="47.42578125" style="14" bestFit="1" customWidth="1"/>
    <col min="51" max="51" width="15" style="14" bestFit="1" customWidth="1"/>
    <col min="52" max="52" width="19.140625" style="14" bestFit="1" customWidth="1"/>
    <col min="53" max="53" width="43.28515625" style="14" bestFit="1" customWidth="1"/>
    <col min="54" max="54" width="47.42578125" style="14" bestFit="1" customWidth="1"/>
    <col min="55" max="55" width="15" style="14" bestFit="1" customWidth="1"/>
    <col min="56" max="56" width="19.140625" style="14" bestFit="1" customWidth="1"/>
    <col min="57" max="57" width="43.28515625" style="13" bestFit="1" customWidth="1"/>
    <col min="58" max="58" width="45.140625" style="13" bestFit="1" customWidth="1"/>
    <col min="59" max="59" width="3.28515625" style="15" customWidth="1"/>
    <col min="60" max="60" width="11.5703125" style="15" hidden="1" customWidth="1"/>
    <col min="61" max="61" width="45.42578125" style="15" hidden="1" customWidth="1"/>
    <col min="62" max="62" width="23" style="15" hidden="1" customWidth="1"/>
    <col min="63" max="63" width="59.28515625" style="15" hidden="1" customWidth="1"/>
    <col min="64" max="64" width="17.42578125" style="15" hidden="1" customWidth="1"/>
    <col min="65" max="65" width="53.85546875" style="15" hidden="1" customWidth="1"/>
    <col min="66" max="66" width="17.140625" style="15" hidden="1" customWidth="1"/>
    <col min="67" max="67" width="53.42578125" style="15" hidden="1" customWidth="1"/>
    <col min="68" max="68" width="17.42578125" style="15" hidden="1" customWidth="1"/>
    <col min="69" max="69" width="53.85546875" style="15" hidden="1" customWidth="1"/>
    <col min="70" max="70" width="17.42578125" style="15" hidden="1" customWidth="1"/>
    <col min="71" max="71" width="53.85546875" style="15" hidden="1" customWidth="1"/>
    <col min="72" max="72" width="17.42578125" style="15" hidden="1" customWidth="1"/>
    <col min="73" max="73" width="53.85546875" style="15" hidden="1" customWidth="1"/>
    <col min="74" max="74" width="17.42578125" style="15" hidden="1" customWidth="1"/>
    <col min="75" max="75" width="53.85546875" style="15" hidden="1" customWidth="1"/>
    <col min="76" max="76" width="17.42578125" style="15" hidden="1" customWidth="1"/>
    <col min="77" max="77" width="53.85546875" style="15" hidden="1" customWidth="1"/>
    <col min="78" max="78" width="17.42578125" style="15" hidden="1" customWidth="1"/>
    <col min="79" max="79" width="53.85546875" style="15" hidden="1" customWidth="1"/>
    <col min="80" max="80" width="17.42578125" style="15" hidden="1" customWidth="1"/>
    <col min="81" max="81" width="53.85546875" style="15" hidden="1" customWidth="1"/>
    <col min="82" max="82" width="32.140625" style="15" hidden="1" customWidth="1"/>
    <col min="83" max="83" width="0" style="15" hidden="1" customWidth="1"/>
    <col min="84" max="16384" width="11.28515625" style="15"/>
  </cols>
  <sheetData>
    <row r="1" spans="1:83" s="10" customFormat="1" x14ac:dyDescent="0.25">
      <c r="A1" s="7" t="s">
        <v>0</v>
      </c>
      <c r="B1" s="8" t="s">
        <v>50</v>
      </c>
      <c r="C1" s="8" t="s">
        <v>51</v>
      </c>
      <c r="D1" s="9" t="s">
        <v>1</v>
      </c>
      <c r="E1" s="9"/>
      <c r="F1" s="8" t="s">
        <v>52</v>
      </c>
      <c r="G1" s="8" t="s">
        <v>53</v>
      </c>
      <c r="H1" s="8" t="s">
        <v>54</v>
      </c>
      <c r="I1" s="8" t="s">
        <v>2</v>
      </c>
      <c r="J1" s="9" t="s">
        <v>3</v>
      </c>
      <c r="K1" s="8" t="s">
        <v>4</v>
      </c>
      <c r="L1" s="9" t="s">
        <v>7</v>
      </c>
      <c r="M1" s="9" t="s">
        <v>19</v>
      </c>
      <c r="N1" s="8" t="s">
        <v>6</v>
      </c>
      <c r="O1" s="8" t="s">
        <v>6</v>
      </c>
      <c r="P1" s="9" t="s">
        <v>5</v>
      </c>
      <c r="Q1" s="8" t="s">
        <v>30</v>
      </c>
      <c r="R1" s="8" t="s">
        <v>18</v>
      </c>
      <c r="S1" s="9" t="s">
        <v>20</v>
      </c>
      <c r="T1" s="9" t="s">
        <v>8</v>
      </c>
      <c r="U1" s="8" t="s">
        <v>88</v>
      </c>
      <c r="V1" s="8" t="s">
        <v>78</v>
      </c>
      <c r="W1" s="9" t="s">
        <v>21</v>
      </c>
      <c r="X1" s="9" t="s">
        <v>9</v>
      </c>
      <c r="Y1" s="8" t="s">
        <v>89</v>
      </c>
      <c r="Z1" s="8" t="s">
        <v>79</v>
      </c>
      <c r="AA1" s="9" t="s">
        <v>22</v>
      </c>
      <c r="AB1" s="9" t="s">
        <v>10</v>
      </c>
      <c r="AC1" s="8" t="s">
        <v>90</v>
      </c>
      <c r="AD1" s="8" t="s">
        <v>80</v>
      </c>
      <c r="AE1" s="9" t="s">
        <v>23</v>
      </c>
      <c r="AF1" s="9" t="s">
        <v>11</v>
      </c>
      <c r="AG1" s="8" t="s">
        <v>91</v>
      </c>
      <c r="AH1" s="8" t="s">
        <v>81</v>
      </c>
      <c r="AI1" s="9" t="s">
        <v>24</v>
      </c>
      <c r="AJ1" s="9" t="s">
        <v>12</v>
      </c>
      <c r="AK1" s="8" t="s">
        <v>92</v>
      </c>
      <c r="AL1" s="8" t="s">
        <v>82</v>
      </c>
      <c r="AM1" s="9" t="s">
        <v>25</v>
      </c>
      <c r="AN1" s="9" t="s">
        <v>13</v>
      </c>
      <c r="AO1" s="8" t="s">
        <v>93</v>
      </c>
      <c r="AP1" s="8" t="s">
        <v>83</v>
      </c>
      <c r="AQ1" s="9" t="s">
        <v>26</v>
      </c>
      <c r="AR1" s="9" t="s">
        <v>14</v>
      </c>
      <c r="AS1" s="8" t="s">
        <v>94</v>
      </c>
      <c r="AT1" s="8" t="s">
        <v>84</v>
      </c>
      <c r="AU1" s="9" t="s">
        <v>27</v>
      </c>
      <c r="AV1" s="9" t="s">
        <v>15</v>
      </c>
      <c r="AW1" s="8" t="s">
        <v>95</v>
      </c>
      <c r="AX1" s="8" t="s">
        <v>85</v>
      </c>
      <c r="AY1" s="9" t="s">
        <v>28</v>
      </c>
      <c r="AZ1" s="9" t="s">
        <v>16</v>
      </c>
      <c r="BA1" s="8" t="s">
        <v>96</v>
      </c>
      <c r="BB1" s="8" t="s">
        <v>86</v>
      </c>
      <c r="BC1" s="9" t="s">
        <v>29</v>
      </c>
      <c r="BD1" s="9" t="s">
        <v>17</v>
      </c>
      <c r="BE1" s="8" t="s">
        <v>97</v>
      </c>
      <c r="BF1" s="8" t="s">
        <v>87</v>
      </c>
      <c r="BH1" s="10" t="s">
        <v>19</v>
      </c>
      <c r="BI1" s="10" t="s">
        <v>30</v>
      </c>
      <c r="BJ1" s="11" t="s">
        <v>20</v>
      </c>
      <c r="BK1" s="10" t="s">
        <v>88</v>
      </c>
      <c r="BL1" s="11" t="s">
        <v>21</v>
      </c>
      <c r="BM1" s="10" t="s">
        <v>89</v>
      </c>
      <c r="BN1" s="11" t="s">
        <v>22</v>
      </c>
      <c r="BO1" s="10" t="s">
        <v>90</v>
      </c>
      <c r="BP1" s="11" t="s">
        <v>23</v>
      </c>
      <c r="BQ1" s="10" t="s">
        <v>91</v>
      </c>
      <c r="BR1" s="11" t="s">
        <v>24</v>
      </c>
      <c r="BS1" s="10" t="s">
        <v>92</v>
      </c>
      <c r="BT1" s="11" t="s">
        <v>25</v>
      </c>
      <c r="BU1" s="10" t="s">
        <v>93</v>
      </c>
      <c r="BV1" s="11" t="s">
        <v>26</v>
      </c>
      <c r="BW1" s="10" t="s">
        <v>94</v>
      </c>
      <c r="BX1" s="11" t="s">
        <v>27</v>
      </c>
      <c r="BY1" s="10" t="s">
        <v>95</v>
      </c>
      <c r="BZ1" s="11" t="s">
        <v>28</v>
      </c>
      <c r="CA1" s="10" t="s">
        <v>96</v>
      </c>
      <c r="CB1" s="11" t="s">
        <v>29</v>
      </c>
      <c r="CC1" s="10" t="s">
        <v>97</v>
      </c>
      <c r="CD1" s="11" t="s">
        <v>3</v>
      </c>
      <c r="CE1" s="10" t="s">
        <v>6</v>
      </c>
    </row>
    <row r="2" spans="1:83" x14ac:dyDescent="0.25">
      <c r="A2" s="12">
        <v>43913</v>
      </c>
      <c r="B2" s="13">
        <v>133.22</v>
      </c>
      <c r="C2" s="13">
        <v>-9.0027322404371626E-2</v>
      </c>
      <c r="D2" s="14">
        <v>9.646422257646918E-2</v>
      </c>
      <c r="F2" s="13">
        <v>7.6414952709803391E-2</v>
      </c>
      <c r="G2" s="13">
        <v>-9.0027322404371626E-2</v>
      </c>
      <c r="H2" s="13">
        <v>-4.2323542879570866E-2</v>
      </c>
      <c r="I2" s="14">
        <v>9.646422257646918E-2</v>
      </c>
      <c r="J2" s="14">
        <v>66.205000699999999</v>
      </c>
      <c r="K2" s="13">
        <v>45.214509014035059</v>
      </c>
      <c r="L2" s="14">
        <v>20.99049168596494</v>
      </c>
      <c r="M2" s="14">
        <v>9.646422257646918E-2</v>
      </c>
      <c r="N2" s="13" t="b">
        <v>1</v>
      </c>
      <c r="O2" s="13" t="b">
        <v>1</v>
      </c>
      <c r="P2" s="14">
        <v>-0.10538955245445754</v>
      </c>
      <c r="Q2" s="13">
        <v>2.0248314619844479</v>
      </c>
      <c r="R2" s="13">
        <v>-2.2121785245828569</v>
      </c>
      <c r="S2" s="14">
        <v>1.6987292566922114E-2</v>
      </c>
      <c r="T2" s="14">
        <v>-4.9289412116588667E-3</v>
      </c>
      <c r="U2" s="13">
        <v>0.35657162339303267</v>
      </c>
      <c r="V2" s="13">
        <v>-0.1034608995239354</v>
      </c>
      <c r="W2" s="14">
        <v>1.0154784757221319E-2</v>
      </c>
      <c r="X2" s="14">
        <v>-5.1828275443348854E-3</v>
      </c>
      <c r="Y2" s="13">
        <v>0.21315392501921759</v>
      </c>
      <c r="Z2" s="13">
        <v>-0.1087900984791515</v>
      </c>
      <c r="AA2" s="14">
        <v>1.7143712440832329E-3</v>
      </c>
      <c r="AB2" s="14">
        <v>-8.3667689322941517E-3</v>
      </c>
      <c r="AC2" s="13">
        <v>3.5985495345586475E-2</v>
      </c>
      <c r="AD2" s="13">
        <v>-0.17562259371171016</v>
      </c>
      <c r="AE2" s="14">
        <v>1.7143029900145183E-3</v>
      </c>
      <c r="AF2" s="14">
        <v>-9.3807704476391168E-3</v>
      </c>
      <c r="AG2" s="13">
        <v>3.5984062659124585E-2</v>
      </c>
      <c r="AH2" s="13">
        <v>-0.1969069840891145</v>
      </c>
      <c r="AI2" s="14">
        <v>1.0154696726914058E-2</v>
      </c>
      <c r="AJ2" s="14">
        <v>-9.8532850188015626E-3</v>
      </c>
      <c r="AK2" s="13">
        <v>0.21315207721978494</v>
      </c>
      <c r="AL2" s="13">
        <v>-0.2068252972665971</v>
      </c>
      <c r="AM2" s="14">
        <v>1.7143928043252482E-3</v>
      </c>
      <c r="AN2" s="14">
        <v>-4.2560109412060169E-3</v>
      </c>
      <c r="AO2" s="13">
        <v>3.598594790566724E-2</v>
      </c>
      <c r="AP2" s="13">
        <v>-8.9335762276760725E-2</v>
      </c>
      <c r="AQ2" s="14">
        <v>1.7143413319869408E-3</v>
      </c>
      <c r="AR2" s="14">
        <v>-1.2885692442079022E-2</v>
      </c>
      <c r="AS2" s="13">
        <v>3.5984867475977941E-2</v>
      </c>
      <c r="AT2" s="13">
        <v>-0.270477020073361</v>
      </c>
      <c r="AU2" s="14">
        <v>1.9058173496233594E-2</v>
      </c>
      <c r="AV2" s="14">
        <v>-2.6128404033923809E-2</v>
      </c>
      <c r="AW2" s="13">
        <v>0.40004043232236863</v>
      </c>
      <c r="AX2" s="13">
        <v>-0.54844804764161048</v>
      </c>
      <c r="AY2" s="14">
        <v>2.3097021275098609E-2</v>
      </c>
      <c r="AZ2" s="14">
        <v>-1.6409397541994872E-2</v>
      </c>
      <c r="BA2" s="13">
        <v>0.48481783304551268</v>
      </c>
      <c r="BB2" s="13">
        <v>-0.34444132267693689</v>
      </c>
      <c r="BC2" s="14">
        <v>1.0154845383669462E-2</v>
      </c>
      <c r="BD2" s="14">
        <v>-7.9974543405251439E-3</v>
      </c>
      <c r="BE2" s="13">
        <v>0.21315519759817328</v>
      </c>
      <c r="BF2" s="13">
        <v>-0.16787049884367725</v>
      </c>
      <c r="BH2" s="16">
        <v>9.646422257646918E-2</v>
      </c>
      <c r="BI2" s="15">
        <v>2.0248314619844479</v>
      </c>
      <c r="BJ2" s="16">
        <v>1.6987292566922114E-2</v>
      </c>
      <c r="BK2" s="15">
        <v>0.35657162339303267</v>
      </c>
      <c r="BL2" s="16">
        <v>1.0154784757221319E-2</v>
      </c>
      <c r="BM2" s="15">
        <v>0.21315392501921759</v>
      </c>
      <c r="BN2" s="16">
        <v>1.7143712440832329E-3</v>
      </c>
      <c r="BO2" s="15">
        <v>3.5985495345586475E-2</v>
      </c>
      <c r="BP2" s="16">
        <v>1.7143029900145183E-3</v>
      </c>
      <c r="BQ2" s="15">
        <v>3.5984062659124585E-2</v>
      </c>
      <c r="BR2" s="16">
        <v>1.0154696726914058E-2</v>
      </c>
      <c r="BS2" s="15">
        <v>0.21315207721978494</v>
      </c>
      <c r="BT2" s="16">
        <v>1.7143928043252482E-3</v>
      </c>
      <c r="BU2" s="15">
        <v>3.598594790566724E-2</v>
      </c>
      <c r="BV2" s="16">
        <v>1.7143413319869408E-3</v>
      </c>
      <c r="BW2" s="15">
        <v>3.5984867475977941E-2</v>
      </c>
      <c r="BX2" s="16">
        <v>1.9058173496233594E-2</v>
      </c>
      <c r="BY2" s="15">
        <v>0.40004043232236863</v>
      </c>
      <c r="BZ2" s="16">
        <v>2.3097021275098609E-2</v>
      </c>
      <c r="CA2" s="15">
        <v>0.48481783304551268</v>
      </c>
      <c r="CB2" s="16">
        <v>1.0154845383669462E-2</v>
      </c>
      <c r="CC2" s="15">
        <v>0.21315519759817328</v>
      </c>
      <c r="CD2" s="16">
        <v>66.205000699999999</v>
      </c>
      <c r="CE2" s="15" t="b">
        <v>1</v>
      </c>
    </row>
    <row r="3" spans="1:83" x14ac:dyDescent="0.25">
      <c r="A3" s="12">
        <v>43910</v>
      </c>
      <c r="B3" s="13">
        <v>146.4</v>
      </c>
      <c r="C3" s="13">
        <v>-4.2323542879570866E-2</v>
      </c>
      <c r="D3" s="14">
        <v>-0.26341802316407364</v>
      </c>
      <c r="F3" s="13">
        <v>-9.0027322404371626E-2</v>
      </c>
      <c r="G3" s="13">
        <v>-4.2323542879570866E-2</v>
      </c>
      <c r="H3" s="13">
        <v>5.6023763470572079E-2</v>
      </c>
      <c r="I3" s="14">
        <v>-0.26341802316407364</v>
      </c>
      <c r="J3" s="14">
        <v>63.795000499999993</v>
      </c>
      <c r="K3" s="13">
        <v>45.214509014035059</v>
      </c>
      <c r="L3" s="14">
        <v>18.580491485964934</v>
      </c>
      <c r="M3" s="14">
        <v>-0.26341802316407364</v>
      </c>
      <c r="N3" s="13" t="b">
        <v>1</v>
      </c>
      <c r="O3" s="13" t="b">
        <v>1</v>
      </c>
      <c r="P3" s="14">
        <v>9.646422257646918E-2</v>
      </c>
      <c r="Q3" s="13">
        <v>-4.8944363366497843</v>
      </c>
      <c r="R3" s="13">
        <v>1.7923526662823119</v>
      </c>
      <c r="S3" s="14">
        <v>-5.5165897223910382E-3</v>
      </c>
      <c r="T3" s="14">
        <v>1.6987292566922114E-2</v>
      </c>
      <c r="U3" s="13">
        <v>-0.10250094836844835</v>
      </c>
      <c r="V3" s="13">
        <v>0.31563224490929176</v>
      </c>
      <c r="W3" s="14">
        <v>-5.5161054726054672E-3</v>
      </c>
      <c r="X3" s="14">
        <v>1.0154784757221319E-2</v>
      </c>
      <c r="Y3" s="13">
        <v>-0.10249195076943046</v>
      </c>
      <c r="Z3" s="13">
        <v>0.1886808917233572</v>
      </c>
      <c r="AA3" s="14">
        <v>-5.516151605443196E-3</v>
      </c>
      <c r="AB3" s="14">
        <v>1.7143712440832329E-3</v>
      </c>
      <c r="AC3" s="13">
        <v>-0.10249280794022911</v>
      </c>
      <c r="AD3" s="13">
        <v>3.1853860304471619E-2</v>
      </c>
      <c r="AE3" s="14">
        <v>-5.5164068520862823E-3</v>
      </c>
      <c r="AF3" s="14">
        <v>1.7143029900145183E-3</v>
      </c>
      <c r="AG3" s="13">
        <v>-0.10249755054830779</v>
      </c>
      <c r="AH3" s="13">
        <v>3.1852592110328988E-2</v>
      </c>
      <c r="AI3" s="14">
        <v>-3.1125739688332953E-2</v>
      </c>
      <c r="AJ3" s="14">
        <v>1.0154696726914058E-2</v>
      </c>
      <c r="AK3" s="13">
        <v>-0.57833154127343123</v>
      </c>
      <c r="AL3" s="13">
        <v>0.18867925607698263</v>
      </c>
      <c r="AM3" s="14">
        <v>-5.5163963680913706E-3</v>
      </c>
      <c r="AN3" s="14">
        <v>1.7143928043252482E-3</v>
      </c>
      <c r="AO3" s="13">
        <v>-0.1024973557505296</v>
      </c>
      <c r="AP3" s="13">
        <v>3.1854260904364821E-2</v>
      </c>
      <c r="AQ3" s="14">
        <v>-7.6246349875825695E-2</v>
      </c>
      <c r="AR3" s="14">
        <v>1.7143413319869408E-3</v>
      </c>
      <c r="AS3" s="13">
        <v>-1.4166946547036829</v>
      </c>
      <c r="AT3" s="13">
        <v>3.1853304523021139E-2</v>
      </c>
      <c r="AU3" s="14">
        <v>-3.0603370549948609E-2</v>
      </c>
      <c r="AV3" s="14">
        <v>1.9058173496233594E-2</v>
      </c>
      <c r="AW3" s="13">
        <v>-0.56862566594515018</v>
      </c>
      <c r="AX3" s="13">
        <v>0.35411023038481088</v>
      </c>
      <c r="AY3" s="14">
        <v>-6.7954531489377079E-2</v>
      </c>
      <c r="AZ3" s="14">
        <v>2.3097021275098609E-2</v>
      </c>
      <c r="BA3" s="13">
        <v>-1.2626285937711068</v>
      </c>
      <c r="BB3" s="13">
        <v>0.42915400715312069</v>
      </c>
      <c r="BC3" s="14">
        <v>-2.9906381539971726E-2</v>
      </c>
      <c r="BD3" s="14">
        <v>1.0154845383669462E-2</v>
      </c>
      <c r="BE3" s="13">
        <v>-0.55567526757946351</v>
      </c>
      <c r="BF3" s="13">
        <v>0.18868201819256075</v>
      </c>
      <c r="BH3" s="16">
        <v>-0.26341802316407364</v>
      </c>
      <c r="BI3" s="15">
        <v>-4.8944363366497843</v>
      </c>
      <c r="BJ3" s="16">
        <v>-5.5165897223910382E-3</v>
      </c>
      <c r="BK3" s="15">
        <v>-0.10250094836844835</v>
      </c>
      <c r="BL3" s="16">
        <v>-5.5161054726054672E-3</v>
      </c>
      <c r="BM3" s="15">
        <v>-0.10249195076943046</v>
      </c>
      <c r="BN3" s="16">
        <v>-5.516151605443196E-3</v>
      </c>
      <c r="BO3" s="15">
        <v>-0.10249280794022911</v>
      </c>
      <c r="BP3" s="16">
        <v>-5.5164068520862823E-3</v>
      </c>
      <c r="BQ3" s="15">
        <v>-0.10249755054830779</v>
      </c>
      <c r="BR3" s="16">
        <v>-3.1125739688332953E-2</v>
      </c>
      <c r="BS3" s="15">
        <v>-0.57833154127343123</v>
      </c>
      <c r="BT3" s="16">
        <v>-5.5163963680913706E-3</v>
      </c>
      <c r="BU3" s="15">
        <v>-0.1024973557505296</v>
      </c>
      <c r="BV3" s="16">
        <v>-7.6246349875825695E-2</v>
      </c>
      <c r="BW3" s="15">
        <v>-1.4166946547036829</v>
      </c>
      <c r="BX3" s="16">
        <v>-3.0603370549948609E-2</v>
      </c>
      <c r="BY3" s="15">
        <v>-0.56862566594515018</v>
      </c>
      <c r="BZ3" s="16">
        <v>-6.7954531489377079E-2</v>
      </c>
      <c r="CA3" s="15">
        <v>-1.2626285937711068</v>
      </c>
      <c r="CB3" s="16">
        <v>-2.9906381539971726E-2</v>
      </c>
      <c r="CC3" s="15">
        <v>-0.55567526757946351</v>
      </c>
      <c r="CD3" s="16">
        <v>63.795000499999993</v>
      </c>
      <c r="CE3" s="15" t="b">
        <v>1</v>
      </c>
    </row>
    <row r="4" spans="1:83" x14ac:dyDescent="0.25">
      <c r="A4" s="12">
        <v>43909</v>
      </c>
      <c r="B4" s="13">
        <v>152.87</v>
      </c>
      <c r="C4" s="13">
        <v>5.6023763470572079E-2</v>
      </c>
      <c r="D4" s="14">
        <v>-1.0060927661305124E-2</v>
      </c>
      <c r="F4" s="13">
        <v>-4.2323542879570866E-2</v>
      </c>
      <c r="G4" s="13">
        <v>5.6023763470572079E-2</v>
      </c>
      <c r="H4" s="13">
        <v>-5.0255871932817199E-2</v>
      </c>
      <c r="I4" s="14">
        <v>-1.0060927661305124E-2</v>
      </c>
      <c r="J4" s="14">
        <v>60.557000399999993</v>
      </c>
      <c r="K4" s="13">
        <v>45.214509014035059</v>
      </c>
      <c r="L4" s="14">
        <v>15.342491385964934</v>
      </c>
      <c r="M4" s="14">
        <v>-1.0060927661305124E-2</v>
      </c>
      <c r="N4" s="13" t="b">
        <v>1</v>
      </c>
      <c r="O4" s="13" t="b">
        <v>1</v>
      </c>
      <c r="P4" s="14">
        <v>-0.26341802316407364</v>
      </c>
      <c r="Q4" s="13">
        <v>-0.15435969597839019</v>
      </c>
      <c r="R4" s="13">
        <v>-4.0414887513027109</v>
      </c>
      <c r="S4" s="14">
        <v>-1.7128678152920237E-4</v>
      </c>
      <c r="T4" s="14">
        <v>-5.5165897223910382E-3</v>
      </c>
      <c r="U4" s="13">
        <v>-2.6279659701414449E-3</v>
      </c>
      <c r="V4" s="13">
        <v>-8.4638230295687192E-2</v>
      </c>
      <c r="W4" s="14">
        <v>-1.712852538570524E-4</v>
      </c>
      <c r="X4" s="14">
        <v>-5.5161054726054672E-3</v>
      </c>
      <c r="Y4" s="13">
        <v>-2.6279425318446433E-3</v>
      </c>
      <c r="Z4" s="13">
        <v>-8.4630800697523406E-2</v>
      </c>
      <c r="AA4" s="14">
        <v>-1.7174013778191975E-3</v>
      </c>
      <c r="AB4" s="14">
        <v>-5.516151605443196E-3</v>
      </c>
      <c r="AC4" s="13">
        <v>-2.6349215845435345E-2</v>
      </c>
      <c r="AD4" s="13">
        <v>-8.463150849018887E-2</v>
      </c>
      <c r="AE4" s="14">
        <v>-5.4721930099223639E-4</v>
      </c>
      <c r="AF4" s="14">
        <v>-5.5164068520862823E-3</v>
      </c>
      <c r="AG4" s="13">
        <v>-8.3957074117071394E-3</v>
      </c>
      <c r="AH4" s="13">
        <v>-8.4635424609611723E-2</v>
      </c>
      <c r="AI4" s="14">
        <v>-5.5334374741527613E-4</v>
      </c>
      <c r="AJ4" s="14">
        <v>-3.1125739688332953E-2</v>
      </c>
      <c r="AK4" s="13">
        <v>-8.4896716781964303E-3</v>
      </c>
      <c r="AL4" s="13">
        <v>-0.47754639305003521</v>
      </c>
      <c r="AM4" s="14">
        <v>-8.5723562444324324E-4</v>
      </c>
      <c r="AN4" s="14">
        <v>-5.5163963680913706E-3</v>
      </c>
      <c r="AO4" s="13">
        <v>-1.315213018376273E-2</v>
      </c>
      <c r="AP4" s="13">
        <v>-8.4635263759010093E-2</v>
      </c>
      <c r="AQ4" s="14">
        <v>-9.7158339352527024E-4</v>
      </c>
      <c r="AR4" s="14">
        <v>-7.6246349875825695E-2</v>
      </c>
      <c r="AS4" s="13">
        <v>-1.4906509845908036E-2</v>
      </c>
      <c r="AT4" s="13">
        <v>-1.1698089661811242</v>
      </c>
      <c r="AU4" s="14">
        <v>-3.015089558501223E-3</v>
      </c>
      <c r="AV4" s="14">
        <v>-3.0603370549948609E-2</v>
      </c>
      <c r="AW4" s="13">
        <v>-4.6258985579217829E-2</v>
      </c>
      <c r="AX4" s="13">
        <v>-0.46953194904407947</v>
      </c>
      <c r="AY4" s="14">
        <v>-1.0849323223291307E-3</v>
      </c>
      <c r="AZ4" s="14">
        <v>-6.7954531489377079E-2</v>
      </c>
      <c r="BA4" s="13">
        <v>-1.6645564809689619E-2</v>
      </c>
      <c r="BB4" s="13">
        <v>-1.0425918140130506</v>
      </c>
      <c r="BC4" s="14">
        <v>-9.7155030089328301E-4</v>
      </c>
      <c r="BD4" s="14">
        <v>-2.9906381539971726E-2</v>
      </c>
      <c r="BE4" s="13">
        <v>-1.4906002122486835E-2</v>
      </c>
      <c r="BF4" s="13">
        <v>-0.45883840116239694</v>
      </c>
      <c r="BH4" s="16">
        <v>-1.0060927661305124E-2</v>
      </c>
      <c r="BI4" s="15">
        <v>-0.15435969597839019</v>
      </c>
      <c r="BJ4" s="16">
        <v>-1.7128678152920237E-4</v>
      </c>
      <c r="BK4" s="15">
        <v>-2.6279659701414449E-3</v>
      </c>
      <c r="BL4" s="16">
        <v>-1.712852538570524E-4</v>
      </c>
      <c r="BM4" s="15">
        <v>-2.6279425318446433E-3</v>
      </c>
      <c r="BN4" s="16">
        <v>-1.7174013778191975E-3</v>
      </c>
      <c r="BO4" s="15">
        <v>-2.6349215845435345E-2</v>
      </c>
      <c r="BP4" s="16">
        <v>-5.4721930099223639E-4</v>
      </c>
      <c r="BQ4" s="15">
        <v>-8.3957074117071394E-3</v>
      </c>
      <c r="BR4" s="16">
        <v>-5.5334374741527613E-4</v>
      </c>
      <c r="BS4" s="15">
        <v>-8.4896716781964303E-3</v>
      </c>
      <c r="BT4" s="16">
        <v>-8.5723562444324324E-4</v>
      </c>
      <c r="BU4" s="15">
        <v>-1.315213018376273E-2</v>
      </c>
      <c r="BV4" s="16">
        <v>-9.7158339352527024E-4</v>
      </c>
      <c r="BW4" s="15">
        <v>-1.4906509845908036E-2</v>
      </c>
      <c r="BX4" s="16">
        <v>-3.015089558501223E-3</v>
      </c>
      <c r="BY4" s="15">
        <v>-4.6258985579217829E-2</v>
      </c>
      <c r="BZ4" s="16">
        <v>-1.0849323223291307E-3</v>
      </c>
      <c r="CA4" s="15">
        <v>-1.6645564809689619E-2</v>
      </c>
      <c r="CB4" s="16">
        <v>-9.7155030089328301E-4</v>
      </c>
      <c r="CC4" s="15">
        <v>-1.4906002122486835E-2</v>
      </c>
      <c r="CD4" s="16">
        <v>60.557000399999993</v>
      </c>
      <c r="CE4" s="15" t="b">
        <v>1</v>
      </c>
    </row>
    <row r="5" spans="1:83" x14ac:dyDescent="0.25">
      <c r="A5" s="12">
        <v>43908</v>
      </c>
      <c r="B5" s="13">
        <v>144.76</v>
      </c>
      <c r="C5" s="13">
        <v>-5.0255871932817199E-2</v>
      </c>
      <c r="D5" s="14">
        <v>-0.20595118422061204</v>
      </c>
      <c r="F5" s="13">
        <v>5.6023763470572079E-2</v>
      </c>
      <c r="G5" s="13">
        <v>-5.0255871932817199E-2</v>
      </c>
      <c r="H5" s="13">
        <v>5.9944367176634046E-2</v>
      </c>
      <c r="I5" s="14">
        <v>-0.20595118422061204</v>
      </c>
      <c r="J5" s="14">
        <v>56.111000699999998</v>
      </c>
      <c r="K5" s="13">
        <v>45.214509014035059</v>
      </c>
      <c r="L5" s="14">
        <v>10.896491685964939</v>
      </c>
      <c r="M5" s="14">
        <v>-0.20595118422061204</v>
      </c>
      <c r="N5" s="13" t="b">
        <v>1</v>
      </c>
      <c r="O5" s="13" t="b">
        <v>1</v>
      </c>
      <c r="P5" s="14">
        <v>-1.0060927661305124E-2</v>
      </c>
      <c r="Q5" s="13">
        <v>-2.2441453665745326</v>
      </c>
      <c r="R5" s="13">
        <v>-0.10962881461450596</v>
      </c>
      <c r="S5" s="14">
        <v>-3.4952245618801718E-2</v>
      </c>
      <c r="T5" s="14">
        <v>-1.7128678152920237E-4</v>
      </c>
      <c r="U5" s="13">
        <v>-0.38085685379107737</v>
      </c>
      <c r="V5" s="13">
        <v>-1.8664249908486466E-3</v>
      </c>
      <c r="W5" s="14">
        <v>-4.0604122122646939E-3</v>
      </c>
      <c r="X5" s="14">
        <v>-1.712852538570524E-4</v>
      </c>
      <c r="Y5" s="13">
        <v>-4.4244247912532744E-2</v>
      </c>
      <c r="Z5" s="13">
        <v>-1.8664083445817654E-3</v>
      </c>
      <c r="AA5" s="14">
        <v>-4.060510748992348E-3</v>
      </c>
      <c r="AB5" s="14">
        <v>-1.7174013778191975E-3</v>
      </c>
      <c r="AC5" s="13">
        <v>-4.4245321617166392E-2</v>
      </c>
      <c r="AD5" s="13">
        <v>-1.8713649834871619E-2</v>
      </c>
      <c r="AE5" s="14">
        <v>-4.0604921100579018E-3</v>
      </c>
      <c r="AF5" s="14">
        <v>-5.4721930099223639E-4</v>
      </c>
      <c r="AG5" s="13">
        <v>-4.4245118518172158E-2</v>
      </c>
      <c r="AH5" s="13">
        <v>-5.9627705636614492E-3</v>
      </c>
      <c r="AI5" s="14">
        <v>-3.9365741618549478E-2</v>
      </c>
      <c r="AJ5" s="14">
        <v>-5.5334374741527613E-4</v>
      </c>
      <c r="AK5" s="13">
        <v>-0.42894847625836841</v>
      </c>
      <c r="AL5" s="13">
        <v>-6.0295055431912395E-3</v>
      </c>
      <c r="AM5" s="14">
        <v>-4.0604791192614649E-3</v>
      </c>
      <c r="AN5" s="14">
        <v>-8.5723562444324324E-4</v>
      </c>
      <c r="AO5" s="13">
        <v>-4.424497696406679E-2</v>
      </c>
      <c r="AP5" s="13">
        <v>-9.3408608546587633E-3</v>
      </c>
      <c r="AQ5" s="14">
        <v>-4.0606005889795901E-3</v>
      </c>
      <c r="AR5" s="14">
        <v>-9.7158339352527024E-4</v>
      </c>
      <c r="AS5" s="13">
        <v>-4.4246300557840436E-2</v>
      </c>
      <c r="AT5" s="13">
        <v>-1.058685036976971E-2</v>
      </c>
      <c r="AU5" s="14">
        <v>-7.2317028773303788E-2</v>
      </c>
      <c r="AV5" s="14">
        <v>-3.015089558501223E-3</v>
      </c>
      <c r="AW5" s="13">
        <v>-0.788001902781992</v>
      </c>
      <c r="AX5" s="13">
        <v>-3.2853898306648276E-2</v>
      </c>
      <c r="AY5" s="14">
        <v>-3.4953074805319354E-2</v>
      </c>
      <c r="AZ5" s="14">
        <v>-1.0849323223291307E-3</v>
      </c>
      <c r="BA5" s="13">
        <v>-0.3808658890150729</v>
      </c>
      <c r="BB5" s="13">
        <v>-1.1821956030094005E-2</v>
      </c>
      <c r="BC5" s="14">
        <v>-4.0605986250814904E-3</v>
      </c>
      <c r="BD5" s="14">
        <v>-9.7155030089328301E-4</v>
      </c>
      <c r="BE5" s="13">
        <v>-4.4246279158241121E-2</v>
      </c>
      <c r="BF5" s="13">
        <v>-1.0586489776180394E-2</v>
      </c>
      <c r="BH5" s="16">
        <v>-0.20595118422061204</v>
      </c>
      <c r="BI5" s="15">
        <v>-2.2441453665745326</v>
      </c>
      <c r="BJ5" s="16">
        <v>-3.4952245618801718E-2</v>
      </c>
      <c r="BK5" s="15">
        <v>-0.38085685379107737</v>
      </c>
      <c r="BL5" s="16">
        <v>-4.0604122122646939E-3</v>
      </c>
      <c r="BM5" s="15">
        <v>-4.4244247912532744E-2</v>
      </c>
      <c r="BN5" s="16">
        <v>-4.060510748992348E-3</v>
      </c>
      <c r="BO5" s="15">
        <v>-4.4245321617166392E-2</v>
      </c>
      <c r="BP5" s="16">
        <v>-4.0604921100579018E-3</v>
      </c>
      <c r="BQ5" s="15">
        <v>-4.4245118518172158E-2</v>
      </c>
      <c r="BR5" s="16">
        <v>-3.9365741618549478E-2</v>
      </c>
      <c r="BS5" s="15">
        <v>-0.42894847625836841</v>
      </c>
      <c r="BT5" s="16">
        <v>-4.0604791192614649E-3</v>
      </c>
      <c r="BU5" s="15">
        <v>-4.424497696406679E-2</v>
      </c>
      <c r="BV5" s="16">
        <v>-4.0606005889795901E-3</v>
      </c>
      <c r="BW5" s="15">
        <v>-4.4246300557840436E-2</v>
      </c>
      <c r="BX5" s="16">
        <v>-7.2317028773303788E-2</v>
      </c>
      <c r="BY5" s="15">
        <v>-0.788001902781992</v>
      </c>
      <c r="BZ5" s="16">
        <v>-3.4953074805319354E-2</v>
      </c>
      <c r="CA5" s="15">
        <v>-0.3808658890150729</v>
      </c>
      <c r="CB5" s="16">
        <v>-4.0605986250814904E-3</v>
      </c>
      <c r="CC5" s="15">
        <v>-4.4246279158241121E-2</v>
      </c>
      <c r="CD5" s="16">
        <v>56.111000699999998</v>
      </c>
      <c r="CE5" s="15" t="b">
        <v>1</v>
      </c>
    </row>
    <row r="6" spans="1:83" x14ac:dyDescent="0.25">
      <c r="A6" s="12">
        <v>43907</v>
      </c>
      <c r="B6" s="13">
        <v>152.41999999999999</v>
      </c>
      <c r="C6" s="13">
        <v>5.9944367176634046E-2</v>
      </c>
      <c r="D6" s="14">
        <v>-0.11883065734918301</v>
      </c>
      <c r="F6" s="13">
        <v>-5.0255871932817199E-2</v>
      </c>
      <c r="G6" s="13">
        <v>5.9944367176634046E-2</v>
      </c>
      <c r="H6" s="13">
        <v>-0.10001251721116529</v>
      </c>
      <c r="I6" s="14">
        <v>-0.11883065734918301</v>
      </c>
      <c r="J6" s="14">
        <v>52.202000299999995</v>
      </c>
      <c r="K6" s="13">
        <v>45.214509014035059</v>
      </c>
      <c r="L6" s="14">
        <v>6.9874912859649356</v>
      </c>
      <c r="M6" s="14">
        <v>-0.11883065734918301</v>
      </c>
      <c r="N6" s="13" t="b">
        <v>1</v>
      </c>
      <c r="O6" s="13" t="b">
        <v>1</v>
      </c>
      <c r="P6" s="14">
        <v>-0.20595118422061204</v>
      </c>
      <c r="Q6" s="13">
        <v>-0.83032818273290143</v>
      </c>
      <c r="R6" s="13">
        <v>-1.4390821050756857</v>
      </c>
      <c r="S6" s="14">
        <v>-1.5805663897263415E-3</v>
      </c>
      <c r="T6" s="14">
        <v>-3.4952245618801718E-2</v>
      </c>
      <c r="U6" s="13">
        <v>-1.104419387510187E-2</v>
      </c>
      <c r="V6" s="13">
        <v>-0.2442285116862831</v>
      </c>
      <c r="W6" s="14">
        <v>-9.1976094424414557E-3</v>
      </c>
      <c r="X6" s="14">
        <v>-4.0604122122646939E-3</v>
      </c>
      <c r="Y6" s="13">
        <v>-6.4268215830768485E-2</v>
      </c>
      <c r="Z6" s="13">
        <v>-2.8372094950625155E-2</v>
      </c>
      <c r="AA6" s="14">
        <v>-1.7032330551087344E-2</v>
      </c>
      <c r="AB6" s="14">
        <v>-4.060510748992348E-3</v>
      </c>
      <c r="AC6" s="13">
        <v>-0.11901326130539716</v>
      </c>
      <c r="AD6" s="13">
        <v>-2.8372783475150987E-2</v>
      </c>
      <c r="AE6" s="14">
        <v>-9.8072255318507311E-3</v>
      </c>
      <c r="AF6" s="14">
        <v>-4.0604921100579018E-3</v>
      </c>
      <c r="AG6" s="13">
        <v>-6.8527902943299815E-2</v>
      </c>
      <c r="AH6" s="13">
        <v>-2.8372653235758962E-2</v>
      </c>
      <c r="AI6" s="14">
        <v>-9.959607717572691E-3</v>
      </c>
      <c r="AJ6" s="14">
        <v>-3.9365741618549478E-2</v>
      </c>
      <c r="AK6" s="13">
        <v>-6.9592672138168304E-2</v>
      </c>
      <c r="AL6" s="13">
        <v>-0.27506777652516168</v>
      </c>
      <c r="AM6" s="14">
        <v>-1.679730846981399E-2</v>
      </c>
      <c r="AN6" s="14">
        <v>-4.0604791192614649E-3</v>
      </c>
      <c r="AO6" s="13">
        <v>-0.11737104656049026</v>
      </c>
      <c r="AP6" s="13">
        <v>-2.8372562462682063E-2</v>
      </c>
      <c r="AQ6" s="14">
        <v>-3.8836145563617909E-3</v>
      </c>
      <c r="AR6" s="14">
        <v>-4.0606005889795901E-3</v>
      </c>
      <c r="AS6" s="13">
        <v>-2.7136722870624592E-2</v>
      </c>
      <c r="AT6" s="13">
        <v>-2.8373411231278969E-2</v>
      </c>
      <c r="AU6" s="14">
        <v>-2.5701972528234453E-2</v>
      </c>
      <c r="AV6" s="14">
        <v>-7.2317028773303788E-2</v>
      </c>
      <c r="AW6" s="13">
        <v>-0.17959230907314841</v>
      </c>
      <c r="AX6" s="13">
        <v>-0.50531460838033571</v>
      </c>
      <c r="AY6" s="14">
        <v>-1.5672602084948424E-2</v>
      </c>
      <c r="AZ6" s="14">
        <v>-3.4953074805319354E-2</v>
      </c>
      <c r="BA6" s="13">
        <v>-0.109512170496973</v>
      </c>
      <c r="BB6" s="13">
        <v>-0.24423430561984952</v>
      </c>
      <c r="BC6" s="14">
        <v>-9.1978200771456776E-3</v>
      </c>
      <c r="BD6" s="14">
        <v>-4.0605986250814904E-3</v>
      </c>
      <c r="BE6" s="13">
        <v>-6.4269687638928749E-2</v>
      </c>
      <c r="BF6" s="13">
        <v>-2.8373397508558114E-2</v>
      </c>
      <c r="BH6" s="16">
        <v>-0.11883065734918301</v>
      </c>
      <c r="BI6" s="15">
        <v>-0.83032818273290143</v>
      </c>
      <c r="BJ6" s="16">
        <v>-1.5805663897263415E-3</v>
      </c>
      <c r="BK6" s="15">
        <v>-1.104419387510187E-2</v>
      </c>
      <c r="BL6" s="16">
        <v>-9.1976094424414557E-3</v>
      </c>
      <c r="BM6" s="15">
        <v>-6.4268215830768485E-2</v>
      </c>
      <c r="BN6" s="16">
        <v>-1.7032330551087344E-2</v>
      </c>
      <c r="BO6" s="15">
        <v>-0.11901326130539716</v>
      </c>
      <c r="BP6" s="16">
        <v>-9.8072255318507311E-3</v>
      </c>
      <c r="BQ6" s="15">
        <v>-6.8527902943299815E-2</v>
      </c>
      <c r="BR6" s="16">
        <v>-9.959607717572691E-3</v>
      </c>
      <c r="BS6" s="15">
        <v>-6.9592672138168304E-2</v>
      </c>
      <c r="BT6" s="16">
        <v>-1.679730846981399E-2</v>
      </c>
      <c r="BU6" s="15">
        <v>-0.11737104656049026</v>
      </c>
      <c r="BV6" s="16">
        <v>-3.8836145563617909E-3</v>
      </c>
      <c r="BW6" s="15">
        <v>-2.7136722870624592E-2</v>
      </c>
      <c r="BX6" s="16">
        <v>-2.5701972528234453E-2</v>
      </c>
      <c r="BY6" s="15">
        <v>-0.17959230907314841</v>
      </c>
      <c r="BZ6" s="16">
        <v>-1.5672602084948424E-2</v>
      </c>
      <c r="CA6" s="15">
        <v>-0.109512170496973</v>
      </c>
      <c r="CB6" s="16">
        <v>-9.1978200771456776E-3</v>
      </c>
      <c r="CC6" s="15">
        <v>-6.4269687638928749E-2</v>
      </c>
      <c r="CD6" s="16">
        <v>52.202000299999995</v>
      </c>
      <c r="CE6" s="15" t="b">
        <v>1</v>
      </c>
    </row>
    <row r="7" spans="1:83" x14ac:dyDescent="0.25">
      <c r="A7" s="12">
        <v>43906</v>
      </c>
      <c r="B7" s="13">
        <v>143.80000000000001</v>
      </c>
      <c r="C7" s="13">
        <v>-0.10001251721116529</v>
      </c>
      <c r="D7" s="14">
        <v>3.1907220238021443E-2</v>
      </c>
      <c r="F7" s="13">
        <v>5.9944367176634046E-2</v>
      </c>
      <c r="G7" s="13">
        <v>-0.10001251721116529</v>
      </c>
      <c r="H7" s="13">
        <v>0.10904421461789414</v>
      </c>
      <c r="I7" s="14">
        <v>3.1907220238021443E-2</v>
      </c>
      <c r="J7" s="14">
        <v>47.274999899999997</v>
      </c>
      <c r="K7" s="13">
        <v>45.214509014035059</v>
      </c>
      <c r="L7" s="14">
        <v>2.0604908859649385</v>
      </c>
      <c r="M7" s="14">
        <v>3.1907220238021443E-2</v>
      </c>
      <c r="N7" s="13" t="b">
        <v>1</v>
      </c>
      <c r="O7" s="13" t="b">
        <v>1</v>
      </c>
      <c r="P7" s="14">
        <v>-0.11883065734918301</v>
      </c>
      <c r="Q7" s="13">
        <v>6.574453649691922E-2</v>
      </c>
      <c r="R7" s="13">
        <v>-0.24484948644121413</v>
      </c>
      <c r="S7" s="14">
        <v>5.8939209202283022E-4</v>
      </c>
      <c r="T7" s="14">
        <v>-1.5805663897263415E-3</v>
      </c>
      <c r="U7" s="13">
        <v>1.2144370338728499E-3</v>
      </c>
      <c r="V7" s="13">
        <v>-3.2567426406936335E-3</v>
      </c>
      <c r="W7" s="14">
        <v>5.8937331608311489E-4</v>
      </c>
      <c r="X7" s="14">
        <v>-9.1976094424414557E-3</v>
      </c>
      <c r="Y7" s="13">
        <v>1.2143983462201912E-3</v>
      </c>
      <c r="Z7" s="13">
        <v>-1.8951590428815678E-2</v>
      </c>
      <c r="AA7" s="14">
        <v>7.6543061057000065E-3</v>
      </c>
      <c r="AB7" s="14">
        <v>-1.7032330551087344E-2</v>
      </c>
      <c r="AC7" s="13">
        <v>1.5771627969180645E-2</v>
      </c>
      <c r="AD7" s="13">
        <v>-3.5094961867257649E-2</v>
      </c>
      <c r="AE7" s="14">
        <v>5.8939635393362661E-4</v>
      </c>
      <c r="AF7" s="14">
        <v>-9.8072255318507311E-3</v>
      </c>
      <c r="AG7" s="13">
        <v>1.2144458155012028E-3</v>
      </c>
      <c r="AH7" s="13">
        <v>-2.0207698824981076E-2</v>
      </c>
      <c r="AI7" s="14">
        <v>5.8933216228532193E-4</v>
      </c>
      <c r="AJ7" s="14">
        <v>-9.959607717572691E-3</v>
      </c>
      <c r="AK7" s="13">
        <v>1.214313549194916E-3</v>
      </c>
      <c r="AL7" s="13">
        <v>-2.0521680929844594E-2</v>
      </c>
      <c r="AM7" s="14">
        <v>5.8935239406168196E-4</v>
      </c>
      <c r="AN7" s="14">
        <v>-1.679730846981399E-2</v>
      </c>
      <c r="AO7" s="13">
        <v>1.2143552365857127E-3</v>
      </c>
      <c r="AP7" s="13">
        <v>-3.4610701010793395E-2</v>
      </c>
      <c r="AQ7" s="14">
        <v>4.3877431272858454E-3</v>
      </c>
      <c r="AR7" s="14">
        <v>-3.8836145563617909E-3</v>
      </c>
      <c r="AS7" s="13">
        <v>9.0409047237277815E-3</v>
      </c>
      <c r="AT7" s="13">
        <v>-8.0021523979842378E-3</v>
      </c>
      <c r="AU7" s="14">
        <v>8.2946416497291942E-3</v>
      </c>
      <c r="AV7" s="14">
        <v>-2.5701972528234453E-2</v>
      </c>
      <c r="AW7" s="13">
        <v>1.7091033521612186E-2</v>
      </c>
      <c r="AX7" s="13">
        <v>-5.2958680145748317E-2</v>
      </c>
      <c r="AY7" s="14">
        <v>8.0343301318900329E-3</v>
      </c>
      <c r="AZ7" s="14">
        <v>-1.5672602084948424E-2</v>
      </c>
      <c r="BA7" s="13">
        <v>1.6554664011592893E-2</v>
      </c>
      <c r="BB7" s="13">
        <v>-3.229325375539132E-2</v>
      </c>
      <c r="BC7" s="14">
        <v>5.8935290502975829E-4</v>
      </c>
      <c r="BD7" s="14">
        <v>-9.1978200771456776E-3</v>
      </c>
      <c r="BE7" s="13">
        <v>1.2143562894307769E-3</v>
      </c>
      <c r="BF7" s="13">
        <v>-1.8952024439703997E-2</v>
      </c>
      <c r="BH7" s="16">
        <v>3.1907220238021443E-2</v>
      </c>
      <c r="BI7" s="15">
        <v>6.574453649691922E-2</v>
      </c>
      <c r="BJ7" s="16">
        <v>5.8939209202283022E-4</v>
      </c>
      <c r="BK7" s="15">
        <v>1.2144370338728499E-3</v>
      </c>
      <c r="BL7" s="16">
        <v>5.8937331608311489E-4</v>
      </c>
      <c r="BM7" s="15">
        <v>1.2143983462201912E-3</v>
      </c>
      <c r="BN7" s="16">
        <v>7.6543061057000065E-3</v>
      </c>
      <c r="BO7" s="15">
        <v>1.5771627969180645E-2</v>
      </c>
      <c r="BP7" s="16">
        <v>5.8939635393362661E-4</v>
      </c>
      <c r="BQ7" s="15">
        <v>1.2144458155012028E-3</v>
      </c>
      <c r="BR7" s="16">
        <v>5.8933216228532193E-4</v>
      </c>
      <c r="BS7" s="15">
        <v>1.214313549194916E-3</v>
      </c>
      <c r="BT7" s="16">
        <v>5.8935239406168196E-4</v>
      </c>
      <c r="BU7" s="15">
        <v>1.2143552365857127E-3</v>
      </c>
      <c r="BV7" s="16">
        <v>4.3877431272858454E-3</v>
      </c>
      <c r="BW7" s="15">
        <v>9.0409047237277815E-3</v>
      </c>
      <c r="BX7" s="16">
        <v>8.2946416497291942E-3</v>
      </c>
      <c r="BY7" s="15">
        <v>1.7091033521612186E-2</v>
      </c>
      <c r="BZ7" s="16">
        <v>8.0343301318900329E-3</v>
      </c>
      <c r="CA7" s="15">
        <v>1.6554664011592893E-2</v>
      </c>
      <c r="CB7" s="16">
        <v>5.8935290502975829E-4</v>
      </c>
      <c r="CC7" s="15">
        <v>1.2143562894307769E-3</v>
      </c>
      <c r="CD7" s="16">
        <v>47.274999899999997</v>
      </c>
      <c r="CE7" s="15" t="b">
        <v>1</v>
      </c>
    </row>
    <row r="8" spans="1:83" x14ac:dyDescent="0.25">
      <c r="A8" s="12">
        <v>43903</v>
      </c>
      <c r="B8" s="13">
        <v>159.78</v>
      </c>
      <c r="C8" s="13">
        <v>0.10904421461789414</v>
      </c>
      <c r="D8" s="14">
        <v>-0.35427594827488063</v>
      </c>
      <c r="F8" s="13">
        <v>-0.10001251721116529</v>
      </c>
      <c r="G8" s="13">
        <v>0.10904421461789414</v>
      </c>
      <c r="H8" s="13">
        <v>-0.12721875567940874</v>
      </c>
      <c r="I8" s="14">
        <v>-0.35427594827488063</v>
      </c>
      <c r="J8" s="14">
        <v>45.502999800000012</v>
      </c>
      <c r="K8" s="13">
        <v>45.214509014035059</v>
      </c>
      <c r="L8" s="14">
        <v>0.28849078596495303</v>
      </c>
      <c r="M8" s="14">
        <v>-0.35427594827488063</v>
      </c>
      <c r="N8" s="13" t="b">
        <v>1</v>
      </c>
      <c r="O8" s="13" t="b">
        <v>1</v>
      </c>
      <c r="P8" s="14">
        <v>3.1907220238021443E-2</v>
      </c>
      <c r="Q8" s="13">
        <v>-0.10220534676629936</v>
      </c>
      <c r="R8" s="13">
        <v>9.2049390444236615E-3</v>
      </c>
      <c r="S8" s="14">
        <v>-5.525452737428084E-3</v>
      </c>
      <c r="T8" s="14">
        <v>5.8939209202283022E-4</v>
      </c>
      <c r="U8" s="13">
        <v>-1.5940422030328292E-3</v>
      </c>
      <c r="V8" s="13">
        <v>1.7003418786919422E-4</v>
      </c>
      <c r="W8" s="14">
        <v>-3.6524204180966004E-2</v>
      </c>
      <c r="X8" s="14">
        <v>5.8937331608311489E-4</v>
      </c>
      <c r="Y8" s="13">
        <v>-1.0536896370911306E-2</v>
      </c>
      <c r="Z8" s="13">
        <v>1.700287711835885E-4</v>
      </c>
      <c r="AA8" s="14">
        <v>-3.5048006093452558E-2</v>
      </c>
      <c r="AB8" s="14">
        <v>7.6543061057000065E-3</v>
      </c>
      <c r="AC8" s="13">
        <v>-1.0111026824404592E-2</v>
      </c>
      <c r="AD8" s="13">
        <v>2.2081967844497338E-3</v>
      </c>
      <c r="AE8" s="14">
        <v>-4.9581884882146952E-2</v>
      </c>
      <c r="AF8" s="14">
        <v>5.8939635393362661E-4</v>
      </c>
      <c r="AG8" s="13">
        <v>-1.4303916939274398E-2</v>
      </c>
      <c r="AH8" s="13">
        <v>1.7003541739118958E-4</v>
      </c>
      <c r="AI8" s="14">
        <v>-5.525438084170599E-3</v>
      </c>
      <c r="AJ8" s="14">
        <v>5.8933216228532193E-4</v>
      </c>
      <c r="AK8" s="13">
        <v>-1.5940379757030604E-3</v>
      </c>
      <c r="AL8" s="13">
        <v>1.7001689869211779E-4</v>
      </c>
      <c r="AM8" s="14">
        <v>-5.5255973379661205E-3</v>
      </c>
      <c r="AN8" s="14">
        <v>5.8935239406168196E-4</v>
      </c>
      <c r="AO8" s="13">
        <v>-1.5940839189556983E-3</v>
      </c>
      <c r="AP8" s="13">
        <v>1.7002273537318135E-4</v>
      </c>
      <c r="AQ8" s="14">
        <v>-3.0278119662312395E-2</v>
      </c>
      <c r="AR8" s="14">
        <v>4.3877431272858454E-3</v>
      </c>
      <c r="AS8" s="13">
        <v>-8.7349585389214016E-3</v>
      </c>
      <c r="AT8" s="13">
        <v>1.2658234634030144E-3</v>
      </c>
      <c r="AU8" s="14">
        <v>-0.10358093703118552</v>
      </c>
      <c r="AV8" s="14">
        <v>8.2946416497291942E-3</v>
      </c>
      <c r="AW8" s="13">
        <v>-2.9882145935113021E-2</v>
      </c>
      <c r="AX8" s="13">
        <v>2.3929276888280098E-3</v>
      </c>
      <c r="AY8" s="14">
        <v>-4.763828043313912E-2</v>
      </c>
      <c r="AZ8" s="14">
        <v>8.0343301318900329E-3</v>
      </c>
      <c r="BA8" s="13">
        <v>-1.3743204964175148E-2</v>
      </c>
      <c r="BB8" s="13">
        <v>2.3178302144508602E-3</v>
      </c>
      <c r="BC8" s="14">
        <v>-3.5048027832112895E-2</v>
      </c>
      <c r="BD8" s="14">
        <v>5.8935290502975829E-4</v>
      </c>
      <c r="BE8" s="13">
        <v>-1.0111033095807798E-2</v>
      </c>
      <c r="BF8" s="13">
        <v>1.7002288278276329E-4</v>
      </c>
      <c r="BH8" s="16">
        <v>-0.35427594827488063</v>
      </c>
      <c r="BI8" s="15">
        <v>-0.10220534676629936</v>
      </c>
      <c r="BJ8" s="16">
        <v>-5.525452737428084E-3</v>
      </c>
      <c r="BK8" s="15">
        <v>-1.5940422030328292E-3</v>
      </c>
      <c r="BL8" s="16">
        <v>-3.6524204180966004E-2</v>
      </c>
      <c r="BM8" s="15">
        <v>-1.0536896370911306E-2</v>
      </c>
      <c r="BN8" s="16">
        <v>-3.5048006093452558E-2</v>
      </c>
      <c r="BO8" s="15">
        <v>-1.0111026824404592E-2</v>
      </c>
      <c r="BP8" s="16">
        <v>-4.9581884882146952E-2</v>
      </c>
      <c r="BQ8" s="15">
        <v>-1.4303916939274398E-2</v>
      </c>
      <c r="BR8" s="16">
        <v>-5.525438084170599E-3</v>
      </c>
      <c r="BS8" s="15">
        <v>-1.5940379757030604E-3</v>
      </c>
      <c r="BT8" s="16">
        <v>-5.5255973379661205E-3</v>
      </c>
      <c r="BU8" s="15">
        <v>-1.5940839189556983E-3</v>
      </c>
      <c r="BV8" s="16">
        <v>-3.0278119662312395E-2</v>
      </c>
      <c r="BW8" s="15">
        <v>-8.7349585389214016E-3</v>
      </c>
      <c r="BX8" s="16">
        <v>-0.10358093703118552</v>
      </c>
      <c r="BY8" s="15">
        <v>-2.9882145935113021E-2</v>
      </c>
      <c r="BZ8" s="16">
        <v>-4.763828043313912E-2</v>
      </c>
      <c r="CA8" s="15">
        <v>-1.3743204964175148E-2</v>
      </c>
      <c r="CB8" s="16">
        <v>-3.5048027832112895E-2</v>
      </c>
      <c r="CC8" s="15">
        <v>-1.0111033095807798E-2</v>
      </c>
      <c r="CD8" s="16">
        <v>45.502999800000012</v>
      </c>
      <c r="CE8" s="15" t="b">
        <v>1</v>
      </c>
    </row>
    <row r="9" spans="1:83" x14ac:dyDescent="0.25">
      <c r="A9" s="12">
        <v>43902</v>
      </c>
      <c r="B9" s="13">
        <v>144.07</v>
      </c>
      <c r="C9" s="13">
        <v>-0.12721875567940874</v>
      </c>
      <c r="D9" s="14">
        <v>-6.778317345306277E-2</v>
      </c>
      <c r="F9" s="13">
        <v>0.10904421461789414</v>
      </c>
      <c r="G9" s="13">
        <v>-0.12721875567940874</v>
      </c>
      <c r="H9" s="13">
        <v>-3.0141010575793159E-2</v>
      </c>
      <c r="I9" s="14">
        <v>-6.778317345306277E-2</v>
      </c>
      <c r="J9" s="14">
        <v>41.871999700000003</v>
      </c>
      <c r="K9" s="13">
        <v>45.214509014035059</v>
      </c>
      <c r="L9" s="14">
        <v>-3.3425093140350555</v>
      </c>
      <c r="M9" s="14">
        <v>-6.778317345306277E-2</v>
      </c>
      <c r="N9" s="13" t="b">
        <v>1</v>
      </c>
      <c r="O9" s="13" t="b">
        <v>1</v>
      </c>
      <c r="P9" s="14">
        <v>-0.35427594827488063</v>
      </c>
      <c r="Q9" s="13">
        <v>0.22656588860171603</v>
      </c>
      <c r="R9" s="13">
        <v>1.18417065684739</v>
      </c>
      <c r="S9" s="14">
        <v>-7.0630842905598122E-3</v>
      </c>
      <c r="T9" s="14">
        <v>-5.525452737428084E-3</v>
      </c>
      <c r="U9" s="13">
        <v>2.3608425027010854E-2</v>
      </c>
      <c r="V9" s="13">
        <v>1.8468877239113866E-2</v>
      </c>
      <c r="W9" s="14">
        <v>-1.038061216449215E-3</v>
      </c>
      <c r="X9" s="14">
        <v>-3.6524204180966004E-2</v>
      </c>
      <c r="Y9" s="13">
        <v>3.4697292845200607E-3</v>
      </c>
      <c r="Z9" s="13">
        <v>0.12208249266259698</v>
      </c>
      <c r="AA9" s="14">
        <v>-1.2657981316277959E-2</v>
      </c>
      <c r="AB9" s="14">
        <v>-3.5048006093452558E-2</v>
      </c>
      <c r="AC9" s="13">
        <v>4.2309420446540791E-2</v>
      </c>
      <c r="AD9" s="13">
        <v>0.11714828680572255</v>
      </c>
      <c r="AE9" s="14">
        <v>-6.4605697194624629E-3</v>
      </c>
      <c r="AF9" s="14">
        <v>-4.9581884882146952E-2</v>
      </c>
      <c r="AG9" s="13">
        <v>2.1594514461276127E-2</v>
      </c>
      <c r="AH9" s="13">
        <v>0.1657279120259901</v>
      </c>
      <c r="AI9" s="14">
        <v>-7.0631411514768148E-3</v>
      </c>
      <c r="AJ9" s="14">
        <v>-5.525438084170599E-3</v>
      </c>
      <c r="AK9" s="13">
        <v>2.3608615085155542E-2</v>
      </c>
      <c r="AL9" s="13">
        <v>1.846882826046424E-2</v>
      </c>
      <c r="AM9" s="14">
        <v>-6.9688562062328492E-3</v>
      </c>
      <c r="AN9" s="14">
        <v>-5.5255973379661205E-3</v>
      </c>
      <c r="AO9" s="13">
        <v>2.3293466777504299E-2</v>
      </c>
      <c r="AP9" s="13">
        <v>1.8469360567759066E-2</v>
      </c>
      <c r="AQ9" s="14">
        <v>-1.0381495994451876E-3</v>
      </c>
      <c r="AR9" s="14">
        <v>-3.0278119662312395E-2</v>
      </c>
      <c r="AS9" s="13">
        <v>3.4700247055073018E-3</v>
      </c>
      <c r="AT9" s="13">
        <v>0.10120489698274712</v>
      </c>
      <c r="AU9" s="14">
        <v>-1.8066301679662718E-2</v>
      </c>
      <c r="AV9" s="14">
        <v>-0.10358093703118552</v>
      </c>
      <c r="AW9" s="13">
        <v>6.03867816344398E-2</v>
      </c>
      <c r="AX9" s="13">
        <v>0.34622024678321622</v>
      </c>
      <c r="AY9" s="14">
        <v>-6.3888336911695591E-3</v>
      </c>
      <c r="AZ9" s="14">
        <v>-4.763828043313912E-2</v>
      </c>
      <c r="BA9" s="13">
        <v>2.1354736118555213E-2</v>
      </c>
      <c r="BB9" s="13">
        <v>0.15923139605238146</v>
      </c>
      <c r="BC9" s="14">
        <v>-1.0381945823261345E-3</v>
      </c>
      <c r="BD9" s="14">
        <v>-3.5048027832112895E-2</v>
      </c>
      <c r="BE9" s="13">
        <v>3.4701750612058384E-3</v>
      </c>
      <c r="BF9" s="13">
        <v>0.1171483594673972</v>
      </c>
      <c r="BH9" s="16">
        <v>-6.778317345306277E-2</v>
      </c>
      <c r="BI9" s="15">
        <v>0.22656588860171603</v>
      </c>
      <c r="BJ9" s="16">
        <v>-7.0630842905598122E-3</v>
      </c>
      <c r="BK9" s="15">
        <v>2.3608425027010854E-2</v>
      </c>
      <c r="BL9" s="16">
        <v>-1.038061216449215E-3</v>
      </c>
      <c r="BM9" s="15">
        <v>3.4697292845200607E-3</v>
      </c>
      <c r="BN9" s="16">
        <v>-1.2657981316277959E-2</v>
      </c>
      <c r="BO9" s="15">
        <v>4.2309420446540791E-2</v>
      </c>
      <c r="BP9" s="16">
        <v>-6.4605697194624629E-3</v>
      </c>
      <c r="BQ9" s="15">
        <v>2.1594514461276127E-2</v>
      </c>
      <c r="BR9" s="16">
        <v>-7.0631411514768148E-3</v>
      </c>
      <c r="BS9" s="15">
        <v>2.3608615085155542E-2</v>
      </c>
      <c r="BT9" s="16">
        <v>-6.9688562062328492E-3</v>
      </c>
      <c r="BU9" s="15">
        <v>2.3293466777504299E-2</v>
      </c>
      <c r="BV9" s="16">
        <v>-1.0381495994451876E-3</v>
      </c>
      <c r="BW9" s="15">
        <v>3.4700247055073018E-3</v>
      </c>
      <c r="BX9" s="16">
        <v>-1.8066301679662718E-2</v>
      </c>
      <c r="BY9" s="15">
        <v>6.03867816344398E-2</v>
      </c>
      <c r="BZ9" s="16">
        <v>-6.3888336911695591E-3</v>
      </c>
      <c r="CA9" s="15">
        <v>2.1354736118555213E-2</v>
      </c>
      <c r="CB9" s="16">
        <v>-1.0381945823261345E-3</v>
      </c>
      <c r="CC9" s="15">
        <v>3.4701750612058384E-3</v>
      </c>
      <c r="CD9" s="16">
        <v>41.871999700000003</v>
      </c>
      <c r="CE9" s="15" t="b">
        <v>1</v>
      </c>
    </row>
    <row r="10" spans="1:83" x14ac:dyDescent="0.25">
      <c r="A10" s="12">
        <v>43901</v>
      </c>
      <c r="B10" s="13">
        <v>165.07</v>
      </c>
      <c r="C10" s="13">
        <v>-3.0141010575793159E-2</v>
      </c>
      <c r="D10" s="14">
        <v>-5.6557500781491396E-2</v>
      </c>
      <c r="F10" s="13">
        <v>-0.12721875567940874</v>
      </c>
      <c r="G10" s="13">
        <v>-3.0141010575793159E-2</v>
      </c>
      <c r="H10" s="13">
        <v>3.5090920148391304E-2</v>
      </c>
      <c r="I10" s="14">
        <v>-5.6557500781491396E-2</v>
      </c>
      <c r="J10" s="14">
        <v>39.237999400000007</v>
      </c>
      <c r="K10" s="13">
        <v>45.214509014035059</v>
      </c>
      <c r="L10" s="14">
        <v>-5.9765096140350522</v>
      </c>
      <c r="M10" s="14">
        <v>-5.6557500781491396E-2</v>
      </c>
      <c r="N10" s="13" t="b">
        <v>1</v>
      </c>
      <c r="O10" s="13" t="b">
        <v>1</v>
      </c>
      <c r="P10" s="14">
        <v>-6.778317345306277E-2</v>
      </c>
      <c r="Q10" s="13">
        <v>0.3380164471663783</v>
      </c>
      <c r="R10" s="13">
        <v>0.40510678781203519</v>
      </c>
      <c r="S10" s="14">
        <v>-7.1279300234385438E-3</v>
      </c>
      <c r="T10" s="14">
        <v>-7.0630842905598122E-3</v>
      </c>
      <c r="U10" s="13">
        <v>4.2600142313249552E-2</v>
      </c>
      <c r="V10" s="13">
        <v>4.2212591167270663E-2</v>
      </c>
      <c r="W10" s="14">
        <v>-8.8192819373451511E-4</v>
      </c>
      <c r="X10" s="14">
        <v>-1.038061216449215E-3</v>
      </c>
      <c r="Y10" s="13">
        <v>5.2708523287428978E-3</v>
      </c>
      <c r="Z10" s="13">
        <v>6.2039828400656544E-3</v>
      </c>
      <c r="AA10" s="14">
        <v>-8.6372160473580078E-3</v>
      </c>
      <c r="AB10" s="14">
        <v>-1.2657981316277959E-2</v>
      </c>
      <c r="AC10" s="13">
        <v>5.1620404745532963E-2</v>
      </c>
      <c r="AD10" s="13">
        <v>7.5650547031011289E-2</v>
      </c>
      <c r="AE10" s="14">
        <v>-1.075683497610363E-2</v>
      </c>
      <c r="AF10" s="14">
        <v>-6.4605697194624629E-3</v>
      </c>
      <c r="AG10" s="13">
        <v>6.4288327651271862E-2</v>
      </c>
      <c r="AH10" s="13">
        <v>3.8611657040511151E-2</v>
      </c>
      <c r="AI10" s="14">
        <v>-5.8305820508956366E-3</v>
      </c>
      <c r="AJ10" s="14">
        <v>-7.0631411514768148E-3</v>
      </c>
      <c r="AK10" s="13">
        <v>3.4846529682597986E-2</v>
      </c>
      <c r="AL10" s="13">
        <v>4.221293099708779E-2</v>
      </c>
      <c r="AM10" s="14">
        <v>-8.8197054343203802E-4</v>
      </c>
      <c r="AN10" s="14">
        <v>-6.9688562062328492E-3</v>
      </c>
      <c r="AO10" s="13">
        <v>5.271105432117295E-3</v>
      </c>
      <c r="AP10" s="13">
        <v>4.1649436115378462E-2</v>
      </c>
      <c r="AQ10" s="14">
        <v>-5.594898761534059E-3</v>
      </c>
      <c r="AR10" s="14">
        <v>-1.0381495994451876E-3</v>
      </c>
      <c r="AS10" s="13">
        <v>3.3437966237861112E-2</v>
      </c>
      <c r="AT10" s="13">
        <v>6.2045110618908026E-3</v>
      </c>
      <c r="AU10" s="14">
        <v>-9.2237513304407378E-3</v>
      </c>
      <c r="AV10" s="14">
        <v>-1.8066301679662718E-2</v>
      </c>
      <c r="AW10" s="13">
        <v>5.5125838503847675E-2</v>
      </c>
      <c r="AX10" s="13">
        <v>0.10797342567856184</v>
      </c>
      <c r="AY10" s="14">
        <v>-5.1236744586598592E-3</v>
      </c>
      <c r="AZ10" s="14">
        <v>-6.3888336911695591E-3</v>
      </c>
      <c r="BA10" s="13">
        <v>3.062168966136649E-2</v>
      </c>
      <c r="BB10" s="13">
        <v>3.8182925977745918E-2</v>
      </c>
      <c r="BC10" s="14">
        <v>-2.4987143958943078E-3</v>
      </c>
      <c r="BD10" s="14">
        <v>-1.0381945823261345E-3</v>
      </c>
      <c r="BE10" s="13">
        <v>1.4933590609790118E-2</v>
      </c>
      <c r="BF10" s="13">
        <v>6.2047799025112477E-3</v>
      </c>
      <c r="BH10" s="16">
        <v>-5.6557500781491396E-2</v>
      </c>
      <c r="BI10" s="15">
        <v>0.3380164471663783</v>
      </c>
      <c r="BJ10" s="16">
        <v>-7.1279300234385438E-3</v>
      </c>
      <c r="BK10" s="15">
        <v>4.2600142313249552E-2</v>
      </c>
      <c r="BL10" s="16">
        <v>-8.8192819373451511E-4</v>
      </c>
      <c r="BM10" s="15">
        <v>5.2708523287428978E-3</v>
      </c>
      <c r="BN10" s="16">
        <v>-8.6372160473580078E-3</v>
      </c>
      <c r="BO10" s="15">
        <v>5.1620404745532963E-2</v>
      </c>
      <c r="BP10" s="16">
        <v>-1.075683497610363E-2</v>
      </c>
      <c r="BQ10" s="15">
        <v>6.4288327651271862E-2</v>
      </c>
      <c r="BR10" s="16">
        <v>-5.8305820508956366E-3</v>
      </c>
      <c r="BS10" s="15">
        <v>3.4846529682597986E-2</v>
      </c>
      <c r="BT10" s="16">
        <v>-8.8197054343203802E-4</v>
      </c>
      <c r="BU10" s="15">
        <v>5.271105432117295E-3</v>
      </c>
      <c r="BV10" s="16">
        <v>-5.594898761534059E-3</v>
      </c>
      <c r="BW10" s="15">
        <v>3.3437966237861112E-2</v>
      </c>
      <c r="BX10" s="16">
        <v>-9.2237513304407378E-3</v>
      </c>
      <c r="BY10" s="15">
        <v>5.5125838503847675E-2</v>
      </c>
      <c r="BZ10" s="16">
        <v>-5.1236744586598592E-3</v>
      </c>
      <c r="CA10" s="15">
        <v>3.062168966136649E-2</v>
      </c>
      <c r="CB10" s="16">
        <v>-2.4987143958943078E-3</v>
      </c>
      <c r="CC10" s="15">
        <v>1.4933590609790118E-2</v>
      </c>
      <c r="CD10" s="16">
        <v>39.237999400000007</v>
      </c>
      <c r="CE10" s="15" t="b">
        <v>1</v>
      </c>
    </row>
    <row r="11" spans="1:83" x14ac:dyDescent="0.25">
      <c r="A11" s="12">
        <v>43900</v>
      </c>
      <c r="B11" s="13">
        <v>170.2</v>
      </c>
      <c r="C11" s="13">
        <v>3.5090920148391304E-2</v>
      </c>
      <c r="D11" s="14">
        <v>4.3987865692802837E-2</v>
      </c>
      <c r="F11" s="13">
        <v>-3.0141010575793159E-2</v>
      </c>
      <c r="G11" s="13">
        <v>3.5090920148391304E-2</v>
      </c>
      <c r="H11" s="13">
        <v>-6.8332483426823062E-2</v>
      </c>
      <c r="I11" s="14">
        <v>4.3987865692802837E-2</v>
      </c>
      <c r="J11" s="14">
        <v>37.292999500000001</v>
      </c>
      <c r="K11" s="13">
        <v>45.214509014035059</v>
      </c>
      <c r="L11" s="14">
        <v>-7.9215095140350584</v>
      </c>
      <c r="M11" s="14">
        <v>4.3987865692802837E-2</v>
      </c>
      <c r="N11" s="13" t="b">
        <v>1</v>
      </c>
      <c r="O11" s="13" t="b">
        <v>1</v>
      </c>
      <c r="P11" s="14">
        <v>-5.6557500781491396E-2</v>
      </c>
      <c r="Q11" s="13">
        <v>-0.34845029658763405</v>
      </c>
      <c r="R11" s="13">
        <v>0.44802078053062933</v>
      </c>
      <c r="S11" s="14">
        <v>6.1216103774278897E-3</v>
      </c>
      <c r="T11" s="14">
        <v>-7.1279300234385438E-3</v>
      </c>
      <c r="U11" s="13">
        <v>-4.8492394846010776E-2</v>
      </c>
      <c r="V11" s="13">
        <v>5.6463965496044564E-2</v>
      </c>
      <c r="W11" s="14">
        <v>8.8501540713074812E-4</v>
      </c>
      <c r="X11" s="14">
        <v>-8.8192819373451511E-4</v>
      </c>
      <c r="Y11" s="13">
        <v>-7.0106579676538321E-3</v>
      </c>
      <c r="Z11" s="13">
        <v>6.9862025773637154E-3</v>
      </c>
      <c r="AA11" s="14">
        <v>8.8509334488631264E-4</v>
      </c>
      <c r="AB11" s="14">
        <v>-8.6372160473580078E-3</v>
      </c>
      <c r="AC11" s="13">
        <v>-7.011275352326039E-3</v>
      </c>
      <c r="AD11" s="13">
        <v>6.8419789093922739E-2</v>
      </c>
      <c r="AE11" s="14">
        <v>2.5828414043263617E-3</v>
      </c>
      <c r="AF11" s="14">
        <v>-1.075683497610363E-2</v>
      </c>
      <c r="AG11" s="13">
        <v>-2.0460002757614944E-2</v>
      </c>
      <c r="AH11" s="13">
        <v>8.5210370604109992E-2</v>
      </c>
      <c r="AI11" s="14">
        <v>8.850192617951857E-4</v>
      </c>
      <c r="AJ11" s="14">
        <v>-5.8305820508956366E-3</v>
      </c>
      <c r="AK11" s="13">
        <v>-7.0106885024148477E-3</v>
      </c>
      <c r="AL11" s="13">
        <v>4.6187011188531829E-2</v>
      </c>
      <c r="AM11" s="14">
        <v>8.8504982168877166E-4</v>
      </c>
      <c r="AN11" s="14">
        <v>-8.8197054343203802E-4</v>
      </c>
      <c r="AO11" s="13">
        <v>-7.010930582902637E-3</v>
      </c>
      <c r="AP11" s="13">
        <v>6.9865380508955599E-3</v>
      </c>
      <c r="AQ11" s="14">
        <v>8.21617927730167E-3</v>
      </c>
      <c r="AR11" s="14">
        <v>-5.594898761534059E-3</v>
      </c>
      <c r="AS11" s="13">
        <v>-6.5084542314162872E-2</v>
      </c>
      <c r="AT11" s="13">
        <v>4.4320043769555013E-2</v>
      </c>
      <c r="AU11" s="14">
        <v>7.854573853185675E-3</v>
      </c>
      <c r="AV11" s="14">
        <v>-9.2237513304407378E-3</v>
      </c>
      <c r="AW11" s="13">
        <v>-6.222008150670133E-2</v>
      </c>
      <c r="AX11" s="13">
        <v>7.3066033919179832E-2</v>
      </c>
      <c r="AY11" s="14">
        <v>1.4787362988918864E-2</v>
      </c>
      <c r="AZ11" s="14">
        <v>-5.1236744586598592E-3</v>
      </c>
      <c r="BA11" s="13">
        <v>-0.11713823660421067</v>
      </c>
      <c r="BB11" s="13">
        <v>4.0587235971092504E-2</v>
      </c>
      <c r="BC11" s="14">
        <v>8.851199561413116E-4</v>
      </c>
      <c r="BD11" s="14">
        <v>-2.4987143958943078E-3</v>
      </c>
      <c r="BE11" s="13">
        <v>-7.0114861536356935E-3</v>
      </c>
      <c r="BF11" s="13">
        <v>1.9793589859933122E-2</v>
      </c>
      <c r="BH11" s="16">
        <v>4.3987865692802837E-2</v>
      </c>
      <c r="BI11" s="15">
        <v>-0.34845029658763405</v>
      </c>
      <c r="BJ11" s="16">
        <v>6.1216103774278897E-3</v>
      </c>
      <c r="BK11" s="15">
        <v>-4.8492394846010776E-2</v>
      </c>
      <c r="BL11" s="16">
        <v>8.8501540713074812E-4</v>
      </c>
      <c r="BM11" s="15">
        <v>-7.0106579676538321E-3</v>
      </c>
      <c r="BN11" s="16">
        <v>8.8509334488631264E-4</v>
      </c>
      <c r="BO11" s="15">
        <v>-7.011275352326039E-3</v>
      </c>
      <c r="BP11" s="16">
        <v>2.5828414043263617E-3</v>
      </c>
      <c r="BQ11" s="15">
        <v>-2.0460002757614944E-2</v>
      </c>
      <c r="BR11" s="16">
        <v>8.850192617951857E-4</v>
      </c>
      <c r="BS11" s="15">
        <v>-7.0106885024148477E-3</v>
      </c>
      <c r="BT11" s="16">
        <v>8.8504982168877166E-4</v>
      </c>
      <c r="BU11" s="15">
        <v>-7.010930582902637E-3</v>
      </c>
      <c r="BV11" s="16">
        <v>8.21617927730167E-3</v>
      </c>
      <c r="BW11" s="15">
        <v>-6.5084542314162872E-2</v>
      </c>
      <c r="BX11" s="16">
        <v>7.854573853185675E-3</v>
      </c>
      <c r="BY11" s="15">
        <v>-6.222008150670133E-2</v>
      </c>
      <c r="BZ11" s="16">
        <v>1.4787362988918864E-2</v>
      </c>
      <c r="CA11" s="15">
        <v>-0.11713823660421067</v>
      </c>
      <c r="CB11" s="16">
        <v>8.851199561413116E-4</v>
      </c>
      <c r="CC11" s="15">
        <v>-7.0114861536356935E-3</v>
      </c>
      <c r="CD11" s="16">
        <v>37.292999500000001</v>
      </c>
      <c r="CE11" s="15" t="b">
        <v>1</v>
      </c>
    </row>
    <row r="12" spans="1:83" x14ac:dyDescent="0.25">
      <c r="L12" s="14"/>
      <c r="P12" s="14"/>
      <c r="U12" s="13"/>
      <c r="V12" s="13"/>
      <c r="Y12" s="13"/>
      <c r="Z12" s="13"/>
      <c r="AC12" s="13"/>
      <c r="AD12" s="13"/>
      <c r="AG12" s="13"/>
      <c r="AH12" s="13"/>
      <c r="AK12" s="13"/>
      <c r="AL12" s="13"/>
      <c r="AO12" s="13"/>
      <c r="AP12" s="13"/>
      <c r="AS12" s="13"/>
      <c r="AT12" s="13"/>
      <c r="AW12" s="13"/>
      <c r="AX12" s="13"/>
      <c r="BA12" s="13"/>
      <c r="BB12" s="13"/>
      <c r="BH12" s="16"/>
      <c r="CD12" s="16"/>
    </row>
    <row r="13" spans="1:83" x14ac:dyDescent="0.25">
      <c r="L13" s="14"/>
      <c r="P13" s="14"/>
      <c r="U13" s="13"/>
      <c r="V13" s="13"/>
      <c r="Y13" s="13"/>
      <c r="Z13" s="13"/>
      <c r="AC13" s="13"/>
      <c r="AD13" s="13"/>
      <c r="AG13" s="13"/>
      <c r="AH13" s="13"/>
      <c r="AK13" s="13"/>
      <c r="AL13" s="13"/>
      <c r="AO13" s="13"/>
      <c r="AP13" s="13"/>
      <c r="AS13" s="13"/>
      <c r="AT13" s="13"/>
      <c r="AW13" s="13"/>
      <c r="AX13" s="13"/>
      <c r="BA13" s="13"/>
      <c r="BB13" s="13"/>
      <c r="BH13" s="16"/>
      <c r="CD13" s="16"/>
    </row>
    <row r="14" spans="1:83" x14ac:dyDescent="0.25">
      <c r="L14" s="14"/>
      <c r="P14" s="14"/>
      <c r="U14" s="13"/>
      <c r="V14" s="13"/>
      <c r="Y14" s="13"/>
      <c r="Z14" s="13"/>
      <c r="AC14" s="13"/>
      <c r="AD14" s="13"/>
      <c r="AG14" s="13"/>
      <c r="AH14" s="13"/>
      <c r="AK14" s="13"/>
      <c r="AL14" s="13"/>
      <c r="AO14" s="13"/>
      <c r="AP14" s="13"/>
      <c r="AS14" s="13"/>
      <c r="AT14" s="13"/>
      <c r="AW14" s="13"/>
      <c r="AX14" s="13"/>
      <c r="BA14" s="13"/>
      <c r="BB14" s="13"/>
      <c r="BH14" s="16"/>
      <c r="CD14" s="16"/>
    </row>
    <row r="15" spans="1:83" x14ac:dyDescent="0.25">
      <c r="L15" s="14"/>
      <c r="P15" s="14"/>
      <c r="U15" s="13"/>
      <c r="V15" s="13"/>
      <c r="Y15" s="13"/>
      <c r="Z15" s="13"/>
      <c r="AC15" s="13"/>
      <c r="AD15" s="13"/>
      <c r="AG15" s="13"/>
      <c r="AH15" s="13"/>
      <c r="AK15" s="13"/>
      <c r="AL15" s="13"/>
      <c r="AO15" s="13"/>
      <c r="AP15" s="13"/>
      <c r="AS15" s="13"/>
      <c r="AT15" s="13"/>
      <c r="AW15" s="13"/>
      <c r="AX15" s="13"/>
      <c r="BA15" s="13"/>
      <c r="BB15" s="13"/>
      <c r="BH15" s="16"/>
      <c r="CD15" s="16"/>
    </row>
    <row r="16" spans="1:83" x14ac:dyDescent="0.25">
      <c r="L16" s="14"/>
      <c r="P16" s="14"/>
      <c r="U16" s="13"/>
      <c r="V16" s="13"/>
      <c r="Y16" s="13"/>
      <c r="Z16" s="13"/>
      <c r="AC16" s="13"/>
      <c r="AD16" s="13"/>
      <c r="AG16" s="13"/>
      <c r="AH16" s="13"/>
      <c r="AK16" s="13"/>
      <c r="AL16" s="13"/>
      <c r="AO16" s="13"/>
      <c r="AP16" s="13"/>
      <c r="AS16" s="13"/>
      <c r="AT16" s="13"/>
      <c r="AW16" s="13"/>
      <c r="AX16" s="13"/>
      <c r="BA16" s="13"/>
      <c r="BB16" s="13"/>
      <c r="BH16" s="16"/>
      <c r="CD16" s="16"/>
    </row>
    <row r="17" spans="12:82" x14ac:dyDescent="0.25">
      <c r="L17" s="14"/>
      <c r="P17" s="14"/>
      <c r="U17" s="13"/>
      <c r="V17" s="13"/>
      <c r="Y17" s="13"/>
      <c r="Z17" s="13"/>
      <c r="AC17" s="13"/>
      <c r="AD17" s="13"/>
      <c r="AG17" s="13"/>
      <c r="AH17" s="13"/>
      <c r="AK17" s="13"/>
      <c r="AL17" s="13"/>
      <c r="AO17" s="13"/>
      <c r="AP17" s="13"/>
      <c r="AS17" s="13"/>
      <c r="AT17" s="13"/>
      <c r="AW17" s="13"/>
      <c r="AX17" s="13"/>
      <c r="BA17" s="13"/>
      <c r="BB17" s="13"/>
      <c r="BH17" s="16"/>
      <c r="CD17" s="16"/>
    </row>
    <row r="18" spans="12:82" x14ac:dyDescent="0.25">
      <c r="L18" s="14"/>
      <c r="P18" s="14"/>
      <c r="U18" s="13"/>
      <c r="V18" s="13"/>
      <c r="Y18" s="13"/>
      <c r="Z18" s="13"/>
      <c r="AC18" s="13"/>
      <c r="AD18" s="13"/>
      <c r="AG18" s="13"/>
      <c r="AH18" s="13"/>
      <c r="AK18" s="13"/>
      <c r="AL18" s="13"/>
      <c r="AO18" s="13"/>
      <c r="AP18" s="13"/>
      <c r="AS18" s="13"/>
      <c r="AT18" s="13"/>
      <c r="AW18" s="13"/>
      <c r="AX18" s="13"/>
      <c r="BA18" s="13"/>
      <c r="BB18" s="13"/>
      <c r="BH18" s="16"/>
      <c r="CD18" s="16"/>
    </row>
    <row r="19" spans="12:82" x14ac:dyDescent="0.25">
      <c r="L19" s="14"/>
      <c r="P19" s="14"/>
      <c r="U19" s="13"/>
      <c r="V19" s="13"/>
      <c r="Y19" s="13"/>
      <c r="Z19" s="13"/>
      <c r="AC19" s="13"/>
      <c r="AD19" s="13"/>
      <c r="AG19" s="13"/>
      <c r="AH19" s="13"/>
      <c r="AK19" s="13"/>
      <c r="AL19" s="13"/>
      <c r="AO19" s="13"/>
      <c r="AP19" s="13"/>
      <c r="AS19" s="13"/>
      <c r="AT19" s="13"/>
      <c r="AW19" s="13"/>
      <c r="AX19" s="13"/>
      <c r="BA19" s="13"/>
      <c r="BB19" s="13"/>
      <c r="BH19" s="16"/>
      <c r="CD19" s="16"/>
    </row>
    <row r="20" spans="12:82" x14ac:dyDescent="0.25">
      <c r="L20" s="14"/>
      <c r="P20" s="14"/>
      <c r="U20" s="13"/>
      <c r="V20" s="13"/>
      <c r="Y20" s="13"/>
      <c r="Z20" s="13"/>
      <c r="AC20" s="13"/>
      <c r="AD20" s="13"/>
      <c r="AG20" s="13"/>
      <c r="AH20" s="13"/>
      <c r="AK20" s="13"/>
      <c r="AL20" s="13"/>
      <c r="AO20" s="13"/>
      <c r="AP20" s="13"/>
      <c r="AS20" s="13"/>
      <c r="AT20" s="13"/>
      <c r="AW20" s="13"/>
      <c r="AX20" s="13"/>
      <c r="BA20" s="13"/>
      <c r="BB20" s="13"/>
      <c r="BH20" s="16"/>
      <c r="CD20" s="16"/>
    </row>
    <row r="21" spans="12:82" x14ac:dyDescent="0.25">
      <c r="L21" s="14"/>
      <c r="P21" s="14"/>
      <c r="U21" s="13"/>
      <c r="V21" s="13"/>
      <c r="Y21" s="13"/>
      <c r="Z21" s="13"/>
      <c r="AC21" s="13"/>
      <c r="AD21" s="13"/>
      <c r="AG21" s="13"/>
      <c r="AH21" s="13"/>
      <c r="AK21" s="13"/>
      <c r="AL21" s="13"/>
      <c r="AO21" s="13"/>
      <c r="AP21" s="13"/>
      <c r="AS21" s="13"/>
      <c r="AT21" s="13"/>
      <c r="AW21" s="13"/>
      <c r="AX21" s="13"/>
      <c r="BA21" s="13"/>
      <c r="BB21" s="13"/>
      <c r="BH21" s="16"/>
      <c r="CD21" s="16"/>
    </row>
    <row r="22" spans="12:82" x14ac:dyDescent="0.25">
      <c r="L22" s="14"/>
      <c r="P22" s="14"/>
      <c r="U22" s="13"/>
      <c r="V22" s="13"/>
      <c r="Y22" s="13"/>
      <c r="Z22" s="13"/>
      <c r="AC22" s="13"/>
      <c r="AD22" s="13"/>
      <c r="AG22" s="13"/>
      <c r="AH22" s="13"/>
      <c r="AK22" s="13"/>
      <c r="AL22" s="13"/>
      <c r="AO22" s="13"/>
      <c r="AP22" s="13"/>
      <c r="AS22" s="13"/>
      <c r="AT22" s="13"/>
      <c r="AW22" s="13"/>
      <c r="AX22" s="13"/>
      <c r="BA22" s="13"/>
      <c r="BB22" s="13"/>
      <c r="BH22" s="16"/>
      <c r="CD22" s="16"/>
    </row>
    <row r="23" spans="12:82" x14ac:dyDescent="0.25">
      <c r="L23" s="14"/>
      <c r="P23" s="14"/>
      <c r="U23" s="13"/>
      <c r="V23" s="13"/>
      <c r="Y23" s="13"/>
      <c r="Z23" s="13"/>
      <c r="AC23" s="13"/>
      <c r="AD23" s="13"/>
      <c r="AG23" s="13"/>
      <c r="AH23" s="13"/>
      <c r="AK23" s="13"/>
      <c r="AL23" s="13"/>
      <c r="AO23" s="13"/>
      <c r="AP23" s="13"/>
      <c r="AS23" s="13"/>
      <c r="AT23" s="13"/>
      <c r="AW23" s="13"/>
      <c r="AX23" s="13"/>
      <c r="BA23" s="13"/>
      <c r="BB23" s="13"/>
      <c r="BH23" s="16"/>
      <c r="CD23" s="16"/>
    </row>
    <row r="24" spans="12:82" x14ac:dyDescent="0.25">
      <c r="L24" s="14"/>
      <c r="P24" s="14"/>
      <c r="U24" s="13"/>
      <c r="V24" s="13"/>
      <c r="Y24" s="13"/>
      <c r="Z24" s="13"/>
      <c r="AC24" s="13"/>
      <c r="AD24" s="13"/>
      <c r="AG24" s="13"/>
      <c r="AH24" s="13"/>
      <c r="AK24" s="13"/>
      <c r="AL24" s="13"/>
      <c r="AO24" s="13"/>
      <c r="AP24" s="13"/>
      <c r="AS24" s="13"/>
      <c r="AT24" s="13"/>
      <c r="AW24" s="13"/>
      <c r="AX24" s="13"/>
      <c r="BA24" s="13"/>
      <c r="BB24" s="13"/>
      <c r="BH24" s="16"/>
      <c r="CD24" s="16"/>
    </row>
    <row r="25" spans="12:82" x14ac:dyDescent="0.25">
      <c r="L25" s="14"/>
      <c r="P25" s="14"/>
      <c r="U25" s="13"/>
      <c r="V25" s="13"/>
      <c r="Y25" s="13"/>
      <c r="Z25" s="13"/>
      <c r="AC25" s="13"/>
      <c r="AD25" s="13"/>
      <c r="AG25" s="13"/>
      <c r="AH25" s="13"/>
      <c r="AK25" s="13"/>
      <c r="AL25" s="13"/>
      <c r="AO25" s="13"/>
      <c r="AP25" s="13"/>
      <c r="AS25" s="13"/>
      <c r="AT25" s="13"/>
      <c r="AW25" s="13"/>
      <c r="AX25" s="13"/>
      <c r="BA25" s="13"/>
      <c r="BB25" s="13"/>
      <c r="BH25" s="16"/>
      <c r="CD25" s="16"/>
    </row>
    <row r="26" spans="12:82" x14ac:dyDescent="0.25">
      <c r="L26" s="14"/>
      <c r="P26" s="14"/>
      <c r="U26" s="13"/>
      <c r="V26" s="13"/>
      <c r="Y26" s="13"/>
      <c r="Z26" s="13"/>
      <c r="AC26" s="13"/>
      <c r="AD26" s="13"/>
      <c r="AG26" s="13"/>
      <c r="AH26" s="13"/>
      <c r="AK26" s="13"/>
      <c r="AL26" s="13"/>
      <c r="AO26" s="13"/>
      <c r="AP26" s="13"/>
      <c r="AS26" s="13"/>
      <c r="AT26" s="13"/>
      <c r="AW26" s="13"/>
      <c r="AX26" s="13"/>
      <c r="BA26" s="13"/>
      <c r="BB26" s="13"/>
      <c r="BH26" s="16"/>
      <c r="CD26" s="16"/>
    </row>
    <row r="27" spans="12:82" x14ac:dyDescent="0.25">
      <c r="L27" s="14"/>
      <c r="P27" s="14"/>
      <c r="U27" s="13"/>
      <c r="V27" s="13"/>
      <c r="Y27" s="13"/>
      <c r="Z27" s="13"/>
      <c r="AC27" s="13"/>
      <c r="AD27" s="13"/>
      <c r="AG27" s="13"/>
      <c r="AH27" s="13"/>
      <c r="AK27" s="13"/>
      <c r="AL27" s="13"/>
      <c r="AO27" s="13"/>
      <c r="AP27" s="13"/>
      <c r="AS27" s="13"/>
      <c r="AT27" s="13"/>
      <c r="AW27" s="13"/>
      <c r="AX27" s="13"/>
      <c r="BA27" s="13"/>
      <c r="BB27" s="13"/>
      <c r="BH27" s="16"/>
      <c r="CD27" s="16"/>
    </row>
    <row r="28" spans="12:82" x14ac:dyDescent="0.25">
      <c r="L28" s="14"/>
      <c r="P28" s="14"/>
      <c r="U28" s="13"/>
      <c r="V28" s="13"/>
      <c r="Y28" s="13"/>
      <c r="Z28" s="13"/>
      <c r="AC28" s="13"/>
      <c r="AD28" s="13"/>
      <c r="AG28" s="13"/>
      <c r="AH28" s="13"/>
      <c r="AK28" s="13"/>
      <c r="AL28" s="13"/>
      <c r="AO28" s="13"/>
      <c r="AP28" s="13"/>
      <c r="AS28" s="13"/>
      <c r="AT28" s="13"/>
      <c r="AW28" s="13"/>
      <c r="AX28" s="13"/>
      <c r="BA28" s="13"/>
      <c r="BB28" s="13"/>
      <c r="BH28" s="16"/>
      <c r="CD28" s="16"/>
    </row>
    <row r="29" spans="12:82" x14ac:dyDescent="0.25">
      <c r="L29" s="14"/>
      <c r="P29" s="14"/>
      <c r="U29" s="13"/>
      <c r="V29" s="13"/>
      <c r="Y29" s="13"/>
      <c r="Z29" s="13"/>
      <c r="AC29" s="13"/>
      <c r="AD29" s="13"/>
      <c r="AG29" s="13"/>
      <c r="AH29" s="13"/>
      <c r="AK29" s="13"/>
      <c r="AL29" s="13"/>
      <c r="AO29" s="13"/>
      <c r="AP29" s="13"/>
      <c r="AS29" s="13"/>
      <c r="AT29" s="13"/>
      <c r="AW29" s="13"/>
      <c r="AX29" s="13"/>
      <c r="BA29" s="13"/>
      <c r="BB29" s="13"/>
      <c r="BH29" s="16"/>
      <c r="CD29" s="16"/>
    </row>
    <row r="30" spans="12:82" x14ac:dyDescent="0.25">
      <c r="L30" s="14"/>
      <c r="P30" s="14"/>
      <c r="U30" s="13"/>
      <c r="V30" s="13"/>
      <c r="Y30" s="13"/>
      <c r="Z30" s="13"/>
      <c r="AC30" s="13"/>
      <c r="AD30" s="13"/>
      <c r="AG30" s="13"/>
      <c r="AH30" s="13"/>
      <c r="AK30" s="13"/>
      <c r="AL30" s="13"/>
      <c r="AO30" s="13"/>
      <c r="AP30" s="13"/>
      <c r="AS30" s="13"/>
      <c r="AT30" s="13"/>
      <c r="AW30" s="13"/>
      <c r="AX30" s="13"/>
      <c r="BA30" s="13"/>
      <c r="BB30" s="13"/>
      <c r="BH30" s="16"/>
      <c r="CD30" s="16"/>
    </row>
    <row r="31" spans="12:82" x14ac:dyDescent="0.25">
      <c r="L31" s="14"/>
      <c r="P31" s="14"/>
      <c r="U31" s="13"/>
      <c r="V31" s="13"/>
      <c r="Y31" s="13"/>
      <c r="Z31" s="13"/>
      <c r="AC31" s="13"/>
      <c r="AD31" s="13"/>
      <c r="AG31" s="13"/>
      <c r="AH31" s="13"/>
      <c r="AK31" s="13"/>
      <c r="AL31" s="13"/>
      <c r="AO31" s="13"/>
      <c r="AP31" s="13"/>
      <c r="AS31" s="13"/>
      <c r="AT31" s="13"/>
      <c r="AW31" s="13"/>
      <c r="AX31" s="13"/>
      <c r="BA31" s="13"/>
      <c r="BB31" s="13"/>
      <c r="BH31" s="16"/>
      <c r="CD31" s="16"/>
    </row>
    <row r="32" spans="12:82" x14ac:dyDescent="0.25">
      <c r="L32" s="14"/>
      <c r="P32" s="14"/>
      <c r="U32" s="13"/>
      <c r="V32" s="13"/>
      <c r="Y32" s="13"/>
      <c r="Z32" s="13"/>
      <c r="AC32" s="13"/>
      <c r="AD32" s="13"/>
      <c r="AG32" s="13"/>
      <c r="AH32" s="13"/>
      <c r="AK32" s="13"/>
      <c r="AL32" s="13"/>
      <c r="AO32" s="13"/>
      <c r="AP32" s="13"/>
      <c r="AS32" s="13"/>
      <c r="AT32" s="13"/>
      <c r="AW32" s="13"/>
      <c r="AX32" s="13"/>
      <c r="BA32" s="13"/>
      <c r="BB32" s="13"/>
      <c r="BH32" s="16"/>
      <c r="CD32" s="16"/>
    </row>
    <row r="33" spans="12:82" x14ac:dyDescent="0.25">
      <c r="L33" s="14"/>
      <c r="P33" s="14"/>
      <c r="U33" s="13"/>
      <c r="V33" s="13"/>
      <c r="Y33" s="13"/>
      <c r="Z33" s="13"/>
      <c r="AC33" s="13"/>
      <c r="AD33" s="13"/>
      <c r="AG33" s="13"/>
      <c r="AH33" s="13"/>
      <c r="AK33" s="13"/>
      <c r="AL33" s="13"/>
      <c r="AO33" s="13"/>
      <c r="AP33" s="13"/>
      <c r="AS33" s="13"/>
      <c r="AT33" s="13"/>
      <c r="AW33" s="13"/>
      <c r="AX33" s="13"/>
      <c r="BA33" s="13"/>
      <c r="BB33" s="13"/>
      <c r="BH33" s="16"/>
      <c r="CD33" s="16"/>
    </row>
    <row r="34" spans="12:82" x14ac:dyDescent="0.25">
      <c r="L34" s="14"/>
      <c r="P34" s="14"/>
      <c r="U34" s="13"/>
      <c r="V34" s="13"/>
      <c r="Y34" s="13"/>
      <c r="Z34" s="13"/>
      <c r="AC34" s="13"/>
      <c r="AD34" s="13"/>
      <c r="AG34" s="13"/>
      <c r="AH34" s="13"/>
      <c r="AK34" s="13"/>
      <c r="AL34" s="13"/>
      <c r="AO34" s="13"/>
      <c r="AP34" s="13"/>
      <c r="AS34" s="13"/>
      <c r="AT34" s="13"/>
      <c r="AW34" s="13"/>
      <c r="AX34" s="13"/>
      <c r="BA34" s="13"/>
      <c r="BB34" s="13"/>
      <c r="BH34" s="16"/>
      <c r="CD34" s="16"/>
    </row>
    <row r="35" spans="12:82" x14ac:dyDescent="0.25">
      <c r="L35" s="14"/>
      <c r="P35" s="14"/>
      <c r="U35" s="13"/>
      <c r="V35" s="13"/>
      <c r="Y35" s="13"/>
      <c r="Z35" s="13"/>
      <c r="AC35" s="13"/>
      <c r="AD35" s="13"/>
      <c r="AG35" s="13"/>
      <c r="AH35" s="13"/>
      <c r="AK35" s="13"/>
      <c r="AL35" s="13"/>
      <c r="AO35" s="13"/>
      <c r="AP35" s="13"/>
      <c r="AS35" s="13"/>
      <c r="AT35" s="13"/>
      <c r="AW35" s="13"/>
      <c r="AX35" s="13"/>
      <c r="BA35" s="13"/>
      <c r="BB35" s="13"/>
      <c r="BH35" s="16"/>
      <c r="CD35" s="16"/>
    </row>
    <row r="36" spans="12:82" x14ac:dyDescent="0.25">
      <c r="L36" s="14"/>
      <c r="P36" s="14"/>
      <c r="U36" s="13"/>
      <c r="V36" s="13"/>
      <c r="Y36" s="13"/>
      <c r="Z36" s="13"/>
      <c r="AC36" s="13"/>
      <c r="AD36" s="13"/>
      <c r="AG36" s="13"/>
      <c r="AH36" s="13"/>
      <c r="AK36" s="13"/>
      <c r="AL36" s="13"/>
      <c r="AO36" s="13"/>
      <c r="AP36" s="13"/>
      <c r="AS36" s="13"/>
      <c r="AT36" s="13"/>
      <c r="AW36" s="13"/>
      <c r="AX36" s="13"/>
      <c r="BA36" s="13"/>
      <c r="BB36" s="13"/>
      <c r="BH36" s="16"/>
      <c r="CD36" s="16"/>
    </row>
    <row r="37" spans="12:82" x14ac:dyDescent="0.25">
      <c r="L37" s="14"/>
      <c r="P37" s="14"/>
      <c r="U37" s="13"/>
      <c r="V37" s="13"/>
      <c r="Y37" s="13"/>
      <c r="Z37" s="13"/>
      <c r="AC37" s="13"/>
      <c r="AD37" s="13"/>
      <c r="AG37" s="13"/>
      <c r="AH37" s="13"/>
      <c r="AK37" s="13"/>
      <c r="AL37" s="13"/>
      <c r="AO37" s="13"/>
      <c r="AP37" s="13"/>
      <c r="AS37" s="13"/>
      <c r="AT37" s="13"/>
      <c r="AW37" s="13"/>
      <c r="AX37" s="13"/>
      <c r="BA37" s="13"/>
      <c r="BB37" s="13"/>
      <c r="BH37" s="16"/>
      <c r="CD37" s="16"/>
    </row>
    <row r="38" spans="12:82" x14ac:dyDescent="0.25">
      <c r="L38" s="14"/>
      <c r="P38" s="14"/>
      <c r="U38" s="13"/>
      <c r="V38" s="13"/>
      <c r="Y38" s="13"/>
      <c r="Z38" s="13"/>
      <c r="AC38" s="13"/>
      <c r="AD38" s="13"/>
      <c r="AG38" s="13"/>
      <c r="AH38" s="13"/>
      <c r="AK38" s="13"/>
      <c r="AL38" s="13"/>
      <c r="AO38" s="13"/>
      <c r="AP38" s="13"/>
      <c r="AS38" s="13"/>
      <c r="AT38" s="13"/>
      <c r="AW38" s="13"/>
      <c r="AX38" s="13"/>
      <c r="BA38" s="13"/>
      <c r="BB38" s="13"/>
      <c r="BH38" s="16"/>
      <c r="CD38" s="16"/>
    </row>
    <row r="39" spans="12:82" x14ac:dyDescent="0.25">
      <c r="L39" s="14"/>
      <c r="P39" s="14"/>
      <c r="U39" s="13"/>
      <c r="V39" s="13"/>
      <c r="Y39" s="13"/>
      <c r="Z39" s="13"/>
      <c r="AC39" s="13"/>
      <c r="AD39" s="13"/>
      <c r="AG39" s="13"/>
      <c r="AH39" s="13"/>
      <c r="AK39" s="13"/>
      <c r="AL39" s="13"/>
      <c r="AO39" s="13"/>
      <c r="AP39" s="13"/>
      <c r="AS39" s="13"/>
      <c r="AT39" s="13"/>
      <c r="AW39" s="13"/>
      <c r="AX39" s="13"/>
      <c r="BA39" s="13"/>
      <c r="BB39" s="13"/>
      <c r="BH39" s="16"/>
      <c r="CD39" s="16"/>
    </row>
    <row r="40" spans="12:82" x14ac:dyDescent="0.25">
      <c r="L40" s="14"/>
      <c r="P40" s="14"/>
      <c r="U40" s="13"/>
      <c r="V40" s="13"/>
      <c r="Y40" s="13"/>
      <c r="Z40" s="13"/>
      <c r="AC40" s="13"/>
      <c r="AD40" s="13"/>
      <c r="AG40" s="13"/>
      <c r="AH40" s="13"/>
      <c r="AK40" s="13"/>
      <c r="AL40" s="13"/>
      <c r="AO40" s="13"/>
      <c r="AP40" s="13"/>
      <c r="AS40" s="13"/>
      <c r="AT40" s="13"/>
      <c r="AW40" s="13"/>
      <c r="AX40" s="13"/>
      <c r="BA40" s="13"/>
      <c r="BB40" s="13"/>
      <c r="BH40" s="16"/>
      <c r="CD40" s="16"/>
    </row>
    <row r="41" spans="12:82" x14ac:dyDescent="0.25">
      <c r="L41" s="14"/>
      <c r="P41" s="14"/>
      <c r="U41" s="13"/>
      <c r="V41" s="13"/>
      <c r="Y41" s="13"/>
      <c r="Z41" s="13"/>
      <c r="AC41" s="13"/>
      <c r="AD41" s="13"/>
      <c r="AG41" s="13"/>
      <c r="AH41" s="13"/>
      <c r="AK41" s="13"/>
      <c r="AL41" s="13"/>
      <c r="AO41" s="13"/>
      <c r="AP41" s="13"/>
      <c r="AS41" s="13"/>
      <c r="AT41" s="13"/>
      <c r="AW41" s="13"/>
      <c r="AX41" s="13"/>
      <c r="BA41" s="13"/>
      <c r="BB41" s="13"/>
      <c r="BH41" s="16"/>
      <c r="CD41" s="16"/>
    </row>
    <row r="42" spans="12:82" x14ac:dyDescent="0.25">
      <c r="L42" s="14"/>
      <c r="P42" s="14"/>
      <c r="U42" s="13"/>
      <c r="V42" s="13"/>
      <c r="Y42" s="13"/>
      <c r="Z42" s="13"/>
      <c r="AC42" s="13"/>
      <c r="AD42" s="13"/>
      <c r="AG42" s="13"/>
      <c r="AH42" s="13"/>
      <c r="AK42" s="13"/>
      <c r="AL42" s="13"/>
      <c r="AO42" s="13"/>
      <c r="AP42" s="13"/>
      <c r="AS42" s="13"/>
      <c r="AT42" s="13"/>
      <c r="AW42" s="13"/>
      <c r="AX42" s="13"/>
      <c r="BA42" s="13"/>
      <c r="BB42" s="13"/>
      <c r="BH42" s="16"/>
      <c r="CD42" s="16"/>
    </row>
    <row r="43" spans="12:82" x14ac:dyDescent="0.25">
      <c r="L43" s="14"/>
      <c r="P43" s="14"/>
      <c r="U43" s="13"/>
      <c r="V43" s="13"/>
      <c r="Y43" s="13"/>
      <c r="Z43" s="13"/>
      <c r="AC43" s="13"/>
      <c r="AD43" s="13"/>
      <c r="AG43" s="13"/>
      <c r="AH43" s="13"/>
      <c r="AK43" s="13"/>
      <c r="AL43" s="13"/>
      <c r="AO43" s="13"/>
      <c r="AP43" s="13"/>
      <c r="AS43" s="13"/>
      <c r="AT43" s="13"/>
      <c r="AW43" s="13"/>
      <c r="AX43" s="13"/>
      <c r="BA43" s="13"/>
      <c r="BB43" s="13"/>
      <c r="BH43" s="16"/>
      <c r="CD43" s="16"/>
    </row>
    <row r="44" spans="12:82" x14ac:dyDescent="0.25">
      <c r="L44" s="14"/>
      <c r="P44" s="14"/>
      <c r="U44" s="13"/>
      <c r="V44" s="13"/>
      <c r="Y44" s="13"/>
      <c r="Z44" s="13"/>
      <c r="AC44" s="13"/>
      <c r="AD44" s="13"/>
      <c r="AG44" s="13"/>
      <c r="AH44" s="13"/>
      <c r="AK44" s="13"/>
      <c r="AL44" s="13"/>
      <c r="AO44" s="13"/>
      <c r="AP44" s="13"/>
      <c r="AS44" s="13"/>
      <c r="AT44" s="13"/>
      <c r="AW44" s="13"/>
      <c r="AX44" s="13"/>
      <c r="BA44" s="13"/>
      <c r="BB44" s="13"/>
      <c r="BH44" s="16"/>
      <c r="CD44" s="16"/>
    </row>
    <row r="45" spans="12:82" x14ac:dyDescent="0.25">
      <c r="L45" s="14"/>
      <c r="P45" s="14"/>
      <c r="U45" s="13"/>
      <c r="V45" s="13"/>
      <c r="Y45" s="13"/>
      <c r="Z45" s="13"/>
      <c r="AC45" s="13"/>
      <c r="AD45" s="13"/>
      <c r="AG45" s="13"/>
      <c r="AH45" s="13"/>
      <c r="AK45" s="13"/>
      <c r="AL45" s="13"/>
      <c r="AO45" s="13"/>
      <c r="AP45" s="13"/>
      <c r="AS45" s="13"/>
      <c r="AT45" s="13"/>
      <c r="AW45" s="13"/>
      <c r="AX45" s="13"/>
      <c r="BA45" s="13"/>
      <c r="BB45" s="13"/>
      <c r="BH45" s="16"/>
      <c r="CD45" s="16"/>
    </row>
    <row r="46" spans="12:82" x14ac:dyDescent="0.25">
      <c r="L46" s="14"/>
      <c r="P46" s="14"/>
      <c r="U46" s="13"/>
      <c r="V46" s="13"/>
      <c r="Y46" s="13"/>
      <c r="Z46" s="13"/>
      <c r="AC46" s="13"/>
      <c r="AD46" s="13"/>
      <c r="AG46" s="13"/>
      <c r="AH46" s="13"/>
      <c r="AK46" s="13"/>
      <c r="AL46" s="13"/>
      <c r="AO46" s="13"/>
      <c r="AP46" s="13"/>
      <c r="AS46" s="13"/>
      <c r="AT46" s="13"/>
      <c r="AW46" s="13"/>
      <c r="AX46" s="13"/>
      <c r="BA46" s="13"/>
      <c r="BB46" s="13"/>
      <c r="BH46" s="16"/>
      <c r="CD46" s="16"/>
    </row>
    <row r="47" spans="12:82" x14ac:dyDescent="0.25">
      <c r="L47" s="14"/>
      <c r="P47" s="14"/>
      <c r="U47" s="13"/>
      <c r="V47" s="13"/>
      <c r="Y47" s="13"/>
      <c r="Z47" s="13"/>
      <c r="AC47" s="13"/>
      <c r="AD47" s="13"/>
      <c r="AG47" s="13"/>
      <c r="AH47" s="13"/>
      <c r="AK47" s="13"/>
      <c r="AL47" s="13"/>
      <c r="AO47" s="13"/>
      <c r="AP47" s="13"/>
      <c r="AS47" s="13"/>
      <c r="AT47" s="13"/>
      <c r="AW47" s="13"/>
      <c r="AX47" s="13"/>
      <c r="BA47" s="13"/>
      <c r="BB47" s="13"/>
      <c r="BH47" s="16"/>
      <c r="CD47" s="16"/>
    </row>
    <row r="48" spans="12:82" x14ac:dyDescent="0.25">
      <c r="L48" s="14"/>
      <c r="P48" s="14"/>
      <c r="U48" s="13"/>
      <c r="V48" s="13"/>
      <c r="Y48" s="13"/>
      <c r="Z48" s="13"/>
      <c r="AC48" s="13"/>
      <c r="AD48" s="13"/>
      <c r="AG48" s="13"/>
      <c r="AH48" s="13"/>
      <c r="AK48" s="13"/>
      <c r="AL48" s="13"/>
      <c r="AO48" s="13"/>
      <c r="AP48" s="13"/>
      <c r="AS48" s="13"/>
      <c r="AT48" s="13"/>
      <c r="AW48" s="13"/>
      <c r="AX48" s="13"/>
      <c r="BA48" s="13"/>
      <c r="BB48" s="13"/>
      <c r="BH48" s="16"/>
      <c r="CD48" s="16"/>
    </row>
    <row r="49" spans="12:82" x14ac:dyDescent="0.25">
      <c r="L49" s="14"/>
      <c r="P49" s="14"/>
      <c r="U49" s="13"/>
      <c r="V49" s="13"/>
      <c r="Y49" s="13"/>
      <c r="Z49" s="13"/>
      <c r="AC49" s="13"/>
      <c r="AD49" s="13"/>
      <c r="AG49" s="13"/>
      <c r="AH49" s="13"/>
      <c r="AK49" s="13"/>
      <c r="AL49" s="13"/>
      <c r="AO49" s="13"/>
      <c r="AP49" s="13"/>
      <c r="AS49" s="13"/>
      <c r="AT49" s="13"/>
      <c r="AW49" s="13"/>
      <c r="AX49" s="13"/>
      <c r="BA49" s="13"/>
      <c r="BB49" s="13"/>
      <c r="BH49" s="16"/>
      <c r="CD49" s="16"/>
    </row>
    <row r="50" spans="12:82" x14ac:dyDescent="0.25">
      <c r="L50" s="14"/>
      <c r="P50" s="14"/>
      <c r="U50" s="13"/>
      <c r="V50" s="13"/>
      <c r="Y50" s="13"/>
      <c r="Z50" s="13"/>
      <c r="AC50" s="13"/>
      <c r="AD50" s="13"/>
      <c r="AG50" s="13"/>
      <c r="AH50" s="13"/>
      <c r="AK50" s="13"/>
      <c r="AL50" s="13"/>
      <c r="AO50" s="13"/>
      <c r="AP50" s="13"/>
      <c r="AS50" s="13"/>
      <c r="AT50" s="13"/>
      <c r="AW50" s="13"/>
      <c r="AX50" s="13"/>
      <c r="BA50" s="13"/>
      <c r="BB50" s="13"/>
      <c r="BH50" s="16"/>
      <c r="CD50" s="16"/>
    </row>
    <row r="51" spans="12:82" x14ac:dyDescent="0.25">
      <c r="L51" s="14"/>
      <c r="P51" s="14"/>
      <c r="U51" s="13"/>
      <c r="V51" s="13"/>
      <c r="Y51" s="13"/>
      <c r="Z51" s="13"/>
      <c r="AC51" s="13"/>
      <c r="AD51" s="13"/>
      <c r="AG51" s="13"/>
      <c r="AH51" s="13"/>
      <c r="AK51" s="13"/>
      <c r="AL51" s="13"/>
      <c r="AO51" s="13"/>
      <c r="AP51" s="13"/>
      <c r="AS51" s="13"/>
      <c r="AT51" s="13"/>
      <c r="AW51" s="13"/>
      <c r="AX51" s="13"/>
      <c r="BA51" s="13"/>
      <c r="BB51" s="13"/>
      <c r="BH51" s="16"/>
      <c r="CD51" s="16"/>
    </row>
    <row r="52" spans="12:82" x14ac:dyDescent="0.25">
      <c r="L52" s="14"/>
      <c r="P52" s="14"/>
      <c r="U52" s="13"/>
      <c r="V52" s="13"/>
      <c r="Y52" s="13"/>
      <c r="Z52" s="13"/>
      <c r="AC52" s="13"/>
      <c r="AD52" s="13"/>
      <c r="AG52" s="13"/>
      <c r="AH52" s="13"/>
      <c r="AK52" s="13"/>
      <c r="AL52" s="13"/>
      <c r="AO52" s="13"/>
      <c r="AP52" s="13"/>
      <c r="AS52" s="13"/>
      <c r="AT52" s="13"/>
      <c r="AW52" s="13"/>
      <c r="AX52" s="13"/>
      <c r="BA52" s="13"/>
      <c r="BB52" s="13"/>
      <c r="BH52" s="16"/>
      <c r="CD52" s="16"/>
    </row>
    <row r="53" spans="12:82" x14ac:dyDescent="0.25">
      <c r="L53" s="14"/>
      <c r="P53" s="14"/>
      <c r="U53" s="13"/>
      <c r="V53" s="13"/>
      <c r="Y53" s="13"/>
      <c r="Z53" s="13"/>
      <c r="AC53" s="13"/>
      <c r="AD53" s="13"/>
      <c r="AG53" s="13"/>
      <c r="AH53" s="13"/>
      <c r="AK53" s="13"/>
      <c r="AL53" s="13"/>
      <c r="AO53" s="13"/>
      <c r="AP53" s="13"/>
      <c r="AS53" s="13"/>
      <c r="AT53" s="13"/>
      <c r="AW53" s="13"/>
      <c r="AX53" s="13"/>
      <c r="BA53" s="13"/>
      <c r="BB53" s="13"/>
      <c r="BH53" s="16"/>
      <c r="CD53" s="16"/>
    </row>
    <row r="54" spans="12:82" x14ac:dyDescent="0.25">
      <c r="L54" s="14"/>
      <c r="P54" s="14"/>
      <c r="U54" s="13"/>
      <c r="V54" s="13"/>
      <c r="Y54" s="13"/>
      <c r="Z54" s="13"/>
      <c r="AC54" s="13"/>
      <c r="AD54" s="13"/>
      <c r="AG54" s="13"/>
      <c r="AH54" s="13"/>
      <c r="AK54" s="13"/>
      <c r="AL54" s="13"/>
      <c r="AO54" s="13"/>
      <c r="AP54" s="13"/>
      <c r="AS54" s="13"/>
      <c r="AT54" s="13"/>
      <c r="AW54" s="13"/>
      <c r="AX54" s="13"/>
      <c r="BA54" s="13"/>
      <c r="BB54" s="13"/>
      <c r="BH54" s="16"/>
      <c r="CD54" s="16"/>
    </row>
    <row r="55" spans="12:82" x14ac:dyDescent="0.25">
      <c r="L55" s="14"/>
      <c r="P55" s="14"/>
      <c r="U55" s="13"/>
      <c r="V55" s="13"/>
      <c r="Y55" s="13"/>
      <c r="Z55" s="13"/>
      <c r="AC55" s="13"/>
      <c r="AD55" s="13"/>
      <c r="AG55" s="13"/>
      <c r="AH55" s="13"/>
      <c r="AK55" s="13"/>
      <c r="AL55" s="13"/>
      <c r="AO55" s="13"/>
      <c r="AP55" s="13"/>
      <c r="AS55" s="13"/>
      <c r="AT55" s="13"/>
      <c r="AW55" s="13"/>
      <c r="AX55" s="13"/>
      <c r="BA55" s="13"/>
      <c r="BB55" s="13"/>
      <c r="BH55" s="16"/>
      <c r="CD55" s="16"/>
    </row>
    <row r="56" spans="12:82" x14ac:dyDescent="0.25">
      <c r="L56" s="14"/>
      <c r="P56" s="14"/>
      <c r="U56" s="13"/>
      <c r="V56" s="13"/>
      <c r="Y56" s="13"/>
      <c r="Z56" s="13"/>
      <c r="AC56" s="13"/>
      <c r="AD56" s="13"/>
      <c r="AG56" s="13"/>
      <c r="AH56" s="13"/>
      <c r="AK56" s="13"/>
      <c r="AL56" s="13"/>
      <c r="AO56" s="13"/>
      <c r="AP56" s="13"/>
      <c r="AS56" s="13"/>
      <c r="AT56" s="13"/>
      <c r="AW56" s="13"/>
      <c r="AX56" s="13"/>
      <c r="BA56" s="13"/>
      <c r="BB56" s="13"/>
      <c r="BH56" s="16"/>
      <c r="CD56" s="16"/>
    </row>
    <row r="57" spans="12:82" x14ac:dyDescent="0.25">
      <c r="L57" s="14"/>
      <c r="P57" s="14"/>
      <c r="U57" s="13"/>
      <c r="V57" s="13"/>
      <c r="Y57" s="13"/>
      <c r="Z57" s="13"/>
      <c r="AC57" s="13"/>
      <c r="AD57" s="13"/>
      <c r="AG57" s="13"/>
      <c r="AH57" s="13"/>
      <c r="AK57" s="13"/>
      <c r="AL57" s="13"/>
      <c r="AO57" s="13"/>
      <c r="AP57" s="13"/>
      <c r="AS57" s="13"/>
      <c r="AT57" s="13"/>
      <c r="AW57" s="13"/>
      <c r="AX57" s="13"/>
      <c r="BA57" s="13"/>
      <c r="BB57" s="13"/>
      <c r="BH57" s="16"/>
      <c r="CD57" s="16"/>
    </row>
    <row r="58" spans="12:82" x14ac:dyDescent="0.25">
      <c r="L58" s="14"/>
      <c r="P58" s="14"/>
      <c r="U58" s="13"/>
      <c r="V58" s="13"/>
      <c r="Y58" s="13"/>
      <c r="Z58" s="13"/>
      <c r="AC58" s="13"/>
      <c r="AD58" s="13"/>
      <c r="AG58" s="13"/>
      <c r="AH58" s="13"/>
      <c r="AK58" s="13"/>
      <c r="AL58" s="13"/>
      <c r="AO58" s="13"/>
      <c r="AP58" s="13"/>
      <c r="AS58" s="13"/>
      <c r="AT58" s="13"/>
      <c r="AW58" s="13"/>
      <c r="AX58" s="13"/>
      <c r="BA58" s="13"/>
      <c r="BB58" s="13"/>
      <c r="BH58" s="16"/>
      <c r="CD58" s="16"/>
    </row>
    <row r="59" spans="12:82" x14ac:dyDescent="0.25">
      <c r="L59" s="14"/>
      <c r="P59" s="14"/>
      <c r="U59" s="13"/>
      <c r="V59" s="13"/>
      <c r="Y59" s="13"/>
      <c r="Z59" s="13"/>
      <c r="AC59" s="13"/>
      <c r="AD59" s="13"/>
      <c r="AG59" s="13"/>
      <c r="AH59" s="13"/>
      <c r="AK59" s="13"/>
      <c r="AL59" s="13"/>
      <c r="AO59" s="13"/>
      <c r="AP59" s="13"/>
      <c r="AS59" s="13"/>
      <c r="AT59" s="13"/>
      <c r="AW59" s="13"/>
      <c r="AX59" s="13"/>
      <c r="BA59" s="13"/>
      <c r="BB59" s="13"/>
      <c r="BH59" s="16"/>
      <c r="CD59" s="16"/>
    </row>
    <row r="60" spans="12:82" x14ac:dyDescent="0.25">
      <c r="L60" s="14"/>
      <c r="P60" s="14"/>
      <c r="U60" s="13"/>
      <c r="V60" s="13"/>
      <c r="Y60" s="13"/>
      <c r="Z60" s="13"/>
      <c r="AC60" s="13"/>
      <c r="AD60" s="13"/>
      <c r="AG60" s="13"/>
      <c r="AH60" s="13"/>
      <c r="AK60" s="13"/>
      <c r="AL60" s="13"/>
      <c r="AO60" s="13"/>
      <c r="AP60" s="13"/>
      <c r="AS60" s="13"/>
      <c r="AT60" s="13"/>
      <c r="AW60" s="13"/>
      <c r="AX60" s="13"/>
      <c r="BA60" s="13"/>
      <c r="BB60" s="13"/>
      <c r="BH60" s="16"/>
      <c r="CD60" s="16"/>
    </row>
    <row r="61" spans="12:82" x14ac:dyDescent="0.25">
      <c r="L61" s="14"/>
      <c r="P61" s="14"/>
      <c r="U61" s="13"/>
      <c r="V61" s="13"/>
      <c r="Y61" s="13"/>
      <c r="Z61" s="13"/>
      <c r="AC61" s="13"/>
      <c r="AD61" s="13"/>
      <c r="AG61" s="13"/>
      <c r="AH61" s="13"/>
      <c r="AK61" s="13"/>
      <c r="AL61" s="13"/>
      <c r="AO61" s="13"/>
      <c r="AP61" s="13"/>
      <c r="AS61" s="13"/>
      <c r="AT61" s="13"/>
      <c r="AW61" s="13"/>
      <c r="AX61" s="13"/>
      <c r="BA61" s="13"/>
      <c r="BB61" s="13"/>
      <c r="BH61" s="16"/>
      <c r="CD61" s="16"/>
    </row>
    <row r="62" spans="12:82" x14ac:dyDescent="0.25">
      <c r="L62" s="14"/>
      <c r="P62" s="14"/>
      <c r="U62" s="13"/>
      <c r="V62" s="13"/>
      <c r="Y62" s="13"/>
      <c r="Z62" s="13"/>
      <c r="AC62" s="13"/>
      <c r="AD62" s="13"/>
      <c r="AG62" s="13"/>
      <c r="AH62" s="13"/>
      <c r="AK62" s="13"/>
      <c r="AL62" s="13"/>
      <c r="AO62" s="13"/>
      <c r="AP62" s="13"/>
      <c r="AS62" s="13"/>
      <c r="AT62" s="13"/>
      <c r="AW62" s="13"/>
      <c r="AX62" s="13"/>
      <c r="BA62" s="13"/>
      <c r="BB62" s="13"/>
      <c r="BH62" s="16"/>
      <c r="CD62" s="16"/>
    </row>
    <row r="63" spans="12:82" x14ac:dyDescent="0.25">
      <c r="L63" s="14"/>
      <c r="P63" s="14"/>
      <c r="U63" s="13"/>
      <c r="V63" s="13"/>
      <c r="Y63" s="13"/>
      <c r="Z63" s="13"/>
      <c r="AC63" s="13"/>
      <c r="AD63" s="13"/>
      <c r="AG63" s="13"/>
      <c r="AH63" s="13"/>
      <c r="AK63" s="13"/>
      <c r="AL63" s="13"/>
      <c r="AO63" s="13"/>
      <c r="AP63" s="13"/>
      <c r="AS63" s="13"/>
      <c r="AT63" s="13"/>
      <c r="AW63" s="13"/>
      <c r="AX63" s="13"/>
      <c r="BA63" s="13"/>
      <c r="BB63" s="13"/>
      <c r="BH63" s="16"/>
      <c r="CD63" s="16"/>
    </row>
    <row r="64" spans="12:82" x14ac:dyDescent="0.25">
      <c r="L64" s="14"/>
      <c r="P64" s="14"/>
      <c r="U64" s="13"/>
      <c r="V64" s="13"/>
      <c r="Y64" s="13"/>
      <c r="Z64" s="13"/>
      <c r="AC64" s="13"/>
      <c r="AD64" s="13"/>
      <c r="AG64" s="13"/>
      <c r="AH64" s="13"/>
      <c r="AK64" s="13"/>
      <c r="AL64" s="13"/>
      <c r="AO64" s="13"/>
      <c r="AP64" s="13"/>
      <c r="AS64" s="13"/>
      <c r="AT64" s="13"/>
      <c r="AW64" s="13"/>
      <c r="AX64" s="13"/>
      <c r="BA64" s="13"/>
      <c r="BB64" s="13"/>
      <c r="BH64" s="16"/>
      <c r="CD64" s="16"/>
    </row>
    <row r="65" spans="12:82" x14ac:dyDescent="0.25">
      <c r="L65" s="14"/>
      <c r="P65" s="14"/>
      <c r="U65" s="13"/>
      <c r="V65" s="13"/>
      <c r="Y65" s="13"/>
      <c r="Z65" s="13"/>
      <c r="AC65" s="13"/>
      <c r="AD65" s="13"/>
      <c r="AG65" s="13"/>
      <c r="AH65" s="13"/>
      <c r="AK65" s="13"/>
      <c r="AL65" s="13"/>
      <c r="AO65" s="13"/>
      <c r="AP65" s="13"/>
      <c r="AS65" s="13"/>
      <c r="AT65" s="13"/>
      <c r="AW65" s="13"/>
      <c r="AX65" s="13"/>
      <c r="BA65" s="13"/>
      <c r="BB65" s="13"/>
      <c r="BH65" s="16"/>
      <c r="CD65" s="16"/>
    </row>
    <row r="66" spans="12:82" x14ac:dyDescent="0.25">
      <c r="L66" s="14"/>
      <c r="P66" s="14"/>
      <c r="U66" s="13"/>
      <c r="V66" s="13"/>
      <c r="Y66" s="13"/>
      <c r="Z66" s="13"/>
      <c r="AC66" s="13"/>
      <c r="AD66" s="13"/>
      <c r="AG66" s="13"/>
      <c r="AH66" s="13"/>
      <c r="AK66" s="13"/>
      <c r="AL66" s="13"/>
      <c r="AO66" s="13"/>
      <c r="AP66" s="13"/>
      <c r="AS66" s="13"/>
      <c r="AT66" s="13"/>
      <c r="AW66" s="13"/>
      <c r="AX66" s="13"/>
      <c r="BA66" s="13"/>
      <c r="BB66" s="13"/>
      <c r="BH66" s="16"/>
      <c r="CD66" s="16"/>
    </row>
    <row r="67" spans="12:82" x14ac:dyDescent="0.25">
      <c r="L67" s="14"/>
      <c r="P67" s="14"/>
      <c r="U67" s="13"/>
      <c r="V67" s="13"/>
      <c r="Y67" s="13"/>
      <c r="Z67" s="13"/>
      <c r="AC67" s="13"/>
      <c r="AD67" s="13"/>
      <c r="AG67" s="13"/>
      <c r="AH67" s="13"/>
      <c r="AK67" s="13"/>
      <c r="AL67" s="13"/>
      <c r="AO67" s="13"/>
      <c r="AP67" s="13"/>
      <c r="AS67" s="13"/>
      <c r="AT67" s="13"/>
      <c r="AW67" s="13"/>
      <c r="AX67" s="13"/>
      <c r="BA67" s="13"/>
      <c r="BB67" s="13"/>
      <c r="BH67" s="16"/>
      <c r="CD67" s="16"/>
    </row>
    <row r="68" spans="12:82" x14ac:dyDescent="0.25">
      <c r="L68" s="14"/>
      <c r="P68" s="14"/>
      <c r="U68" s="13"/>
      <c r="V68" s="13"/>
      <c r="Y68" s="13"/>
      <c r="Z68" s="13"/>
      <c r="AC68" s="13"/>
      <c r="AD68" s="13"/>
      <c r="AG68" s="13"/>
      <c r="AH68" s="13"/>
      <c r="AK68" s="13"/>
      <c r="AL68" s="13"/>
      <c r="AO68" s="13"/>
      <c r="AP68" s="13"/>
      <c r="AS68" s="13"/>
      <c r="AT68" s="13"/>
      <c r="AW68" s="13"/>
      <c r="AX68" s="13"/>
      <c r="BA68" s="13"/>
      <c r="BB68" s="13"/>
      <c r="BH68" s="16"/>
      <c r="CD68" s="16"/>
    </row>
    <row r="69" spans="12:82" x14ac:dyDescent="0.25">
      <c r="L69" s="14"/>
      <c r="P69" s="14"/>
      <c r="U69" s="13"/>
      <c r="V69" s="13"/>
      <c r="Y69" s="13"/>
      <c r="Z69" s="13"/>
      <c r="AC69" s="13"/>
      <c r="AD69" s="13"/>
      <c r="AG69" s="13"/>
      <c r="AH69" s="13"/>
      <c r="AK69" s="13"/>
      <c r="AL69" s="13"/>
      <c r="AO69" s="13"/>
      <c r="AP69" s="13"/>
      <c r="AS69" s="13"/>
      <c r="AT69" s="13"/>
      <c r="AW69" s="13"/>
      <c r="AX69" s="13"/>
      <c r="BA69" s="13"/>
      <c r="BB69" s="13"/>
      <c r="BH69" s="16"/>
      <c r="CD69" s="16"/>
    </row>
    <row r="70" spans="12:82" x14ac:dyDescent="0.25">
      <c r="L70" s="14"/>
      <c r="P70" s="14"/>
      <c r="U70" s="13"/>
      <c r="V70" s="13"/>
      <c r="Y70" s="13"/>
      <c r="Z70" s="13"/>
      <c r="AC70" s="13"/>
      <c r="AD70" s="13"/>
      <c r="AG70" s="13"/>
      <c r="AH70" s="13"/>
      <c r="AK70" s="13"/>
      <c r="AL70" s="13"/>
      <c r="AO70" s="13"/>
      <c r="AP70" s="13"/>
      <c r="AS70" s="13"/>
      <c r="AT70" s="13"/>
      <c r="AW70" s="13"/>
      <c r="AX70" s="13"/>
      <c r="BA70" s="13"/>
      <c r="BB70" s="13"/>
      <c r="BH70" s="16"/>
      <c r="CD70" s="16"/>
    </row>
    <row r="71" spans="12:82" x14ac:dyDescent="0.25">
      <c r="L71" s="14"/>
      <c r="P71" s="14"/>
      <c r="U71" s="13"/>
      <c r="V71" s="13"/>
      <c r="Y71" s="13"/>
      <c r="Z71" s="13"/>
      <c r="AC71" s="13"/>
      <c r="AD71" s="13"/>
      <c r="AG71" s="13"/>
      <c r="AH71" s="13"/>
      <c r="AK71" s="13"/>
      <c r="AL71" s="13"/>
      <c r="AO71" s="13"/>
      <c r="AP71" s="13"/>
      <c r="AS71" s="13"/>
      <c r="AT71" s="13"/>
      <c r="AW71" s="13"/>
      <c r="AX71" s="13"/>
      <c r="BA71" s="13"/>
      <c r="BB71" s="13"/>
      <c r="BH71" s="16"/>
      <c r="CD71" s="16"/>
    </row>
    <row r="72" spans="12:82" x14ac:dyDescent="0.25">
      <c r="L72" s="14"/>
      <c r="P72" s="14"/>
      <c r="U72" s="13"/>
      <c r="V72" s="13"/>
      <c r="Y72" s="13"/>
      <c r="Z72" s="13"/>
      <c r="AC72" s="13"/>
      <c r="AD72" s="13"/>
      <c r="AG72" s="13"/>
      <c r="AH72" s="13"/>
      <c r="AK72" s="13"/>
      <c r="AL72" s="13"/>
      <c r="AO72" s="13"/>
      <c r="AP72" s="13"/>
      <c r="AS72" s="13"/>
      <c r="AT72" s="13"/>
      <c r="AW72" s="13"/>
      <c r="AX72" s="13"/>
      <c r="BA72" s="13"/>
      <c r="BB72" s="13"/>
      <c r="BH72" s="16"/>
      <c r="CD72" s="16"/>
    </row>
    <row r="73" spans="12:82" x14ac:dyDescent="0.25">
      <c r="L73" s="14"/>
      <c r="P73" s="14"/>
      <c r="U73" s="13"/>
      <c r="V73" s="13"/>
      <c r="Y73" s="13"/>
      <c r="Z73" s="13"/>
      <c r="AC73" s="13"/>
      <c r="AD73" s="13"/>
      <c r="AG73" s="13"/>
      <c r="AH73" s="13"/>
      <c r="AK73" s="13"/>
      <c r="AL73" s="13"/>
      <c r="AO73" s="13"/>
      <c r="AP73" s="13"/>
      <c r="AS73" s="13"/>
      <c r="AT73" s="13"/>
      <c r="AW73" s="13"/>
      <c r="AX73" s="13"/>
      <c r="BA73" s="13"/>
      <c r="BB73" s="13"/>
      <c r="BH73" s="16"/>
      <c r="CD73" s="16"/>
    </row>
    <row r="74" spans="12:82" x14ac:dyDescent="0.25">
      <c r="L74" s="14"/>
      <c r="P74" s="14"/>
      <c r="U74" s="13"/>
      <c r="V74" s="13"/>
      <c r="Y74" s="13"/>
      <c r="Z74" s="13"/>
      <c r="AC74" s="13"/>
      <c r="AD74" s="13"/>
      <c r="AG74" s="13"/>
      <c r="AH74" s="13"/>
      <c r="AK74" s="13"/>
      <c r="AL74" s="13"/>
      <c r="AO74" s="13"/>
      <c r="AP74" s="13"/>
      <c r="AS74" s="13"/>
      <c r="AT74" s="13"/>
      <c r="AW74" s="13"/>
      <c r="AX74" s="13"/>
      <c r="BA74" s="13"/>
      <c r="BB74" s="13"/>
      <c r="BH74" s="16"/>
      <c r="CD74" s="16"/>
    </row>
    <row r="75" spans="12:82" x14ac:dyDescent="0.25">
      <c r="L75" s="14"/>
      <c r="P75" s="14"/>
      <c r="U75" s="13"/>
      <c r="V75" s="13"/>
      <c r="Y75" s="13"/>
      <c r="Z75" s="13"/>
      <c r="AC75" s="13"/>
      <c r="AD75" s="13"/>
      <c r="AG75" s="13"/>
      <c r="AH75" s="13"/>
      <c r="AK75" s="13"/>
      <c r="AL75" s="13"/>
      <c r="AO75" s="13"/>
      <c r="AP75" s="13"/>
      <c r="AS75" s="13"/>
      <c r="AT75" s="13"/>
      <c r="AW75" s="13"/>
      <c r="AX75" s="13"/>
      <c r="BA75" s="13"/>
      <c r="BB75" s="13"/>
      <c r="BH75" s="16"/>
      <c r="CD75" s="16"/>
    </row>
    <row r="76" spans="12:82" x14ac:dyDescent="0.25">
      <c r="L76" s="14"/>
      <c r="P76" s="14"/>
      <c r="U76" s="13"/>
      <c r="V76" s="13"/>
      <c r="Y76" s="13"/>
      <c r="Z76" s="13"/>
      <c r="AC76" s="13"/>
      <c r="AD76" s="13"/>
      <c r="AG76" s="13"/>
      <c r="AH76" s="13"/>
      <c r="AK76" s="13"/>
      <c r="AL76" s="13"/>
      <c r="AO76" s="13"/>
      <c r="AP76" s="13"/>
      <c r="AS76" s="13"/>
      <c r="AT76" s="13"/>
      <c r="AW76" s="13"/>
      <c r="AX76" s="13"/>
      <c r="BA76" s="13"/>
      <c r="BB76" s="13"/>
      <c r="BH76" s="16"/>
      <c r="CD76" s="16"/>
    </row>
    <row r="77" spans="12:82" x14ac:dyDescent="0.25">
      <c r="L77" s="14"/>
      <c r="P77" s="14"/>
      <c r="U77" s="13"/>
      <c r="V77" s="13"/>
      <c r="Y77" s="13"/>
      <c r="Z77" s="13"/>
      <c r="AC77" s="13"/>
      <c r="AD77" s="13"/>
      <c r="AG77" s="13"/>
      <c r="AH77" s="13"/>
      <c r="AK77" s="13"/>
      <c r="AL77" s="13"/>
      <c r="AO77" s="13"/>
      <c r="AP77" s="13"/>
      <c r="AS77" s="13"/>
      <c r="AT77" s="13"/>
      <c r="AW77" s="13"/>
      <c r="AX77" s="13"/>
      <c r="BA77" s="13"/>
      <c r="BB77" s="13"/>
      <c r="BH77" s="16"/>
      <c r="CD77" s="16"/>
    </row>
    <row r="78" spans="12:82" x14ac:dyDescent="0.25">
      <c r="L78" s="14"/>
      <c r="P78" s="14"/>
      <c r="U78" s="13"/>
      <c r="V78" s="13"/>
      <c r="Y78" s="13"/>
      <c r="Z78" s="13"/>
      <c r="AC78" s="13"/>
      <c r="AD78" s="13"/>
      <c r="AG78" s="13"/>
      <c r="AH78" s="13"/>
      <c r="AK78" s="13"/>
      <c r="AL78" s="13"/>
      <c r="AO78" s="13"/>
      <c r="AP78" s="13"/>
      <c r="AS78" s="13"/>
      <c r="AT78" s="13"/>
      <c r="AW78" s="13"/>
      <c r="AX78" s="13"/>
      <c r="BA78" s="13"/>
      <c r="BB78" s="13"/>
      <c r="BH78" s="16"/>
      <c r="CD78" s="16"/>
    </row>
    <row r="79" spans="12:82" x14ac:dyDescent="0.25">
      <c r="L79" s="14"/>
      <c r="P79" s="14"/>
      <c r="U79" s="13"/>
      <c r="V79" s="13"/>
      <c r="Y79" s="13"/>
      <c r="Z79" s="13"/>
      <c r="AC79" s="13"/>
      <c r="AD79" s="13"/>
      <c r="AG79" s="13"/>
      <c r="AH79" s="13"/>
      <c r="AK79" s="13"/>
      <c r="AL79" s="13"/>
      <c r="AO79" s="13"/>
      <c r="AP79" s="13"/>
      <c r="AS79" s="13"/>
      <c r="AT79" s="13"/>
      <c r="AW79" s="13"/>
      <c r="AX79" s="13"/>
      <c r="BA79" s="13"/>
      <c r="BB79" s="13"/>
      <c r="BH79" s="16"/>
      <c r="CD79" s="16"/>
    </row>
    <row r="80" spans="12:82" x14ac:dyDescent="0.25">
      <c r="L80" s="14"/>
      <c r="P80" s="14"/>
      <c r="U80" s="13"/>
      <c r="V80" s="13"/>
      <c r="Y80" s="13"/>
      <c r="Z80" s="13"/>
      <c r="AC80" s="13"/>
      <c r="AD80" s="13"/>
      <c r="AG80" s="13"/>
      <c r="AH80" s="13"/>
      <c r="AK80" s="13"/>
      <c r="AL80" s="13"/>
      <c r="AO80" s="13"/>
      <c r="AP80" s="13"/>
      <c r="AS80" s="13"/>
      <c r="AT80" s="13"/>
      <c r="AW80" s="13"/>
      <c r="AX80" s="13"/>
      <c r="BA80" s="13"/>
      <c r="BB80" s="13"/>
      <c r="BH80" s="16"/>
      <c r="CD80" s="16"/>
    </row>
    <row r="81" spans="12:82" x14ac:dyDescent="0.25">
      <c r="L81" s="14"/>
      <c r="P81" s="14"/>
      <c r="U81" s="13"/>
      <c r="V81" s="13"/>
      <c r="Y81" s="13"/>
      <c r="Z81" s="13"/>
      <c r="AC81" s="13"/>
      <c r="AD81" s="13"/>
      <c r="AG81" s="13"/>
      <c r="AH81" s="13"/>
      <c r="AK81" s="13"/>
      <c r="AL81" s="13"/>
      <c r="AO81" s="13"/>
      <c r="AP81" s="13"/>
      <c r="AS81" s="13"/>
      <c r="AT81" s="13"/>
      <c r="AW81" s="13"/>
      <c r="AX81" s="13"/>
      <c r="BA81" s="13"/>
      <c r="BB81" s="13"/>
      <c r="BH81" s="16"/>
      <c r="CD81" s="16"/>
    </row>
    <row r="82" spans="12:82" x14ac:dyDescent="0.25">
      <c r="L82" s="14"/>
      <c r="P82" s="14"/>
      <c r="U82" s="13"/>
      <c r="V82" s="13"/>
      <c r="Y82" s="13"/>
      <c r="Z82" s="13"/>
      <c r="AC82" s="13"/>
      <c r="AD82" s="13"/>
      <c r="AG82" s="13"/>
      <c r="AH82" s="13"/>
      <c r="AK82" s="13"/>
      <c r="AL82" s="13"/>
      <c r="AO82" s="13"/>
      <c r="AP82" s="13"/>
      <c r="AS82" s="13"/>
      <c r="AT82" s="13"/>
      <c r="AW82" s="13"/>
      <c r="AX82" s="13"/>
      <c r="BA82" s="13"/>
      <c r="BB82" s="13"/>
      <c r="BH82" s="16"/>
      <c r="CD82" s="16"/>
    </row>
    <row r="83" spans="12:82" x14ac:dyDescent="0.25">
      <c r="L83" s="14"/>
      <c r="P83" s="14"/>
      <c r="U83" s="13"/>
      <c r="V83" s="13"/>
      <c r="Y83" s="13"/>
      <c r="Z83" s="13"/>
      <c r="AC83" s="13"/>
      <c r="AD83" s="13"/>
      <c r="AG83" s="13"/>
      <c r="AH83" s="13"/>
      <c r="AK83" s="13"/>
      <c r="AL83" s="13"/>
      <c r="AO83" s="13"/>
      <c r="AP83" s="13"/>
      <c r="AS83" s="13"/>
      <c r="AT83" s="13"/>
      <c r="AW83" s="13"/>
      <c r="AX83" s="13"/>
      <c r="BA83" s="13"/>
      <c r="BB83" s="13"/>
      <c r="BH83" s="16"/>
      <c r="CD83" s="16"/>
    </row>
    <row r="84" spans="12:82" x14ac:dyDescent="0.25">
      <c r="L84" s="14"/>
      <c r="P84" s="14"/>
      <c r="U84" s="13"/>
      <c r="V84" s="13"/>
      <c r="Y84" s="13"/>
      <c r="Z84" s="13"/>
      <c r="AC84" s="13"/>
      <c r="AD84" s="13"/>
      <c r="AG84" s="13"/>
      <c r="AH84" s="13"/>
      <c r="AK84" s="13"/>
      <c r="AL84" s="13"/>
      <c r="AO84" s="13"/>
      <c r="AP84" s="13"/>
      <c r="AS84" s="13"/>
      <c r="AT84" s="13"/>
      <c r="AW84" s="13"/>
      <c r="AX84" s="13"/>
      <c r="BA84" s="13"/>
      <c r="BB84" s="13"/>
      <c r="BH84" s="16"/>
      <c r="CD84" s="16"/>
    </row>
    <row r="85" spans="12:82" x14ac:dyDescent="0.25">
      <c r="L85" s="14"/>
      <c r="P85" s="14"/>
      <c r="U85" s="13"/>
      <c r="V85" s="13"/>
      <c r="Y85" s="13"/>
      <c r="Z85" s="13"/>
      <c r="AC85" s="13"/>
      <c r="AD85" s="13"/>
      <c r="AG85" s="13"/>
      <c r="AH85" s="13"/>
      <c r="AK85" s="13"/>
      <c r="AL85" s="13"/>
      <c r="AO85" s="13"/>
      <c r="AP85" s="13"/>
      <c r="AS85" s="13"/>
      <c r="AT85" s="13"/>
      <c r="AW85" s="13"/>
      <c r="AX85" s="13"/>
      <c r="BA85" s="13"/>
      <c r="BB85" s="13"/>
      <c r="BH85" s="16"/>
      <c r="CD85" s="16"/>
    </row>
    <row r="86" spans="12:82" x14ac:dyDescent="0.25">
      <c r="L86" s="14"/>
      <c r="P86" s="14"/>
      <c r="U86" s="13"/>
      <c r="V86" s="13"/>
      <c r="Y86" s="13"/>
      <c r="Z86" s="13"/>
      <c r="AC86" s="13"/>
      <c r="AD86" s="13"/>
      <c r="AG86" s="13"/>
      <c r="AH86" s="13"/>
      <c r="AK86" s="13"/>
      <c r="AL86" s="13"/>
      <c r="AO86" s="13"/>
      <c r="AP86" s="13"/>
      <c r="AS86" s="13"/>
      <c r="AT86" s="13"/>
      <c r="AW86" s="13"/>
      <c r="AX86" s="13"/>
      <c r="BA86" s="13"/>
      <c r="BB86" s="13"/>
      <c r="BH86" s="16"/>
      <c r="CD86" s="16"/>
    </row>
    <row r="87" spans="12:82" x14ac:dyDescent="0.25">
      <c r="L87" s="14"/>
      <c r="P87" s="14"/>
      <c r="U87" s="13"/>
      <c r="V87" s="13"/>
      <c r="Y87" s="13"/>
      <c r="Z87" s="13"/>
      <c r="AC87" s="13"/>
      <c r="AD87" s="13"/>
      <c r="AG87" s="13"/>
      <c r="AH87" s="13"/>
      <c r="AK87" s="13"/>
      <c r="AL87" s="13"/>
      <c r="AO87" s="13"/>
      <c r="AP87" s="13"/>
      <c r="AS87" s="13"/>
      <c r="AT87" s="13"/>
      <c r="AW87" s="13"/>
      <c r="AX87" s="13"/>
      <c r="BA87" s="13"/>
      <c r="BB87" s="13"/>
      <c r="BH87" s="16"/>
      <c r="CD87" s="16"/>
    </row>
    <row r="88" spans="12:82" x14ac:dyDescent="0.25">
      <c r="L88" s="14"/>
      <c r="P88" s="14"/>
      <c r="U88" s="13"/>
      <c r="V88" s="13"/>
      <c r="Y88" s="13"/>
      <c r="Z88" s="13"/>
      <c r="AC88" s="13"/>
      <c r="AD88" s="13"/>
      <c r="AG88" s="13"/>
      <c r="AH88" s="13"/>
      <c r="AK88" s="13"/>
      <c r="AL88" s="13"/>
      <c r="AO88" s="13"/>
      <c r="AP88" s="13"/>
      <c r="AS88" s="13"/>
      <c r="AT88" s="13"/>
      <c r="AW88" s="13"/>
      <c r="AX88" s="13"/>
      <c r="BA88" s="13"/>
      <c r="BB88" s="13"/>
      <c r="BH88" s="16"/>
      <c r="CD88" s="16"/>
    </row>
    <row r="89" spans="12:82" x14ac:dyDescent="0.25">
      <c r="L89" s="14"/>
      <c r="P89" s="14"/>
      <c r="U89" s="13"/>
      <c r="V89" s="13"/>
      <c r="Y89" s="13"/>
      <c r="Z89" s="13"/>
      <c r="AC89" s="13"/>
      <c r="AD89" s="13"/>
      <c r="AG89" s="13"/>
      <c r="AH89" s="13"/>
      <c r="AK89" s="13"/>
      <c r="AL89" s="13"/>
      <c r="AO89" s="13"/>
      <c r="AP89" s="13"/>
      <c r="AS89" s="13"/>
      <c r="AT89" s="13"/>
      <c r="AW89" s="13"/>
      <c r="AX89" s="13"/>
      <c r="BA89" s="13"/>
      <c r="BB89" s="13"/>
      <c r="BH89" s="16"/>
      <c r="CD89" s="16"/>
    </row>
    <row r="90" spans="12:82" x14ac:dyDescent="0.25">
      <c r="L90" s="14"/>
      <c r="P90" s="14"/>
      <c r="U90" s="13"/>
      <c r="V90" s="13"/>
      <c r="Y90" s="13"/>
      <c r="Z90" s="13"/>
      <c r="AC90" s="13"/>
      <c r="AD90" s="13"/>
      <c r="AG90" s="13"/>
      <c r="AH90" s="13"/>
      <c r="AK90" s="13"/>
      <c r="AL90" s="13"/>
      <c r="AO90" s="13"/>
      <c r="AP90" s="13"/>
      <c r="AS90" s="13"/>
      <c r="AT90" s="13"/>
      <c r="AW90" s="13"/>
      <c r="AX90" s="13"/>
      <c r="BA90" s="13"/>
      <c r="BB90" s="13"/>
      <c r="BH90" s="16"/>
      <c r="CD90" s="16"/>
    </row>
    <row r="91" spans="12:82" x14ac:dyDescent="0.25">
      <c r="L91" s="14"/>
      <c r="P91" s="14"/>
      <c r="U91" s="13"/>
      <c r="V91" s="13"/>
      <c r="Y91" s="13"/>
      <c r="Z91" s="13"/>
      <c r="AC91" s="13"/>
      <c r="AD91" s="13"/>
      <c r="AG91" s="13"/>
      <c r="AH91" s="13"/>
      <c r="AK91" s="13"/>
      <c r="AL91" s="13"/>
      <c r="AO91" s="13"/>
      <c r="AP91" s="13"/>
      <c r="AS91" s="13"/>
      <c r="AT91" s="13"/>
      <c r="AW91" s="13"/>
      <c r="AX91" s="13"/>
      <c r="BA91" s="13"/>
      <c r="BB91" s="13"/>
      <c r="BH91" s="16"/>
      <c r="CD91" s="16"/>
    </row>
    <row r="92" spans="12:82" x14ac:dyDescent="0.25">
      <c r="L92" s="14"/>
      <c r="P92" s="14"/>
      <c r="U92" s="13"/>
      <c r="V92" s="13"/>
      <c r="Y92" s="13"/>
      <c r="Z92" s="13"/>
      <c r="AC92" s="13"/>
      <c r="AD92" s="13"/>
      <c r="AG92" s="13"/>
      <c r="AH92" s="13"/>
      <c r="AK92" s="13"/>
      <c r="AL92" s="13"/>
      <c r="AO92" s="13"/>
      <c r="AP92" s="13"/>
      <c r="AS92" s="13"/>
      <c r="AT92" s="13"/>
      <c r="AW92" s="13"/>
      <c r="AX92" s="13"/>
      <c r="BA92" s="13"/>
      <c r="BB92" s="13"/>
      <c r="BH92" s="16"/>
      <c r="CD92" s="16"/>
    </row>
    <row r="93" spans="12:82" x14ac:dyDescent="0.25">
      <c r="L93" s="14"/>
      <c r="P93" s="14"/>
      <c r="U93" s="13"/>
      <c r="V93" s="13"/>
      <c r="Y93" s="13"/>
      <c r="Z93" s="13"/>
      <c r="AC93" s="13"/>
      <c r="AD93" s="13"/>
      <c r="AG93" s="13"/>
      <c r="AH93" s="13"/>
      <c r="AK93" s="13"/>
      <c r="AL93" s="13"/>
      <c r="AO93" s="13"/>
      <c r="AP93" s="13"/>
      <c r="AS93" s="13"/>
      <c r="AT93" s="13"/>
      <c r="AW93" s="13"/>
      <c r="AX93" s="13"/>
      <c r="BA93" s="13"/>
      <c r="BB93" s="13"/>
      <c r="BH93" s="16"/>
      <c r="CD93" s="16"/>
    </row>
    <row r="94" spans="12:82" x14ac:dyDescent="0.25">
      <c r="L94" s="14"/>
      <c r="P94" s="14"/>
      <c r="U94" s="13"/>
      <c r="V94" s="13"/>
      <c r="Y94" s="13"/>
      <c r="Z94" s="13"/>
      <c r="AC94" s="13"/>
      <c r="AD94" s="13"/>
      <c r="AG94" s="13"/>
      <c r="AH94" s="13"/>
      <c r="AK94" s="13"/>
      <c r="AL94" s="13"/>
      <c r="AO94" s="13"/>
      <c r="AP94" s="13"/>
      <c r="AS94" s="13"/>
      <c r="AT94" s="13"/>
      <c r="AW94" s="13"/>
      <c r="AX94" s="13"/>
      <c r="BA94" s="13"/>
      <c r="BB94" s="13"/>
      <c r="BH94" s="16"/>
      <c r="CD94" s="16"/>
    </row>
    <row r="95" spans="12:82" x14ac:dyDescent="0.25">
      <c r="L95" s="14"/>
      <c r="P95" s="14"/>
      <c r="U95" s="13"/>
      <c r="V95" s="13"/>
      <c r="Y95" s="13"/>
      <c r="Z95" s="13"/>
      <c r="AC95" s="13"/>
      <c r="AD95" s="13"/>
      <c r="AG95" s="13"/>
      <c r="AH95" s="13"/>
      <c r="AK95" s="13"/>
      <c r="AL95" s="13"/>
      <c r="AO95" s="13"/>
      <c r="AP95" s="13"/>
      <c r="AS95" s="13"/>
      <c r="AT95" s="13"/>
      <c r="AW95" s="13"/>
      <c r="AX95" s="13"/>
      <c r="BA95" s="13"/>
      <c r="BB95" s="13"/>
      <c r="BH95" s="16"/>
      <c r="CD95" s="16"/>
    </row>
    <row r="96" spans="12:82" x14ac:dyDescent="0.25">
      <c r="L96" s="14"/>
      <c r="P96" s="14"/>
      <c r="U96" s="13"/>
      <c r="V96" s="13"/>
      <c r="Y96" s="13"/>
      <c r="Z96" s="13"/>
      <c r="AC96" s="13"/>
      <c r="AD96" s="13"/>
      <c r="AG96" s="13"/>
      <c r="AH96" s="13"/>
      <c r="AK96" s="13"/>
      <c r="AL96" s="13"/>
      <c r="AO96" s="13"/>
      <c r="AP96" s="13"/>
      <c r="AS96" s="13"/>
      <c r="AT96" s="13"/>
      <c r="AW96" s="13"/>
      <c r="AX96" s="13"/>
      <c r="BA96" s="13"/>
      <c r="BB96" s="13"/>
      <c r="BH96" s="16"/>
      <c r="CD96" s="16"/>
    </row>
    <row r="97" spans="12:82" x14ac:dyDescent="0.25">
      <c r="L97" s="14"/>
      <c r="P97" s="14"/>
      <c r="U97" s="13"/>
      <c r="V97" s="13"/>
      <c r="Y97" s="13"/>
      <c r="Z97" s="13"/>
      <c r="AC97" s="13"/>
      <c r="AD97" s="13"/>
      <c r="AG97" s="13"/>
      <c r="AH97" s="13"/>
      <c r="AK97" s="13"/>
      <c r="AL97" s="13"/>
      <c r="AO97" s="13"/>
      <c r="AP97" s="13"/>
      <c r="AS97" s="13"/>
      <c r="AT97" s="13"/>
      <c r="AW97" s="13"/>
      <c r="AX97" s="13"/>
      <c r="BA97" s="13"/>
      <c r="BB97" s="13"/>
      <c r="BH97" s="16"/>
      <c r="CD97" s="16"/>
    </row>
    <row r="98" spans="12:82" x14ac:dyDescent="0.25">
      <c r="L98" s="14"/>
      <c r="P98" s="14"/>
      <c r="U98" s="13"/>
      <c r="V98" s="13"/>
      <c r="Y98" s="13"/>
      <c r="Z98" s="13"/>
      <c r="AC98" s="13"/>
      <c r="AD98" s="13"/>
      <c r="AG98" s="13"/>
      <c r="AH98" s="13"/>
      <c r="AK98" s="13"/>
      <c r="AL98" s="13"/>
      <c r="AO98" s="13"/>
      <c r="AP98" s="13"/>
      <c r="AS98" s="13"/>
      <c r="AT98" s="13"/>
      <c r="AW98" s="13"/>
      <c r="AX98" s="13"/>
      <c r="BA98" s="13"/>
      <c r="BB98" s="13"/>
      <c r="BH98" s="16"/>
      <c r="CD98" s="16"/>
    </row>
    <row r="99" spans="12:82" x14ac:dyDescent="0.25">
      <c r="L99" s="14"/>
      <c r="P99" s="14"/>
      <c r="U99" s="13"/>
      <c r="V99" s="13"/>
      <c r="Y99" s="13"/>
      <c r="Z99" s="13"/>
      <c r="AC99" s="13"/>
      <c r="AD99" s="13"/>
      <c r="AG99" s="13"/>
      <c r="AH99" s="13"/>
      <c r="AK99" s="13"/>
      <c r="AL99" s="13"/>
      <c r="AO99" s="13"/>
      <c r="AP99" s="13"/>
      <c r="AS99" s="13"/>
      <c r="AT99" s="13"/>
      <c r="AW99" s="13"/>
      <c r="AX99" s="13"/>
      <c r="BA99" s="13"/>
      <c r="BB99" s="13"/>
      <c r="BH99" s="16"/>
      <c r="CD99" s="16"/>
    </row>
    <row r="100" spans="12:82" x14ac:dyDescent="0.25">
      <c r="L100" s="14"/>
      <c r="P100" s="14"/>
      <c r="U100" s="13"/>
      <c r="V100" s="13"/>
      <c r="Y100" s="13"/>
      <c r="Z100" s="13"/>
      <c r="AC100" s="13"/>
      <c r="AD100" s="13"/>
      <c r="AG100" s="13"/>
      <c r="AH100" s="13"/>
      <c r="AK100" s="13"/>
      <c r="AL100" s="13"/>
      <c r="AO100" s="13"/>
      <c r="AP100" s="13"/>
      <c r="AS100" s="13"/>
      <c r="AT100" s="13"/>
      <c r="AW100" s="13"/>
      <c r="AX100" s="13"/>
      <c r="BA100" s="13"/>
      <c r="BB100" s="13"/>
      <c r="BH100" s="16"/>
      <c r="CD100" s="16"/>
    </row>
    <row r="101" spans="12:82" x14ac:dyDescent="0.25">
      <c r="L101" s="14"/>
      <c r="P101" s="14"/>
      <c r="U101" s="13"/>
      <c r="V101" s="13"/>
      <c r="Y101" s="13"/>
      <c r="Z101" s="13"/>
      <c r="AC101" s="13"/>
      <c r="AD101" s="13"/>
      <c r="AG101" s="13"/>
      <c r="AH101" s="13"/>
      <c r="AK101" s="13"/>
      <c r="AL101" s="13"/>
      <c r="AO101" s="13"/>
      <c r="AP101" s="13"/>
      <c r="AS101" s="13"/>
      <c r="AT101" s="13"/>
      <c r="AW101" s="13"/>
      <c r="AX101" s="13"/>
      <c r="BA101" s="13"/>
      <c r="BB101" s="13"/>
      <c r="BH101" s="16"/>
      <c r="CD101" s="16"/>
    </row>
    <row r="102" spans="12:82" x14ac:dyDescent="0.25">
      <c r="L102" s="14"/>
      <c r="P102" s="14"/>
      <c r="U102" s="13"/>
      <c r="V102" s="13"/>
      <c r="Y102" s="13"/>
      <c r="Z102" s="13"/>
      <c r="AC102" s="13"/>
      <c r="AD102" s="13"/>
      <c r="AG102" s="13"/>
      <c r="AH102" s="13"/>
      <c r="AK102" s="13"/>
      <c r="AL102" s="13"/>
      <c r="AO102" s="13"/>
      <c r="AP102" s="13"/>
      <c r="AS102" s="13"/>
      <c r="AT102" s="13"/>
      <c r="AW102" s="13"/>
      <c r="AX102" s="13"/>
      <c r="BA102" s="13"/>
      <c r="BB102" s="13"/>
      <c r="BH102" s="16"/>
      <c r="CD102" s="16"/>
    </row>
    <row r="103" spans="12:82" x14ac:dyDescent="0.25">
      <c r="L103" s="14"/>
      <c r="P103" s="14"/>
      <c r="U103" s="13"/>
      <c r="V103" s="13"/>
      <c r="Y103" s="13"/>
      <c r="Z103" s="13"/>
      <c r="AC103" s="13"/>
      <c r="AD103" s="13"/>
      <c r="AG103" s="13"/>
      <c r="AH103" s="13"/>
      <c r="AK103" s="13"/>
      <c r="AL103" s="13"/>
      <c r="AO103" s="13"/>
      <c r="AP103" s="13"/>
      <c r="AS103" s="13"/>
      <c r="AT103" s="13"/>
      <c r="AW103" s="13"/>
      <c r="AX103" s="13"/>
      <c r="BA103" s="13"/>
      <c r="BB103" s="13"/>
      <c r="BH103" s="16"/>
      <c r="CD103" s="16"/>
    </row>
    <row r="104" spans="12:82" x14ac:dyDescent="0.25">
      <c r="L104" s="14"/>
      <c r="P104" s="14"/>
      <c r="U104" s="13"/>
      <c r="V104" s="13"/>
      <c r="Y104" s="13"/>
      <c r="Z104" s="13"/>
      <c r="AC104" s="13"/>
      <c r="AD104" s="13"/>
      <c r="AG104" s="13"/>
      <c r="AH104" s="13"/>
      <c r="AK104" s="13"/>
      <c r="AL104" s="13"/>
      <c r="AO104" s="13"/>
      <c r="AP104" s="13"/>
      <c r="AS104" s="13"/>
      <c r="AT104" s="13"/>
      <c r="AW104" s="13"/>
      <c r="AX104" s="13"/>
      <c r="BA104" s="13"/>
      <c r="BB104" s="13"/>
      <c r="BH104" s="16"/>
      <c r="CD104" s="16"/>
    </row>
    <row r="105" spans="12:82" x14ac:dyDescent="0.25">
      <c r="L105" s="14"/>
      <c r="P105" s="14"/>
      <c r="U105" s="13"/>
      <c r="V105" s="13"/>
      <c r="Y105" s="13"/>
      <c r="Z105" s="13"/>
      <c r="AC105" s="13"/>
      <c r="AD105" s="13"/>
      <c r="AG105" s="13"/>
      <c r="AH105" s="13"/>
      <c r="AK105" s="13"/>
      <c r="AL105" s="13"/>
      <c r="AO105" s="13"/>
      <c r="AP105" s="13"/>
      <c r="AS105" s="13"/>
      <c r="AT105" s="13"/>
      <c r="AW105" s="13"/>
      <c r="AX105" s="13"/>
      <c r="BA105" s="13"/>
      <c r="BB105" s="13"/>
      <c r="BH105" s="16"/>
      <c r="CD105" s="16"/>
    </row>
    <row r="106" spans="12:82" x14ac:dyDescent="0.25">
      <c r="L106" s="14"/>
      <c r="P106" s="14"/>
      <c r="U106" s="13"/>
      <c r="V106" s="13"/>
      <c r="Y106" s="13"/>
      <c r="Z106" s="13"/>
      <c r="AC106" s="13"/>
      <c r="AD106" s="13"/>
      <c r="AG106" s="13"/>
      <c r="AH106" s="13"/>
      <c r="AK106" s="13"/>
      <c r="AL106" s="13"/>
      <c r="AO106" s="13"/>
      <c r="AP106" s="13"/>
      <c r="AS106" s="13"/>
      <c r="AT106" s="13"/>
      <c r="AW106" s="13"/>
      <c r="AX106" s="13"/>
      <c r="BA106" s="13"/>
      <c r="BB106" s="13"/>
      <c r="BH106" s="16"/>
      <c r="CD106" s="16"/>
    </row>
    <row r="107" spans="12:82" x14ac:dyDescent="0.25">
      <c r="L107" s="14"/>
      <c r="P107" s="14"/>
      <c r="U107" s="13"/>
      <c r="V107" s="13"/>
      <c r="Y107" s="13"/>
      <c r="Z107" s="13"/>
      <c r="AC107" s="13"/>
      <c r="AD107" s="13"/>
      <c r="AG107" s="13"/>
      <c r="AH107" s="13"/>
      <c r="AK107" s="13"/>
      <c r="AL107" s="13"/>
      <c r="AO107" s="13"/>
      <c r="AP107" s="13"/>
      <c r="AS107" s="13"/>
      <c r="AT107" s="13"/>
      <c r="AW107" s="13"/>
      <c r="AX107" s="13"/>
      <c r="BA107" s="13"/>
      <c r="BB107" s="13"/>
      <c r="BH107" s="16"/>
      <c r="CD107" s="16"/>
    </row>
    <row r="108" spans="12:82" x14ac:dyDescent="0.25">
      <c r="L108" s="14"/>
      <c r="P108" s="14"/>
      <c r="U108" s="13"/>
      <c r="V108" s="13"/>
      <c r="Y108" s="13"/>
      <c r="Z108" s="13"/>
      <c r="AC108" s="13"/>
      <c r="AD108" s="13"/>
      <c r="AG108" s="13"/>
      <c r="AH108" s="13"/>
      <c r="AK108" s="13"/>
      <c r="AL108" s="13"/>
      <c r="AO108" s="13"/>
      <c r="AP108" s="13"/>
      <c r="AS108" s="13"/>
      <c r="AT108" s="13"/>
      <c r="AW108" s="13"/>
      <c r="AX108" s="13"/>
      <c r="BA108" s="13"/>
      <c r="BB108" s="13"/>
      <c r="BH108" s="16"/>
      <c r="CD108" s="16"/>
    </row>
    <row r="109" spans="12:82" x14ac:dyDescent="0.25">
      <c r="L109" s="14"/>
      <c r="P109" s="14"/>
      <c r="U109" s="13"/>
      <c r="V109" s="13"/>
      <c r="Y109" s="13"/>
      <c r="Z109" s="13"/>
      <c r="AC109" s="13"/>
      <c r="AD109" s="13"/>
      <c r="AG109" s="13"/>
      <c r="AH109" s="13"/>
      <c r="AK109" s="13"/>
      <c r="AL109" s="13"/>
      <c r="AO109" s="13"/>
      <c r="AP109" s="13"/>
      <c r="AS109" s="13"/>
      <c r="AT109" s="13"/>
      <c r="AW109" s="13"/>
      <c r="AX109" s="13"/>
      <c r="BA109" s="13"/>
      <c r="BB109" s="13"/>
      <c r="BH109" s="16"/>
      <c r="CD109" s="16"/>
    </row>
    <row r="110" spans="12:82" x14ac:dyDescent="0.25">
      <c r="L110" s="14"/>
      <c r="P110" s="14"/>
      <c r="U110" s="13"/>
      <c r="V110" s="13"/>
      <c r="Y110" s="13"/>
      <c r="Z110" s="13"/>
      <c r="AC110" s="13"/>
      <c r="AD110" s="13"/>
      <c r="AG110" s="13"/>
      <c r="AH110" s="13"/>
      <c r="AK110" s="13"/>
      <c r="AL110" s="13"/>
      <c r="AO110" s="13"/>
      <c r="AP110" s="13"/>
      <c r="AS110" s="13"/>
      <c r="AT110" s="13"/>
      <c r="AW110" s="13"/>
      <c r="AX110" s="13"/>
      <c r="BA110" s="13"/>
      <c r="BB110" s="13"/>
      <c r="BH110" s="16"/>
      <c r="CD110" s="16"/>
    </row>
    <row r="111" spans="12:82" x14ac:dyDescent="0.25">
      <c r="L111" s="14"/>
      <c r="P111" s="14"/>
      <c r="U111" s="13"/>
      <c r="V111" s="13"/>
      <c r="Y111" s="13"/>
      <c r="Z111" s="13"/>
      <c r="AC111" s="13"/>
      <c r="AD111" s="13"/>
      <c r="AG111" s="13"/>
      <c r="AH111" s="13"/>
      <c r="AK111" s="13"/>
      <c r="AL111" s="13"/>
      <c r="AO111" s="13"/>
      <c r="AP111" s="13"/>
      <c r="AS111" s="13"/>
      <c r="AT111" s="13"/>
      <c r="AW111" s="13"/>
      <c r="AX111" s="13"/>
      <c r="BA111" s="13"/>
      <c r="BB111" s="13"/>
      <c r="BH111" s="16"/>
      <c r="CD111" s="16"/>
    </row>
    <row r="112" spans="12:82" x14ac:dyDescent="0.25">
      <c r="L112" s="14"/>
      <c r="P112" s="14"/>
      <c r="U112" s="13"/>
      <c r="V112" s="13"/>
      <c r="Y112" s="13"/>
      <c r="Z112" s="13"/>
      <c r="AC112" s="13"/>
      <c r="AD112" s="13"/>
      <c r="AG112" s="13"/>
      <c r="AH112" s="13"/>
      <c r="AK112" s="13"/>
      <c r="AL112" s="13"/>
      <c r="AO112" s="13"/>
      <c r="AP112" s="13"/>
      <c r="AS112" s="13"/>
      <c r="AT112" s="13"/>
      <c r="AW112" s="13"/>
      <c r="AX112" s="13"/>
      <c r="BA112" s="13"/>
      <c r="BB112" s="13"/>
      <c r="BH112" s="16"/>
      <c r="CD112" s="16"/>
    </row>
    <row r="113" spans="12:82" x14ac:dyDescent="0.25">
      <c r="L113" s="14"/>
      <c r="P113" s="14"/>
      <c r="U113" s="13"/>
      <c r="V113" s="13"/>
      <c r="Y113" s="13"/>
      <c r="Z113" s="13"/>
      <c r="AC113" s="13"/>
      <c r="AD113" s="13"/>
      <c r="AG113" s="13"/>
      <c r="AH113" s="13"/>
      <c r="AK113" s="13"/>
      <c r="AL113" s="13"/>
      <c r="AO113" s="13"/>
      <c r="AP113" s="13"/>
      <c r="AS113" s="13"/>
      <c r="AT113" s="13"/>
      <c r="AW113" s="13"/>
      <c r="AX113" s="13"/>
      <c r="BA113" s="13"/>
      <c r="BB113" s="13"/>
      <c r="BH113" s="16"/>
      <c r="CD113" s="16"/>
    </row>
    <row r="114" spans="12:82" x14ac:dyDescent="0.25">
      <c r="L114" s="14"/>
      <c r="P114" s="14"/>
      <c r="U114" s="13"/>
      <c r="V114" s="13"/>
      <c r="Y114" s="13"/>
      <c r="Z114" s="13"/>
      <c r="AC114" s="13"/>
      <c r="AD114" s="13"/>
      <c r="AG114" s="13"/>
      <c r="AH114" s="13"/>
      <c r="AK114" s="13"/>
      <c r="AL114" s="13"/>
      <c r="AO114" s="13"/>
      <c r="AP114" s="13"/>
      <c r="AS114" s="13"/>
      <c r="AT114" s="13"/>
      <c r="AW114" s="13"/>
      <c r="AX114" s="13"/>
      <c r="BA114" s="13"/>
      <c r="BB114" s="13"/>
      <c r="BH114" s="16"/>
      <c r="CD114" s="16"/>
    </row>
    <row r="115" spans="12:82" x14ac:dyDescent="0.25">
      <c r="L115" s="14"/>
      <c r="P115" s="14"/>
      <c r="U115" s="13"/>
      <c r="V115" s="13"/>
      <c r="Y115" s="13"/>
      <c r="Z115" s="13"/>
      <c r="AC115" s="13"/>
      <c r="AD115" s="13"/>
      <c r="AG115" s="13"/>
      <c r="AH115" s="13"/>
      <c r="AK115" s="13"/>
      <c r="AL115" s="13"/>
      <c r="AO115" s="13"/>
      <c r="AP115" s="13"/>
      <c r="AS115" s="13"/>
      <c r="AT115" s="13"/>
      <c r="AW115" s="13"/>
      <c r="AX115" s="13"/>
      <c r="BA115" s="13"/>
      <c r="BB115" s="13"/>
      <c r="BH115" s="16"/>
      <c r="CD115" s="16"/>
    </row>
    <row r="116" spans="12:82" x14ac:dyDescent="0.25">
      <c r="L116" s="14"/>
      <c r="P116" s="14"/>
      <c r="U116" s="13"/>
      <c r="V116" s="13"/>
      <c r="Y116" s="13"/>
      <c r="Z116" s="13"/>
      <c r="AC116" s="13"/>
      <c r="AD116" s="13"/>
      <c r="AG116" s="13"/>
      <c r="AH116" s="13"/>
      <c r="AK116" s="13"/>
      <c r="AL116" s="13"/>
      <c r="AO116" s="13"/>
      <c r="AP116" s="13"/>
      <c r="AS116" s="13"/>
      <c r="AT116" s="13"/>
      <c r="AW116" s="13"/>
      <c r="AX116" s="13"/>
      <c r="BA116" s="13"/>
      <c r="BB116" s="13"/>
      <c r="BH116" s="16"/>
      <c r="CD116" s="16"/>
    </row>
    <row r="117" spans="12:82" x14ac:dyDescent="0.25">
      <c r="L117" s="14"/>
      <c r="P117" s="14"/>
      <c r="U117" s="13"/>
      <c r="V117" s="13"/>
      <c r="Y117" s="13"/>
      <c r="Z117" s="13"/>
      <c r="AC117" s="13"/>
      <c r="AD117" s="13"/>
      <c r="AG117" s="13"/>
      <c r="AH117" s="13"/>
      <c r="AK117" s="13"/>
      <c r="AL117" s="13"/>
      <c r="AO117" s="13"/>
      <c r="AP117" s="13"/>
      <c r="AS117" s="13"/>
      <c r="AT117" s="13"/>
      <c r="AW117" s="13"/>
      <c r="AX117" s="13"/>
      <c r="BA117" s="13"/>
      <c r="BB117" s="13"/>
      <c r="BH117" s="16"/>
      <c r="CD117" s="16"/>
    </row>
    <row r="118" spans="12:82" x14ac:dyDescent="0.25">
      <c r="L118" s="14"/>
      <c r="P118" s="14"/>
      <c r="U118" s="13"/>
      <c r="V118" s="13"/>
      <c r="Y118" s="13"/>
      <c r="Z118" s="13"/>
      <c r="AC118" s="13"/>
      <c r="AD118" s="13"/>
      <c r="AG118" s="13"/>
      <c r="AH118" s="13"/>
      <c r="AK118" s="13"/>
      <c r="AL118" s="13"/>
      <c r="AO118" s="13"/>
      <c r="AP118" s="13"/>
      <c r="AS118" s="13"/>
      <c r="AT118" s="13"/>
      <c r="AW118" s="13"/>
      <c r="AX118" s="13"/>
      <c r="BA118" s="13"/>
      <c r="BB118" s="13"/>
      <c r="BH118" s="16"/>
      <c r="CD118" s="16"/>
    </row>
    <row r="119" spans="12:82" x14ac:dyDescent="0.25">
      <c r="L119" s="14"/>
      <c r="P119" s="14"/>
      <c r="U119" s="13"/>
      <c r="V119" s="13"/>
      <c r="Y119" s="13"/>
      <c r="Z119" s="13"/>
      <c r="AC119" s="13"/>
      <c r="AD119" s="13"/>
      <c r="AG119" s="13"/>
      <c r="AH119" s="13"/>
      <c r="AK119" s="13"/>
      <c r="AL119" s="13"/>
      <c r="AO119" s="13"/>
      <c r="AP119" s="13"/>
      <c r="AS119" s="13"/>
      <c r="AT119" s="13"/>
      <c r="AW119" s="13"/>
      <c r="AX119" s="13"/>
      <c r="BA119" s="13"/>
      <c r="BB119" s="13"/>
      <c r="BH119" s="16"/>
      <c r="CD119" s="16"/>
    </row>
    <row r="120" spans="12:82" x14ac:dyDescent="0.25">
      <c r="L120" s="14"/>
      <c r="P120" s="14"/>
      <c r="U120" s="13"/>
      <c r="V120" s="13"/>
      <c r="Y120" s="13"/>
      <c r="Z120" s="13"/>
      <c r="AC120" s="13"/>
      <c r="AD120" s="13"/>
      <c r="AG120" s="13"/>
      <c r="AH120" s="13"/>
      <c r="AK120" s="13"/>
      <c r="AL120" s="13"/>
      <c r="AO120" s="13"/>
      <c r="AP120" s="13"/>
      <c r="AS120" s="13"/>
      <c r="AT120" s="13"/>
      <c r="AW120" s="13"/>
      <c r="AX120" s="13"/>
      <c r="BA120" s="13"/>
      <c r="BB120" s="13"/>
      <c r="BH120" s="16"/>
      <c r="CD120" s="16"/>
    </row>
    <row r="121" spans="12:82" x14ac:dyDescent="0.25">
      <c r="L121" s="14"/>
      <c r="P121" s="14"/>
      <c r="U121" s="13"/>
      <c r="V121" s="13"/>
      <c r="Y121" s="13"/>
      <c r="Z121" s="13"/>
      <c r="AC121" s="13"/>
      <c r="AD121" s="13"/>
      <c r="AG121" s="13"/>
      <c r="AH121" s="13"/>
      <c r="AK121" s="13"/>
      <c r="AL121" s="13"/>
      <c r="AO121" s="13"/>
      <c r="AP121" s="13"/>
      <c r="AS121" s="13"/>
      <c r="AT121" s="13"/>
      <c r="AW121" s="13"/>
      <c r="AX121" s="13"/>
      <c r="BA121" s="13"/>
      <c r="BB121" s="13"/>
      <c r="BH121" s="16"/>
      <c r="CD121" s="16"/>
    </row>
    <row r="122" spans="12:82" x14ac:dyDescent="0.25">
      <c r="L122" s="14"/>
      <c r="P122" s="14"/>
      <c r="U122" s="13"/>
      <c r="V122" s="13"/>
      <c r="Y122" s="13"/>
      <c r="Z122" s="13"/>
      <c r="AC122" s="13"/>
      <c r="AD122" s="13"/>
      <c r="AG122" s="13"/>
      <c r="AH122" s="13"/>
      <c r="AK122" s="13"/>
      <c r="AL122" s="13"/>
      <c r="AO122" s="13"/>
      <c r="AP122" s="13"/>
      <c r="AS122" s="13"/>
      <c r="AT122" s="13"/>
      <c r="AW122" s="13"/>
      <c r="AX122" s="13"/>
      <c r="BA122" s="13"/>
      <c r="BB122" s="13"/>
      <c r="BH122" s="16"/>
      <c r="CD122" s="16"/>
    </row>
    <row r="123" spans="12:82" x14ac:dyDescent="0.25">
      <c r="L123" s="14"/>
      <c r="P123" s="14"/>
      <c r="U123" s="13"/>
      <c r="V123" s="13"/>
      <c r="Y123" s="13"/>
      <c r="Z123" s="13"/>
      <c r="AC123" s="13"/>
      <c r="AD123" s="13"/>
      <c r="AG123" s="13"/>
      <c r="AH123" s="13"/>
      <c r="AK123" s="13"/>
      <c r="AL123" s="13"/>
      <c r="AO123" s="13"/>
      <c r="AP123" s="13"/>
      <c r="AS123" s="13"/>
      <c r="AT123" s="13"/>
      <c r="AW123" s="13"/>
      <c r="AX123" s="13"/>
      <c r="BA123" s="13"/>
      <c r="BB123" s="13"/>
      <c r="BH123" s="16"/>
      <c r="CD123" s="16"/>
    </row>
    <row r="124" spans="12:82" x14ac:dyDescent="0.25">
      <c r="L124" s="14"/>
      <c r="P124" s="14"/>
      <c r="U124" s="13"/>
      <c r="V124" s="13"/>
      <c r="Y124" s="13"/>
      <c r="Z124" s="13"/>
      <c r="AC124" s="13"/>
      <c r="AD124" s="13"/>
      <c r="AG124" s="13"/>
      <c r="AH124" s="13"/>
      <c r="AK124" s="13"/>
      <c r="AL124" s="13"/>
      <c r="AO124" s="13"/>
      <c r="AP124" s="13"/>
      <c r="AS124" s="13"/>
      <c r="AT124" s="13"/>
      <c r="AW124" s="13"/>
      <c r="AX124" s="13"/>
      <c r="BA124" s="13"/>
      <c r="BB124" s="13"/>
      <c r="BH124" s="16"/>
      <c r="CD124" s="16"/>
    </row>
    <row r="125" spans="12:82" x14ac:dyDescent="0.25">
      <c r="L125" s="14"/>
      <c r="P125" s="14"/>
      <c r="U125" s="13"/>
      <c r="V125" s="13"/>
      <c r="Y125" s="13"/>
      <c r="Z125" s="13"/>
      <c r="AC125" s="13"/>
      <c r="AD125" s="13"/>
      <c r="AG125" s="13"/>
      <c r="AH125" s="13"/>
      <c r="AK125" s="13"/>
      <c r="AL125" s="13"/>
      <c r="AO125" s="13"/>
      <c r="AP125" s="13"/>
      <c r="AS125" s="13"/>
      <c r="AT125" s="13"/>
      <c r="AW125" s="13"/>
      <c r="AX125" s="13"/>
      <c r="BA125" s="13"/>
      <c r="BB125" s="13"/>
      <c r="BH125" s="16"/>
      <c r="CD125" s="16"/>
    </row>
    <row r="126" spans="12:82" x14ac:dyDescent="0.25">
      <c r="L126" s="14"/>
      <c r="P126" s="14"/>
      <c r="U126" s="13"/>
      <c r="V126" s="13"/>
      <c r="Y126" s="13"/>
      <c r="Z126" s="13"/>
      <c r="AC126" s="13"/>
      <c r="AD126" s="13"/>
      <c r="AG126" s="13"/>
      <c r="AH126" s="13"/>
      <c r="AK126" s="13"/>
      <c r="AL126" s="13"/>
      <c r="AO126" s="13"/>
      <c r="AP126" s="13"/>
      <c r="AS126" s="13"/>
      <c r="AT126" s="13"/>
      <c r="AW126" s="13"/>
      <c r="AX126" s="13"/>
      <c r="BA126" s="13"/>
      <c r="BB126" s="13"/>
      <c r="BH126" s="16"/>
      <c r="CD126" s="16"/>
    </row>
    <row r="127" spans="12:82" x14ac:dyDescent="0.25">
      <c r="L127" s="14"/>
      <c r="P127" s="14"/>
      <c r="U127" s="13"/>
      <c r="V127" s="13"/>
      <c r="Y127" s="13"/>
      <c r="Z127" s="13"/>
      <c r="AC127" s="13"/>
      <c r="AD127" s="13"/>
      <c r="AG127" s="13"/>
      <c r="AH127" s="13"/>
      <c r="AK127" s="13"/>
      <c r="AL127" s="13"/>
      <c r="AO127" s="13"/>
      <c r="AP127" s="13"/>
      <c r="AS127" s="13"/>
      <c r="AT127" s="13"/>
      <c r="AW127" s="13"/>
      <c r="AX127" s="13"/>
      <c r="BA127" s="13"/>
      <c r="BB127" s="13"/>
      <c r="BH127" s="16"/>
      <c r="CD127" s="16"/>
    </row>
    <row r="128" spans="12:82" x14ac:dyDescent="0.25">
      <c r="L128" s="14"/>
      <c r="P128" s="14"/>
      <c r="U128" s="13"/>
      <c r="V128" s="13"/>
      <c r="Y128" s="13"/>
      <c r="Z128" s="13"/>
      <c r="AC128" s="13"/>
      <c r="AD128" s="13"/>
      <c r="AG128" s="13"/>
      <c r="AH128" s="13"/>
      <c r="AK128" s="13"/>
      <c r="AL128" s="13"/>
      <c r="AO128" s="13"/>
      <c r="AP128" s="13"/>
      <c r="AS128" s="13"/>
      <c r="AT128" s="13"/>
      <c r="AW128" s="13"/>
      <c r="AX128" s="13"/>
      <c r="BA128" s="13"/>
      <c r="BB128" s="13"/>
      <c r="BH128" s="16"/>
      <c r="CD128" s="16"/>
    </row>
    <row r="129" spans="12:82" x14ac:dyDescent="0.25">
      <c r="L129" s="14"/>
      <c r="P129" s="14"/>
      <c r="U129" s="13"/>
      <c r="V129" s="13"/>
      <c r="Y129" s="13"/>
      <c r="Z129" s="13"/>
      <c r="AC129" s="13"/>
      <c r="AD129" s="13"/>
      <c r="AG129" s="13"/>
      <c r="AH129" s="13"/>
      <c r="AK129" s="13"/>
      <c r="AL129" s="13"/>
      <c r="AO129" s="13"/>
      <c r="AP129" s="13"/>
      <c r="AS129" s="13"/>
      <c r="AT129" s="13"/>
      <c r="AW129" s="13"/>
      <c r="AX129" s="13"/>
      <c r="BA129" s="13"/>
      <c r="BB129" s="13"/>
      <c r="BH129" s="16"/>
      <c r="CD129" s="16"/>
    </row>
    <row r="130" spans="12:82" x14ac:dyDescent="0.25">
      <c r="L130" s="14"/>
      <c r="P130" s="14"/>
      <c r="U130" s="13"/>
      <c r="V130" s="13"/>
      <c r="Y130" s="13"/>
      <c r="Z130" s="13"/>
      <c r="AC130" s="13"/>
      <c r="AD130" s="13"/>
      <c r="AG130" s="13"/>
      <c r="AH130" s="13"/>
      <c r="AK130" s="13"/>
      <c r="AL130" s="13"/>
      <c r="AO130" s="13"/>
      <c r="AP130" s="13"/>
      <c r="AS130" s="13"/>
      <c r="AT130" s="13"/>
      <c r="AW130" s="13"/>
      <c r="AX130" s="13"/>
      <c r="BA130" s="13"/>
      <c r="BB130" s="13"/>
      <c r="BH130" s="16"/>
      <c r="CD130" s="16"/>
    </row>
    <row r="131" spans="12:82" x14ac:dyDescent="0.25">
      <c r="L131" s="14"/>
      <c r="P131" s="14"/>
      <c r="U131" s="13"/>
      <c r="V131" s="13"/>
      <c r="Y131" s="13"/>
      <c r="Z131" s="13"/>
      <c r="AC131" s="13"/>
      <c r="AD131" s="13"/>
      <c r="AG131" s="13"/>
      <c r="AH131" s="13"/>
      <c r="AK131" s="13"/>
      <c r="AL131" s="13"/>
      <c r="AO131" s="13"/>
      <c r="AP131" s="13"/>
      <c r="AS131" s="13"/>
      <c r="AT131" s="13"/>
      <c r="AW131" s="13"/>
      <c r="AX131" s="13"/>
      <c r="BA131" s="13"/>
      <c r="BB131" s="13"/>
      <c r="BH131" s="16"/>
      <c r="CD131" s="16"/>
    </row>
    <row r="132" spans="12:82" x14ac:dyDescent="0.25">
      <c r="L132" s="14"/>
      <c r="P132" s="14"/>
      <c r="U132" s="13"/>
      <c r="V132" s="13"/>
      <c r="Y132" s="13"/>
      <c r="Z132" s="13"/>
      <c r="AC132" s="13"/>
      <c r="AD132" s="13"/>
      <c r="AG132" s="13"/>
      <c r="AH132" s="13"/>
      <c r="AK132" s="13"/>
      <c r="AL132" s="13"/>
      <c r="AO132" s="13"/>
      <c r="AP132" s="13"/>
      <c r="AS132" s="13"/>
      <c r="AT132" s="13"/>
      <c r="AW132" s="13"/>
      <c r="AX132" s="13"/>
      <c r="BA132" s="13"/>
      <c r="BB132" s="13"/>
      <c r="BH132" s="16"/>
      <c r="CD132" s="16"/>
    </row>
    <row r="133" spans="12:82" x14ac:dyDescent="0.25">
      <c r="L133" s="14"/>
      <c r="P133" s="14"/>
      <c r="U133" s="13"/>
      <c r="V133" s="13"/>
      <c r="Y133" s="13"/>
      <c r="Z133" s="13"/>
      <c r="AC133" s="13"/>
      <c r="AD133" s="13"/>
      <c r="AG133" s="13"/>
      <c r="AH133" s="13"/>
      <c r="AK133" s="13"/>
      <c r="AL133" s="13"/>
      <c r="AO133" s="13"/>
      <c r="AP133" s="13"/>
      <c r="AS133" s="13"/>
      <c r="AT133" s="13"/>
      <c r="AW133" s="13"/>
      <c r="AX133" s="13"/>
      <c r="BA133" s="13"/>
      <c r="BB133" s="13"/>
      <c r="BH133" s="16"/>
      <c r="CD133" s="16"/>
    </row>
    <row r="134" spans="12:82" x14ac:dyDescent="0.25">
      <c r="L134" s="14"/>
      <c r="P134" s="14"/>
      <c r="U134" s="13"/>
      <c r="V134" s="13"/>
      <c r="Y134" s="13"/>
      <c r="Z134" s="13"/>
      <c r="AC134" s="13"/>
      <c r="AD134" s="13"/>
      <c r="AG134" s="13"/>
      <c r="AH134" s="13"/>
      <c r="AK134" s="13"/>
      <c r="AL134" s="13"/>
      <c r="AO134" s="13"/>
      <c r="AP134" s="13"/>
      <c r="AS134" s="13"/>
      <c r="AT134" s="13"/>
      <c r="AW134" s="13"/>
      <c r="AX134" s="13"/>
      <c r="BA134" s="13"/>
      <c r="BB134" s="13"/>
      <c r="BH134" s="16"/>
      <c r="CD134" s="16"/>
    </row>
    <row r="135" spans="12:82" x14ac:dyDescent="0.25">
      <c r="L135" s="14"/>
      <c r="P135" s="14"/>
      <c r="U135" s="13"/>
      <c r="V135" s="13"/>
      <c r="Y135" s="13"/>
      <c r="Z135" s="13"/>
      <c r="AC135" s="13"/>
      <c r="AD135" s="13"/>
      <c r="AG135" s="13"/>
      <c r="AH135" s="13"/>
      <c r="AK135" s="13"/>
      <c r="AL135" s="13"/>
      <c r="AO135" s="13"/>
      <c r="AP135" s="13"/>
      <c r="AS135" s="13"/>
      <c r="AT135" s="13"/>
      <c r="AW135" s="13"/>
      <c r="AX135" s="13"/>
      <c r="BA135" s="13"/>
      <c r="BB135" s="13"/>
      <c r="BH135" s="16"/>
      <c r="CD135" s="16"/>
    </row>
    <row r="136" spans="12:82" x14ac:dyDescent="0.25">
      <c r="L136" s="14"/>
      <c r="P136" s="14"/>
      <c r="U136" s="13"/>
      <c r="V136" s="13"/>
      <c r="Y136" s="13"/>
      <c r="Z136" s="13"/>
      <c r="AC136" s="13"/>
      <c r="AD136" s="13"/>
      <c r="AG136" s="13"/>
      <c r="AH136" s="13"/>
      <c r="AK136" s="13"/>
      <c r="AL136" s="13"/>
      <c r="AO136" s="13"/>
      <c r="AP136" s="13"/>
      <c r="AS136" s="13"/>
      <c r="AT136" s="13"/>
      <c r="AW136" s="13"/>
      <c r="AX136" s="13"/>
      <c r="BA136" s="13"/>
      <c r="BB136" s="13"/>
      <c r="BH136" s="16"/>
      <c r="CD136" s="16"/>
    </row>
    <row r="137" spans="12:82" x14ac:dyDescent="0.25">
      <c r="L137" s="14"/>
      <c r="P137" s="14"/>
      <c r="U137" s="13"/>
      <c r="V137" s="13"/>
      <c r="Y137" s="13"/>
      <c r="Z137" s="13"/>
      <c r="AC137" s="13"/>
      <c r="AD137" s="13"/>
      <c r="AG137" s="13"/>
      <c r="AH137" s="13"/>
      <c r="AK137" s="13"/>
      <c r="AL137" s="13"/>
      <c r="AO137" s="13"/>
      <c r="AP137" s="13"/>
      <c r="AS137" s="13"/>
      <c r="AT137" s="13"/>
      <c r="AW137" s="13"/>
      <c r="AX137" s="13"/>
      <c r="BA137" s="13"/>
      <c r="BB137" s="13"/>
      <c r="BH137" s="16"/>
      <c r="CD137" s="16"/>
    </row>
    <row r="138" spans="12:82" x14ac:dyDescent="0.25">
      <c r="L138" s="14"/>
      <c r="P138" s="14"/>
      <c r="U138" s="13"/>
      <c r="V138" s="13"/>
      <c r="Y138" s="13"/>
      <c r="Z138" s="13"/>
      <c r="AC138" s="13"/>
      <c r="AD138" s="13"/>
      <c r="AG138" s="13"/>
      <c r="AH138" s="13"/>
      <c r="AK138" s="13"/>
      <c r="AL138" s="13"/>
      <c r="AO138" s="13"/>
      <c r="AP138" s="13"/>
      <c r="AS138" s="13"/>
      <c r="AT138" s="13"/>
      <c r="AW138" s="13"/>
      <c r="AX138" s="13"/>
      <c r="BA138" s="13"/>
      <c r="BB138" s="13"/>
      <c r="BH138" s="16"/>
      <c r="CD138" s="16"/>
    </row>
    <row r="139" spans="12:82" x14ac:dyDescent="0.25">
      <c r="L139" s="14"/>
      <c r="P139" s="14"/>
      <c r="U139" s="13"/>
      <c r="V139" s="13"/>
      <c r="Y139" s="13"/>
      <c r="Z139" s="13"/>
      <c r="AC139" s="13"/>
      <c r="AD139" s="13"/>
      <c r="AG139" s="13"/>
      <c r="AH139" s="13"/>
      <c r="AK139" s="13"/>
      <c r="AL139" s="13"/>
      <c r="AO139" s="13"/>
      <c r="AP139" s="13"/>
      <c r="AS139" s="13"/>
      <c r="AT139" s="13"/>
      <c r="AW139" s="13"/>
      <c r="AX139" s="13"/>
      <c r="BA139" s="13"/>
      <c r="BB139" s="13"/>
      <c r="BH139" s="16"/>
      <c r="CD139" s="16"/>
    </row>
    <row r="140" spans="12:82" x14ac:dyDescent="0.25">
      <c r="L140" s="14"/>
      <c r="P140" s="14"/>
      <c r="U140" s="13"/>
      <c r="V140" s="13"/>
      <c r="Y140" s="13"/>
      <c r="Z140" s="13"/>
      <c r="AC140" s="13"/>
      <c r="AD140" s="13"/>
      <c r="AG140" s="13"/>
      <c r="AH140" s="13"/>
      <c r="AK140" s="13"/>
      <c r="AL140" s="13"/>
      <c r="AO140" s="13"/>
      <c r="AP140" s="13"/>
      <c r="AS140" s="13"/>
      <c r="AT140" s="13"/>
      <c r="AW140" s="13"/>
      <c r="AX140" s="13"/>
      <c r="BA140" s="13"/>
      <c r="BB140" s="13"/>
      <c r="BH140" s="16"/>
      <c r="CD140" s="16"/>
    </row>
    <row r="141" spans="12:82" x14ac:dyDescent="0.25">
      <c r="L141" s="14"/>
      <c r="P141" s="14"/>
      <c r="U141" s="13"/>
      <c r="V141" s="13"/>
      <c r="Y141" s="13"/>
      <c r="Z141" s="13"/>
      <c r="AC141" s="13"/>
      <c r="AD141" s="13"/>
      <c r="AG141" s="13"/>
      <c r="AH141" s="13"/>
      <c r="AK141" s="13"/>
      <c r="AL141" s="13"/>
      <c r="AO141" s="13"/>
      <c r="AP141" s="13"/>
      <c r="AS141" s="13"/>
      <c r="AT141" s="13"/>
      <c r="AW141" s="13"/>
      <c r="AX141" s="13"/>
      <c r="BA141" s="13"/>
      <c r="BB141" s="13"/>
      <c r="BH141" s="16"/>
      <c r="CD141" s="16"/>
    </row>
    <row r="142" spans="12:82" x14ac:dyDescent="0.25">
      <c r="L142" s="14"/>
      <c r="P142" s="14"/>
      <c r="U142" s="13"/>
      <c r="V142" s="13"/>
      <c r="Y142" s="13"/>
      <c r="Z142" s="13"/>
      <c r="AC142" s="13"/>
      <c r="AD142" s="13"/>
      <c r="AG142" s="13"/>
      <c r="AH142" s="13"/>
      <c r="AK142" s="13"/>
      <c r="AL142" s="13"/>
      <c r="AO142" s="13"/>
      <c r="AP142" s="13"/>
      <c r="AS142" s="13"/>
      <c r="AT142" s="13"/>
      <c r="AW142" s="13"/>
      <c r="AX142" s="13"/>
      <c r="BA142" s="13"/>
      <c r="BB142" s="13"/>
      <c r="BH142" s="16"/>
      <c r="CD142" s="16"/>
    </row>
    <row r="143" spans="12:82" x14ac:dyDescent="0.25">
      <c r="L143" s="14"/>
      <c r="P143" s="14"/>
      <c r="U143" s="13"/>
      <c r="V143" s="13"/>
      <c r="Y143" s="13"/>
      <c r="Z143" s="13"/>
      <c r="AC143" s="13"/>
      <c r="AD143" s="13"/>
      <c r="AG143" s="13"/>
      <c r="AH143" s="13"/>
      <c r="AK143" s="13"/>
      <c r="AL143" s="13"/>
      <c r="AO143" s="13"/>
      <c r="AP143" s="13"/>
      <c r="AS143" s="13"/>
      <c r="AT143" s="13"/>
      <c r="AW143" s="13"/>
      <c r="AX143" s="13"/>
      <c r="BA143" s="13"/>
      <c r="BB143" s="13"/>
      <c r="BH143" s="16"/>
      <c r="CD143" s="16"/>
    </row>
    <row r="144" spans="12:82" x14ac:dyDescent="0.25">
      <c r="L144" s="14"/>
      <c r="P144" s="14"/>
      <c r="U144" s="13"/>
      <c r="V144" s="13"/>
      <c r="Y144" s="13"/>
      <c r="Z144" s="13"/>
      <c r="AC144" s="13"/>
      <c r="AD144" s="13"/>
      <c r="AG144" s="13"/>
      <c r="AH144" s="13"/>
      <c r="AK144" s="13"/>
      <c r="AL144" s="13"/>
      <c r="AO144" s="13"/>
      <c r="AP144" s="13"/>
      <c r="AS144" s="13"/>
      <c r="AT144" s="13"/>
      <c r="AW144" s="13"/>
      <c r="AX144" s="13"/>
      <c r="BA144" s="13"/>
      <c r="BB144" s="13"/>
      <c r="BH144" s="16"/>
      <c r="CD144" s="16"/>
    </row>
    <row r="145" spans="12:82" x14ac:dyDescent="0.25">
      <c r="L145" s="14"/>
      <c r="P145" s="14"/>
      <c r="U145" s="13"/>
      <c r="V145" s="13"/>
      <c r="Y145" s="13"/>
      <c r="Z145" s="13"/>
      <c r="AC145" s="13"/>
      <c r="AD145" s="13"/>
      <c r="AG145" s="13"/>
      <c r="AH145" s="13"/>
      <c r="AK145" s="13"/>
      <c r="AL145" s="13"/>
      <c r="AO145" s="13"/>
      <c r="AP145" s="13"/>
      <c r="AS145" s="13"/>
      <c r="AT145" s="13"/>
      <c r="AW145" s="13"/>
      <c r="AX145" s="13"/>
      <c r="BA145" s="13"/>
      <c r="BB145" s="13"/>
      <c r="BH145" s="16"/>
      <c r="CD145" s="16"/>
    </row>
    <row r="146" spans="12:82" x14ac:dyDescent="0.25">
      <c r="L146" s="14"/>
      <c r="P146" s="14"/>
      <c r="U146" s="13"/>
      <c r="V146" s="13"/>
      <c r="Y146" s="13"/>
      <c r="Z146" s="13"/>
      <c r="AC146" s="13"/>
      <c r="AD146" s="13"/>
      <c r="AG146" s="13"/>
      <c r="AH146" s="13"/>
      <c r="AK146" s="13"/>
      <c r="AL146" s="13"/>
      <c r="AO146" s="13"/>
      <c r="AP146" s="13"/>
      <c r="AS146" s="13"/>
      <c r="AT146" s="13"/>
      <c r="AW146" s="13"/>
      <c r="AX146" s="13"/>
      <c r="BA146" s="13"/>
      <c r="BB146" s="13"/>
      <c r="BH146" s="16"/>
      <c r="CD146" s="16"/>
    </row>
    <row r="147" spans="12:82" x14ac:dyDescent="0.25">
      <c r="L147" s="14"/>
      <c r="P147" s="14"/>
      <c r="U147" s="13"/>
      <c r="V147" s="13"/>
      <c r="Y147" s="13"/>
      <c r="Z147" s="13"/>
      <c r="AC147" s="13"/>
      <c r="AD147" s="13"/>
      <c r="AG147" s="13"/>
      <c r="AH147" s="13"/>
      <c r="AK147" s="13"/>
      <c r="AL147" s="13"/>
      <c r="AO147" s="13"/>
      <c r="AP147" s="13"/>
      <c r="AS147" s="13"/>
      <c r="AT147" s="13"/>
      <c r="AW147" s="13"/>
      <c r="AX147" s="13"/>
      <c r="BA147" s="13"/>
      <c r="BB147" s="13"/>
      <c r="BH147" s="16"/>
      <c r="CD147" s="16"/>
    </row>
    <row r="148" spans="12:82" x14ac:dyDescent="0.25">
      <c r="L148" s="14"/>
      <c r="P148" s="14"/>
      <c r="U148" s="13"/>
      <c r="V148" s="13"/>
      <c r="Y148" s="13"/>
      <c r="Z148" s="13"/>
      <c r="AC148" s="13"/>
      <c r="AD148" s="13"/>
      <c r="AG148" s="13"/>
      <c r="AH148" s="13"/>
      <c r="AK148" s="13"/>
      <c r="AL148" s="13"/>
      <c r="AO148" s="13"/>
      <c r="AP148" s="13"/>
      <c r="AS148" s="13"/>
      <c r="AT148" s="13"/>
      <c r="AW148" s="13"/>
      <c r="AX148" s="13"/>
      <c r="BA148" s="13"/>
      <c r="BB148" s="13"/>
      <c r="BH148" s="16"/>
      <c r="CD148" s="16"/>
    </row>
    <row r="149" spans="12:82" x14ac:dyDescent="0.25">
      <c r="L149" s="14"/>
      <c r="P149" s="14"/>
      <c r="U149" s="13"/>
      <c r="V149" s="13"/>
      <c r="Y149" s="13"/>
      <c r="Z149" s="13"/>
      <c r="AC149" s="13"/>
      <c r="AD149" s="13"/>
      <c r="AG149" s="13"/>
      <c r="AH149" s="13"/>
      <c r="AK149" s="13"/>
      <c r="AL149" s="13"/>
      <c r="AO149" s="13"/>
      <c r="AP149" s="13"/>
      <c r="AS149" s="13"/>
      <c r="AT149" s="13"/>
      <c r="AW149" s="13"/>
      <c r="AX149" s="13"/>
      <c r="BA149" s="13"/>
      <c r="BB149" s="13"/>
      <c r="BH149" s="16"/>
      <c r="CD149" s="16"/>
    </row>
    <row r="150" spans="12:82" x14ac:dyDescent="0.25">
      <c r="L150" s="14"/>
      <c r="P150" s="14"/>
      <c r="U150" s="13"/>
      <c r="V150" s="13"/>
      <c r="Y150" s="13"/>
      <c r="Z150" s="13"/>
      <c r="AC150" s="13"/>
      <c r="AD150" s="13"/>
      <c r="AG150" s="13"/>
      <c r="AH150" s="13"/>
      <c r="AK150" s="13"/>
      <c r="AL150" s="13"/>
      <c r="AO150" s="13"/>
      <c r="AP150" s="13"/>
      <c r="AS150" s="13"/>
      <c r="AT150" s="13"/>
      <c r="AW150" s="13"/>
      <c r="AX150" s="13"/>
      <c r="BA150" s="13"/>
      <c r="BB150" s="13"/>
      <c r="BH150" s="16"/>
      <c r="CD150" s="16"/>
    </row>
    <row r="151" spans="12:82" x14ac:dyDescent="0.25">
      <c r="L151" s="14"/>
      <c r="P151" s="14"/>
      <c r="U151" s="13"/>
      <c r="V151" s="13"/>
      <c r="Y151" s="13"/>
      <c r="Z151" s="13"/>
      <c r="AC151" s="13"/>
      <c r="AD151" s="13"/>
      <c r="AG151" s="13"/>
      <c r="AH151" s="13"/>
      <c r="AK151" s="13"/>
      <c r="AL151" s="13"/>
      <c r="AO151" s="13"/>
      <c r="AP151" s="13"/>
      <c r="AS151" s="13"/>
      <c r="AT151" s="13"/>
      <c r="AW151" s="13"/>
      <c r="AX151" s="13"/>
      <c r="BA151" s="13"/>
      <c r="BB151" s="13"/>
      <c r="BH151" s="16"/>
      <c r="CD151" s="16"/>
    </row>
    <row r="152" spans="12:82" x14ac:dyDescent="0.25">
      <c r="L152" s="14"/>
      <c r="P152" s="14"/>
      <c r="U152" s="13"/>
      <c r="V152" s="13"/>
      <c r="Y152" s="13"/>
      <c r="Z152" s="13"/>
      <c r="AC152" s="13"/>
      <c r="AD152" s="13"/>
      <c r="AG152" s="13"/>
      <c r="AH152" s="13"/>
      <c r="AK152" s="13"/>
      <c r="AL152" s="13"/>
      <c r="AO152" s="13"/>
      <c r="AP152" s="13"/>
      <c r="AS152" s="13"/>
      <c r="AT152" s="13"/>
      <c r="AW152" s="13"/>
      <c r="AX152" s="13"/>
      <c r="BA152" s="13"/>
      <c r="BB152" s="13"/>
      <c r="BH152" s="16"/>
      <c r="CD152" s="16"/>
    </row>
    <row r="153" spans="12:82" x14ac:dyDescent="0.25">
      <c r="L153" s="14"/>
      <c r="P153" s="14"/>
      <c r="U153" s="13"/>
      <c r="V153" s="13"/>
      <c r="Y153" s="13"/>
      <c r="Z153" s="13"/>
      <c r="AC153" s="13"/>
      <c r="AD153" s="13"/>
      <c r="AG153" s="13"/>
      <c r="AH153" s="13"/>
      <c r="AK153" s="13"/>
      <c r="AL153" s="13"/>
      <c r="AO153" s="13"/>
      <c r="AP153" s="13"/>
      <c r="AS153" s="13"/>
      <c r="AT153" s="13"/>
      <c r="AW153" s="13"/>
      <c r="AX153" s="13"/>
      <c r="BA153" s="13"/>
      <c r="BB153" s="13"/>
      <c r="BH153" s="16"/>
      <c r="CD153" s="16"/>
    </row>
    <row r="154" spans="12:82" x14ac:dyDescent="0.25">
      <c r="L154" s="14"/>
      <c r="P154" s="14"/>
      <c r="U154" s="13"/>
      <c r="V154" s="13"/>
      <c r="Y154" s="13"/>
      <c r="Z154" s="13"/>
      <c r="AC154" s="13"/>
      <c r="AD154" s="13"/>
      <c r="AG154" s="13"/>
      <c r="AH154" s="13"/>
      <c r="AK154" s="13"/>
      <c r="AL154" s="13"/>
      <c r="AO154" s="13"/>
      <c r="AP154" s="13"/>
      <c r="AS154" s="13"/>
      <c r="AT154" s="13"/>
      <c r="AW154" s="13"/>
      <c r="AX154" s="13"/>
      <c r="BA154" s="13"/>
      <c r="BB154" s="13"/>
      <c r="BH154" s="16"/>
      <c r="CD154" s="16"/>
    </row>
    <row r="155" spans="12:82" x14ac:dyDescent="0.25">
      <c r="L155" s="14"/>
      <c r="P155" s="14"/>
      <c r="U155" s="13"/>
      <c r="V155" s="13"/>
      <c r="Y155" s="13"/>
      <c r="Z155" s="13"/>
      <c r="AC155" s="13"/>
      <c r="AD155" s="13"/>
      <c r="AG155" s="13"/>
      <c r="AH155" s="13"/>
      <c r="AK155" s="13"/>
      <c r="AL155" s="13"/>
      <c r="AO155" s="13"/>
      <c r="AP155" s="13"/>
      <c r="AS155" s="13"/>
      <c r="AT155" s="13"/>
      <c r="AW155" s="13"/>
      <c r="AX155" s="13"/>
      <c r="BA155" s="13"/>
      <c r="BB155" s="13"/>
      <c r="BH155" s="16"/>
      <c r="CD155" s="16"/>
    </row>
    <row r="156" spans="12:82" x14ac:dyDescent="0.25">
      <c r="L156" s="14"/>
      <c r="P156" s="14"/>
      <c r="U156" s="13"/>
      <c r="V156" s="13"/>
      <c r="Y156" s="13"/>
      <c r="Z156" s="13"/>
      <c r="AC156" s="13"/>
      <c r="AD156" s="13"/>
      <c r="AG156" s="13"/>
      <c r="AH156" s="13"/>
      <c r="AK156" s="13"/>
      <c r="AL156" s="13"/>
      <c r="AO156" s="13"/>
      <c r="AP156" s="13"/>
      <c r="AS156" s="13"/>
      <c r="AT156" s="13"/>
      <c r="AW156" s="13"/>
      <c r="AX156" s="13"/>
      <c r="BA156" s="13"/>
      <c r="BB156" s="13"/>
      <c r="BH156" s="16"/>
      <c r="CD156" s="16"/>
    </row>
    <row r="157" spans="12:82" x14ac:dyDescent="0.25">
      <c r="L157" s="14"/>
      <c r="P157" s="14"/>
      <c r="U157" s="13"/>
      <c r="V157" s="13"/>
      <c r="Y157" s="13"/>
      <c r="Z157" s="13"/>
      <c r="AC157" s="13"/>
      <c r="AD157" s="13"/>
      <c r="AG157" s="13"/>
      <c r="AH157" s="13"/>
      <c r="AK157" s="13"/>
      <c r="AL157" s="13"/>
      <c r="AO157" s="13"/>
      <c r="AP157" s="13"/>
      <c r="AS157" s="13"/>
      <c r="AT157" s="13"/>
      <c r="AW157" s="13"/>
      <c r="AX157" s="13"/>
      <c r="BA157" s="13"/>
      <c r="BB157" s="13"/>
      <c r="BH157" s="16"/>
      <c r="CD157" s="16"/>
    </row>
    <row r="158" spans="12:82" x14ac:dyDescent="0.25">
      <c r="L158" s="14"/>
      <c r="P158" s="14"/>
      <c r="U158" s="13"/>
      <c r="V158" s="13"/>
      <c r="Y158" s="13"/>
      <c r="Z158" s="13"/>
      <c r="AC158" s="13"/>
      <c r="AD158" s="13"/>
      <c r="AG158" s="13"/>
      <c r="AH158" s="13"/>
      <c r="AK158" s="13"/>
      <c r="AL158" s="13"/>
      <c r="AO158" s="13"/>
      <c r="AP158" s="13"/>
      <c r="AS158" s="13"/>
      <c r="AT158" s="13"/>
      <c r="AW158" s="13"/>
      <c r="AX158" s="13"/>
      <c r="BA158" s="13"/>
      <c r="BB158" s="13"/>
      <c r="BH158" s="16"/>
      <c r="CD158" s="16"/>
    </row>
    <row r="159" spans="12:82" x14ac:dyDescent="0.25">
      <c r="L159" s="14"/>
      <c r="P159" s="14"/>
      <c r="U159" s="13"/>
      <c r="V159" s="13"/>
      <c r="Y159" s="13"/>
      <c r="Z159" s="13"/>
      <c r="AC159" s="13"/>
      <c r="AD159" s="13"/>
      <c r="AG159" s="13"/>
      <c r="AH159" s="13"/>
      <c r="AK159" s="13"/>
      <c r="AL159" s="13"/>
      <c r="AO159" s="13"/>
      <c r="AP159" s="13"/>
      <c r="AS159" s="13"/>
      <c r="AT159" s="13"/>
      <c r="AW159" s="13"/>
      <c r="AX159" s="13"/>
      <c r="BA159" s="13"/>
      <c r="BB159" s="13"/>
      <c r="BH159" s="16"/>
      <c r="CD159" s="16"/>
    </row>
    <row r="160" spans="12:82" x14ac:dyDescent="0.25">
      <c r="L160" s="14"/>
      <c r="P160" s="14"/>
      <c r="U160" s="13"/>
      <c r="V160" s="13"/>
      <c r="Y160" s="13"/>
      <c r="Z160" s="13"/>
      <c r="AC160" s="13"/>
      <c r="AD160" s="13"/>
      <c r="AG160" s="13"/>
      <c r="AH160" s="13"/>
      <c r="AK160" s="13"/>
      <c r="AL160" s="13"/>
      <c r="AO160" s="13"/>
      <c r="AP160" s="13"/>
      <c r="AS160" s="13"/>
      <c r="AT160" s="13"/>
      <c r="AW160" s="13"/>
      <c r="AX160" s="13"/>
      <c r="BA160" s="13"/>
      <c r="BB160" s="13"/>
      <c r="BH160" s="16"/>
      <c r="CD160" s="16"/>
    </row>
    <row r="161" spans="12:82" x14ac:dyDescent="0.25">
      <c r="L161" s="14"/>
      <c r="P161" s="14"/>
      <c r="U161" s="13"/>
      <c r="V161" s="13"/>
      <c r="Y161" s="13"/>
      <c r="Z161" s="13"/>
      <c r="AC161" s="13"/>
      <c r="AD161" s="13"/>
      <c r="AG161" s="13"/>
      <c r="AH161" s="13"/>
      <c r="AK161" s="13"/>
      <c r="AL161" s="13"/>
      <c r="AO161" s="13"/>
      <c r="AP161" s="13"/>
      <c r="AS161" s="13"/>
      <c r="AT161" s="13"/>
      <c r="AW161" s="13"/>
      <c r="AX161" s="13"/>
      <c r="BA161" s="13"/>
      <c r="BB161" s="13"/>
      <c r="BH161" s="16"/>
      <c r="CD161" s="16"/>
    </row>
    <row r="162" spans="12:82" x14ac:dyDescent="0.25">
      <c r="L162" s="14"/>
      <c r="P162" s="14"/>
      <c r="U162" s="13"/>
      <c r="V162" s="13"/>
      <c r="Y162" s="13"/>
      <c r="Z162" s="13"/>
      <c r="AC162" s="13"/>
      <c r="AD162" s="13"/>
      <c r="AG162" s="13"/>
      <c r="AH162" s="13"/>
      <c r="AK162" s="13"/>
      <c r="AL162" s="13"/>
      <c r="AO162" s="13"/>
      <c r="AP162" s="13"/>
      <c r="AS162" s="13"/>
      <c r="AT162" s="13"/>
      <c r="AW162" s="13"/>
      <c r="AX162" s="13"/>
      <c r="BA162" s="13"/>
      <c r="BB162" s="13"/>
      <c r="BH162" s="16"/>
      <c r="CD162" s="16"/>
    </row>
    <row r="163" spans="12:82" x14ac:dyDescent="0.25">
      <c r="L163" s="14"/>
      <c r="P163" s="14"/>
      <c r="U163" s="13"/>
      <c r="V163" s="13"/>
      <c r="Y163" s="13"/>
      <c r="Z163" s="13"/>
      <c r="AC163" s="13"/>
      <c r="AD163" s="13"/>
      <c r="AG163" s="13"/>
      <c r="AH163" s="13"/>
      <c r="AK163" s="13"/>
      <c r="AL163" s="13"/>
      <c r="AO163" s="13"/>
      <c r="AP163" s="13"/>
      <c r="AS163" s="13"/>
      <c r="AT163" s="13"/>
      <c r="AW163" s="13"/>
      <c r="AX163" s="13"/>
      <c r="BA163" s="13"/>
      <c r="BB163" s="13"/>
      <c r="BH163" s="16"/>
      <c r="CD163" s="16"/>
    </row>
    <row r="164" spans="12:82" x14ac:dyDescent="0.25">
      <c r="L164" s="14"/>
      <c r="P164" s="14"/>
      <c r="U164" s="13"/>
      <c r="V164" s="13"/>
      <c r="Y164" s="13"/>
      <c r="Z164" s="13"/>
      <c r="AC164" s="13"/>
      <c r="AD164" s="13"/>
      <c r="AG164" s="13"/>
      <c r="AH164" s="13"/>
      <c r="AK164" s="13"/>
      <c r="AL164" s="13"/>
      <c r="AO164" s="13"/>
      <c r="AP164" s="13"/>
      <c r="AS164" s="13"/>
      <c r="AT164" s="13"/>
      <c r="AW164" s="13"/>
      <c r="AX164" s="13"/>
      <c r="BA164" s="13"/>
      <c r="BB164" s="13"/>
      <c r="BH164" s="16"/>
      <c r="CD164" s="16"/>
    </row>
    <row r="165" spans="12:82" x14ac:dyDescent="0.25">
      <c r="L165" s="14"/>
      <c r="P165" s="14"/>
      <c r="U165" s="13"/>
      <c r="V165" s="13"/>
      <c r="Y165" s="13"/>
      <c r="Z165" s="13"/>
      <c r="AC165" s="13"/>
      <c r="AD165" s="13"/>
      <c r="AG165" s="13"/>
      <c r="AH165" s="13"/>
      <c r="AK165" s="13"/>
      <c r="AL165" s="13"/>
      <c r="AO165" s="13"/>
      <c r="AP165" s="13"/>
      <c r="AS165" s="13"/>
      <c r="AT165" s="13"/>
      <c r="AW165" s="13"/>
      <c r="AX165" s="13"/>
      <c r="BA165" s="13"/>
      <c r="BB165" s="13"/>
      <c r="BH165" s="16"/>
      <c r="CD165" s="16"/>
    </row>
    <row r="166" spans="12:82" x14ac:dyDescent="0.25">
      <c r="L166" s="14"/>
      <c r="P166" s="14"/>
      <c r="U166" s="13"/>
      <c r="V166" s="13"/>
      <c r="Y166" s="13"/>
      <c r="Z166" s="13"/>
      <c r="AC166" s="13"/>
      <c r="AD166" s="13"/>
      <c r="AG166" s="13"/>
      <c r="AH166" s="13"/>
      <c r="AK166" s="13"/>
      <c r="AL166" s="13"/>
      <c r="AO166" s="13"/>
      <c r="AP166" s="13"/>
      <c r="AS166" s="13"/>
      <c r="AT166" s="13"/>
      <c r="AW166" s="13"/>
      <c r="AX166" s="13"/>
      <c r="BA166" s="13"/>
      <c r="BB166" s="13"/>
      <c r="BH166" s="16"/>
      <c r="CD166" s="16"/>
    </row>
    <row r="167" spans="12:82" x14ac:dyDescent="0.25">
      <c r="L167" s="14"/>
      <c r="P167" s="14"/>
      <c r="U167" s="13"/>
      <c r="V167" s="13"/>
      <c r="Y167" s="13"/>
      <c r="Z167" s="13"/>
      <c r="AC167" s="13"/>
      <c r="AD167" s="13"/>
      <c r="AG167" s="13"/>
      <c r="AH167" s="13"/>
      <c r="AK167" s="13"/>
      <c r="AL167" s="13"/>
      <c r="AO167" s="13"/>
      <c r="AP167" s="13"/>
      <c r="AS167" s="13"/>
      <c r="AT167" s="13"/>
      <c r="AW167" s="13"/>
      <c r="AX167" s="13"/>
      <c r="BA167" s="13"/>
      <c r="BB167" s="13"/>
      <c r="BH167" s="16"/>
      <c r="CD167" s="16"/>
    </row>
    <row r="168" spans="12:82" x14ac:dyDescent="0.25">
      <c r="L168" s="14"/>
      <c r="P168" s="14"/>
      <c r="U168" s="13"/>
      <c r="V168" s="13"/>
      <c r="Y168" s="13"/>
      <c r="Z168" s="13"/>
      <c r="AC168" s="13"/>
      <c r="AD168" s="13"/>
      <c r="AG168" s="13"/>
      <c r="AH168" s="13"/>
      <c r="AK168" s="13"/>
      <c r="AL168" s="13"/>
      <c r="AO168" s="13"/>
      <c r="AP168" s="13"/>
      <c r="AS168" s="13"/>
      <c r="AT168" s="13"/>
      <c r="AW168" s="13"/>
      <c r="AX168" s="13"/>
      <c r="BA168" s="13"/>
      <c r="BB168" s="13"/>
      <c r="BH168" s="16"/>
      <c r="CD168" s="16"/>
    </row>
    <row r="169" spans="12:82" x14ac:dyDescent="0.25">
      <c r="L169" s="14"/>
      <c r="P169" s="14"/>
      <c r="U169" s="13"/>
      <c r="V169" s="13"/>
      <c r="Y169" s="13"/>
      <c r="Z169" s="13"/>
      <c r="AC169" s="13"/>
      <c r="AD169" s="13"/>
      <c r="AG169" s="13"/>
      <c r="AH169" s="13"/>
      <c r="AK169" s="13"/>
      <c r="AL169" s="13"/>
      <c r="AO169" s="13"/>
      <c r="AP169" s="13"/>
      <c r="AS169" s="13"/>
      <c r="AT169" s="13"/>
      <c r="AW169" s="13"/>
      <c r="AX169" s="13"/>
      <c r="BA169" s="13"/>
      <c r="BB169" s="13"/>
      <c r="BH169" s="16"/>
      <c r="CD169" s="16"/>
    </row>
    <row r="170" spans="12:82" x14ac:dyDescent="0.25">
      <c r="L170" s="14"/>
      <c r="P170" s="14"/>
      <c r="U170" s="13"/>
      <c r="V170" s="13"/>
      <c r="Y170" s="13"/>
      <c r="Z170" s="13"/>
      <c r="AC170" s="13"/>
      <c r="AD170" s="13"/>
      <c r="AG170" s="13"/>
      <c r="AH170" s="13"/>
      <c r="AK170" s="13"/>
      <c r="AL170" s="13"/>
      <c r="AO170" s="13"/>
      <c r="AP170" s="13"/>
      <c r="AS170" s="13"/>
      <c r="AT170" s="13"/>
      <c r="AW170" s="13"/>
      <c r="AX170" s="13"/>
      <c r="BA170" s="13"/>
      <c r="BB170" s="13"/>
      <c r="BH170" s="16"/>
      <c r="CD170" s="16"/>
    </row>
    <row r="171" spans="12:82" x14ac:dyDescent="0.25">
      <c r="L171" s="14"/>
      <c r="P171" s="14"/>
      <c r="U171" s="13"/>
      <c r="V171" s="13"/>
      <c r="Y171" s="13"/>
      <c r="Z171" s="13"/>
      <c r="AC171" s="13"/>
      <c r="AD171" s="13"/>
      <c r="AG171" s="13"/>
      <c r="AH171" s="13"/>
      <c r="AK171" s="13"/>
      <c r="AL171" s="13"/>
      <c r="AO171" s="13"/>
      <c r="AP171" s="13"/>
      <c r="AS171" s="13"/>
      <c r="AT171" s="13"/>
      <c r="AW171" s="13"/>
      <c r="AX171" s="13"/>
      <c r="BA171" s="13"/>
      <c r="BB171" s="13"/>
      <c r="BH171" s="16"/>
      <c r="CD171" s="16"/>
    </row>
    <row r="172" spans="12:82" x14ac:dyDescent="0.25">
      <c r="L172" s="14"/>
      <c r="P172" s="14"/>
      <c r="U172" s="13"/>
      <c r="V172" s="13"/>
      <c r="Y172" s="13"/>
      <c r="Z172" s="13"/>
      <c r="AC172" s="13"/>
      <c r="AD172" s="13"/>
      <c r="AG172" s="13"/>
      <c r="AH172" s="13"/>
      <c r="AK172" s="13"/>
      <c r="AL172" s="13"/>
      <c r="AO172" s="13"/>
      <c r="AP172" s="13"/>
      <c r="AS172" s="13"/>
      <c r="AT172" s="13"/>
      <c r="AW172" s="13"/>
      <c r="AX172" s="13"/>
      <c r="BA172" s="13"/>
      <c r="BB172" s="13"/>
      <c r="BH172" s="16"/>
      <c r="CD172" s="16"/>
    </row>
    <row r="173" spans="12:82" x14ac:dyDescent="0.25">
      <c r="L173" s="14"/>
      <c r="P173" s="14"/>
      <c r="U173" s="13"/>
      <c r="V173" s="13"/>
      <c r="Y173" s="13"/>
      <c r="Z173" s="13"/>
      <c r="AC173" s="13"/>
      <c r="AD173" s="13"/>
      <c r="AG173" s="13"/>
      <c r="AH173" s="13"/>
      <c r="AK173" s="13"/>
      <c r="AL173" s="13"/>
      <c r="AO173" s="13"/>
      <c r="AP173" s="13"/>
      <c r="AS173" s="13"/>
      <c r="AT173" s="13"/>
      <c r="AW173" s="13"/>
      <c r="AX173" s="13"/>
      <c r="BA173" s="13"/>
      <c r="BB173" s="13"/>
      <c r="BH173" s="16"/>
      <c r="CD173" s="16"/>
    </row>
    <row r="174" spans="12:82" x14ac:dyDescent="0.25">
      <c r="L174" s="14"/>
      <c r="P174" s="14"/>
      <c r="U174" s="13"/>
      <c r="V174" s="13"/>
      <c r="Y174" s="13"/>
      <c r="Z174" s="13"/>
      <c r="AC174" s="13"/>
      <c r="AD174" s="13"/>
      <c r="AG174" s="13"/>
      <c r="AH174" s="13"/>
      <c r="AK174" s="13"/>
      <c r="AL174" s="13"/>
      <c r="AO174" s="13"/>
      <c r="AP174" s="13"/>
      <c r="AS174" s="13"/>
      <c r="AT174" s="13"/>
      <c r="AW174" s="13"/>
      <c r="AX174" s="13"/>
      <c r="BA174" s="13"/>
      <c r="BB174" s="13"/>
      <c r="BH174" s="16"/>
      <c r="CD174" s="16"/>
    </row>
    <row r="175" spans="12:82" x14ac:dyDescent="0.25">
      <c r="L175" s="14"/>
      <c r="P175" s="14"/>
      <c r="U175" s="13"/>
      <c r="V175" s="13"/>
      <c r="Y175" s="13"/>
      <c r="Z175" s="13"/>
      <c r="AC175" s="13"/>
      <c r="AD175" s="13"/>
      <c r="AG175" s="13"/>
      <c r="AH175" s="13"/>
      <c r="AK175" s="13"/>
      <c r="AL175" s="13"/>
      <c r="AO175" s="13"/>
      <c r="AP175" s="13"/>
      <c r="AS175" s="13"/>
      <c r="AT175" s="13"/>
      <c r="AW175" s="13"/>
      <c r="AX175" s="13"/>
      <c r="BA175" s="13"/>
      <c r="BB175" s="13"/>
      <c r="BH175" s="16"/>
      <c r="CD175" s="16"/>
    </row>
    <row r="176" spans="12:82" x14ac:dyDescent="0.25">
      <c r="L176" s="14"/>
      <c r="P176" s="14"/>
      <c r="U176" s="13"/>
      <c r="V176" s="13"/>
      <c r="Y176" s="13"/>
      <c r="Z176" s="13"/>
      <c r="AC176" s="13"/>
      <c r="AD176" s="13"/>
      <c r="AG176" s="13"/>
      <c r="AH176" s="13"/>
      <c r="AK176" s="13"/>
      <c r="AL176" s="13"/>
      <c r="AO176" s="13"/>
      <c r="AP176" s="13"/>
      <c r="AS176" s="13"/>
      <c r="AT176" s="13"/>
      <c r="AW176" s="13"/>
      <c r="AX176" s="13"/>
      <c r="BA176" s="13"/>
      <c r="BB176" s="13"/>
      <c r="BH176" s="16"/>
      <c r="CD176" s="16"/>
    </row>
    <row r="177" spans="12:82" x14ac:dyDescent="0.25">
      <c r="L177" s="14"/>
      <c r="P177" s="14"/>
      <c r="U177" s="13"/>
      <c r="V177" s="13"/>
      <c r="Y177" s="13"/>
      <c r="Z177" s="13"/>
      <c r="AC177" s="13"/>
      <c r="AD177" s="13"/>
      <c r="AG177" s="13"/>
      <c r="AH177" s="13"/>
      <c r="AK177" s="13"/>
      <c r="AL177" s="13"/>
      <c r="AO177" s="13"/>
      <c r="AP177" s="13"/>
      <c r="AS177" s="13"/>
      <c r="AT177" s="13"/>
      <c r="AW177" s="13"/>
      <c r="AX177" s="13"/>
      <c r="BA177" s="13"/>
      <c r="BB177" s="13"/>
      <c r="BH177" s="16"/>
      <c r="CD177" s="16"/>
    </row>
    <row r="178" spans="12:82" x14ac:dyDescent="0.25">
      <c r="L178" s="14"/>
      <c r="P178" s="14"/>
      <c r="U178" s="13"/>
      <c r="V178" s="13"/>
      <c r="Y178" s="13"/>
      <c r="Z178" s="13"/>
      <c r="AC178" s="13"/>
      <c r="AD178" s="13"/>
      <c r="AG178" s="13"/>
      <c r="AH178" s="13"/>
      <c r="AK178" s="13"/>
      <c r="AL178" s="13"/>
      <c r="AO178" s="13"/>
      <c r="AP178" s="13"/>
      <c r="AS178" s="13"/>
      <c r="AT178" s="13"/>
      <c r="AW178" s="13"/>
      <c r="AX178" s="13"/>
      <c r="BA178" s="13"/>
      <c r="BB178" s="13"/>
      <c r="BH178" s="16"/>
      <c r="CD178" s="16"/>
    </row>
    <row r="179" spans="12:82" x14ac:dyDescent="0.25">
      <c r="L179" s="14"/>
      <c r="P179" s="14"/>
      <c r="U179" s="13"/>
      <c r="V179" s="13"/>
      <c r="Y179" s="13"/>
      <c r="Z179" s="13"/>
      <c r="AC179" s="13"/>
      <c r="AD179" s="13"/>
      <c r="AG179" s="13"/>
      <c r="AH179" s="13"/>
      <c r="AK179" s="13"/>
      <c r="AL179" s="13"/>
      <c r="AO179" s="13"/>
      <c r="AP179" s="13"/>
      <c r="AS179" s="13"/>
      <c r="AT179" s="13"/>
      <c r="AW179" s="13"/>
      <c r="AX179" s="13"/>
      <c r="BA179" s="13"/>
      <c r="BB179" s="13"/>
      <c r="BH179" s="16"/>
      <c r="CD179" s="16"/>
    </row>
    <row r="180" spans="12:82" x14ac:dyDescent="0.25">
      <c r="L180" s="14"/>
      <c r="P180" s="14"/>
      <c r="U180" s="13"/>
      <c r="V180" s="13"/>
      <c r="Y180" s="13"/>
      <c r="Z180" s="13"/>
      <c r="AC180" s="13"/>
      <c r="AD180" s="13"/>
      <c r="AG180" s="13"/>
      <c r="AH180" s="13"/>
      <c r="AK180" s="13"/>
      <c r="AL180" s="13"/>
      <c r="AO180" s="13"/>
      <c r="AP180" s="13"/>
      <c r="AS180" s="13"/>
      <c r="AT180" s="13"/>
      <c r="AW180" s="13"/>
      <c r="AX180" s="13"/>
      <c r="BA180" s="13"/>
      <c r="BB180" s="13"/>
      <c r="BH180" s="16"/>
      <c r="CD180" s="16"/>
    </row>
    <row r="181" spans="12:82" x14ac:dyDescent="0.25">
      <c r="L181" s="14"/>
      <c r="P181" s="14"/>
      <c r="U181" s="13"/>
      <c r="V181" s="13"/>
      <c r="Y181" s="13"/>
      <c r="Z181" s="13"/>
      <c r="AC181" s="13"/>
      <c r="AD181" s="13"/>
      <c r="AG181" s="13"/>
      <c r="AH181" s="13"/>
      <c r="AK181" s="13"/>
      <c r="AL181" s="13"/>
      <c r="AO181" s="13"/>
      <c r="AP181" s="13"/>
      <c r="AS181" s="13"/>
      <c r="AT181" s="13"/>
      <c r="AW181" s="13"/>
      <c r="AX181" s="13"/>
      <c r="BA181" s="13"/>
      <c r="BB181" s="13"/>
      <c r="BH181" s="16"/>
      <c r="CD181" s="16"/>
    </row>
    <row r="182" spans="12:82" x14ac:dyDescent="0.25">
      <c r="L182" s="14"/>
      <c r="P182" s="14"/>
      <c r="U182" s="13"/>
      <c r="V182" s="13"/>
      <c r="Y182" s="13"/>
      <c r="Z182" s="13"/>
      <c r="AC182" s="13"/>
      <c r="AD182" s="13"/>
      <c r="AG182" s="13"/>
      <c r="AH182" s="13"/>
      <c r="AK182" s="13"/>
      <c r="AL182" s="13"/>
      <c r="AO182" s="13"/>
      <c r="AP182" s="13"/>
      <c r="AS182" s="13"/>
      <c r="AT182" s="13"/>
      <c r="AW182" s="13"/>
      <c r="AX182" s="13"/>
      <c r="BA182" s="13"/>
      <c r="BB182" s="13"/>
      <c r="BH182" s="16"/>
      <c r="CD182" s="16"/>
    </row>
    <row r="183" spans="12:82" x14ac:dyDescent="0.25">
      <c r="L183" s="14"/>
      <c r="P183" s="14"/>
      <c r="U183" s="13"/>
      <c r="V183" s="13"/>
      <c r="Y183" s="13"/>
      <c r="Z183" s="13"/>
      <c r="AC183" s="13"/>
      <c r="AD183" s="13"/>
      <c r="AG183" s="13"/>
      <c r="AH183" s="13"/>
      <c r="AK183" s="13"/>
      <c r="AL183" s="13"/>
      <c r="AO183" s="13"/>
      <c r="AP183" s="13"/>
      <c r="AS183" s="13"/>
      <c r="AT183" s="13"/>
      <c r="AW183" s="13"/>
      <c r="AX183" s="13"/>
      <c r="BA183" s="13"/>
      <c r="BB183" s="13"/>
      <c r="BH183" s="16"/>
      <c r="CD183" s="16"/>
    </row>
    <row r="184" spans="12:82" x14ac:dyDescent="0.25">
      <c r="L184" s="14"/>
      <c r="P184" s="14"/>
      <c r="U184" s="13"/>
      <c r="V184" s="13"/>
      <c r="Y184" s="13"/>
      <c r="Z184" s="13"/>
      <c r="AC184" s="13"/>
      <c r="AD184" s="13"/>
      <c r="AG184" s="13"/>
      <c r="AH184" s="13"/>
      <c r="AK184" s="13"/>
      <c r="AL184" s="13"/>
      <c r="AO184" s="13"/>
      <c r="AP184" s="13"/>
      <c r="AS184" s="13"/>
      <c r="AT184" s="13"/>
      <c r="AW184" s="13"/>
      <c r="AX184" s="13"/>
      <c r="BA184" s="13"/>
      <c r="BB184" s="13"/>
      <c r="BH184" s="16"/>
      <c r="CD184" s="16"/>
    </row>
    <row r="185" spans="12:82" x14ac:dyDescent="0.25">
      <c r="L185" s="14"/>
      <c r="P185" s="14"/>
      <c r="U185" s="13"/>
      <c r="V185" s="13"/>
      <c r="Y185" s="13"/>
      <c r="Z185" s="13"/>
      <c r="AC185" s="13"/>
      <c r="AD185" s="13"/>
      <c r="AG185" s="13"/>
      <c r="AH185" s="13"/>
      <c r="AK185" s="13"/>
      <c r="AL185" s="13"/>
      <c r="AO185" s="13"/>
      <c r="AP185" s="13"/>
      <c r="AS185" s="13"/>
      <c r="AT185" s="13"/>
      <c r="AW185" s="13"/>
      <c r="AX185" s="13"/>
      <c r="BA185" s="13"/>
      <c r="BB185" s="13"/>
      <c r="BH185" s="16"/>
      <c r="CD185" s="16"/>
    </row>
    <row r="186" spans="12:82" x14ac:dyDescent="0.25">
      <c r="L186" s="14"/>
      <c r="P186" s="14"/>
      <c r="U186" s="13"/>
      <c r="V186" s="13"/>
      <c r="Y186" s="13"/>
      <c r="Z186" s="13"/>
      <c r="AC186" s="13"/>
      <c r="AD186" s="13"/>
      <c r="AG186" s="13"/>
      <c r="AH186" s="13"/>
      <c r="AK186" s="13"/>
      <c r="AL186" s="13"/>
      <c r="AO186" s="13"/>
      <c r="AP186" s="13"/>
      <c r="AS186" s="13"/>
      <c r="AT186" s="13"/>
      <c r="AW186" s="13"/>
      <c r="AX186" s="13"/>
      <c r="BA186" s="13"/>
      <c r="BB186" s="13"/>
      <c r="BH186" s="16"/>
      <c r="CD186" s="16"/>
    </row>
    <row r="187" spans="12:82" x14ac:dyDescent="0.25">
      <c r="L187" s="14"/>
      <c r="P187" s="14"/>
      <c r="U187" s="13"/>
      <c r="V187" s="13"/>
      <c r="Y187" s="13"/>
      <c r="Z187" s="13"/>
      <c r="AC187" s="13"/>
      <c r="AD187" s="13"/>
      <c r="AG187" s="13"/>
      <c r="AH187" s="13"/>
      <c r="AK187" s="13"/>
      <c r="AL187" s="13"/>
      <c r="AO187" s="13"/>
      <c r="AP187" s="13"/>
      <c r="AS187" s="13"/>
      <c r="AT187" s="13"/>
      <c r="AW187" s="13"/>
      <c r="AX187" s="13"/>
      <c r="BA187" s="13"/>
      <c r="BB187" s="13"/>
      <c r="BH187" s="16"/>
      <c r="CD187" s="16"/>
    </row>
    <row r="188" spans="12:82" x14ac:dyDescent="0.25">
      <c r="L188" s="14"/>
      <c r="P188" s="14"/>
      <c r="U188" s="13"/>
      <c r="V188" s="13"/>
      <c r="Y188" s="13"/>
      <c r="Z188" s="13"/>
      <c r="AC188" s="13"/>
      <c r="AD188" s="13"/>
      <c r="AG188" s="13"/>
      <c r="AH188" s="13"/>
      <c r="AK188" s="13"/>
      <c r="AL188" s="13"/>
      <c r="AO188" s="13"/>
      <c r="AP188" s="13"/>
      <c r="AS188" s="13"/>
      <c r="AT188" s="13"/>
      <c r="AW188" s="13"/>
      <c r="AX188" s="13"/>
      <c r="BA188" s="13"/>
      <c r="BB188" s="13"/>
      <c r="BH188" s="16"/>
      <c r="CD188" s="16"/>
    </row>
    <row r="189" spans="12:82" x14ac:dyDescent="0.25">
      <c r="L189" s="14"/>
      <c r="P189" s="14"/>
      <c r="U189" s="13"/>
      <c r="V189" s="13"/>
      <c r="Y189" s="13"/>
      <c r="Z189" s="13"/>
      <c r="AC189" s="13"/>
      <c r="AD189" s="13"/>
      <c r="AG189" s="13"/>
      <c r="AH189" s="13"/>
      <c r="AK189" s="13"/>
      <c r="AL189" s="13"/>
      <c r="AO189" s="13"/>
      <c r="AP189" s="13"/>
      <c r="AS189" s="13"/>
      <c r="AT189" s="13"/>
      <c r="AW189" s="13"/>
      <c r="AX189" s="13"/>
      <c r="BA189" s="13"/>
      <c r="BB189" s="13"/>
      <c r="BH189" s="16"/>
      <c r="CD189" s="16"/>
    </row>
    <row r="190" spans="12:82" x14ac:dyDescent="0.25">
      <c r="L190" s="14"/>
      <c r="P190" s="14"/>
      <c r="U190" s="13"/>
      <c r="V190" s="13"/>
      <c r="Y190" s="13"/>
      <c r="Z190" s="13"/>
      <c r="AC190" s="13"/>
      <c r="AD190" s="13"/>
      <c r="AG190" s="13"/>
      <c r="AH190" s="13"/>
      <c r="AK190" s="13"/>
      <c r="AL190" s="13"/>
      <c r="AO190" s="13"/>
      <c r="AP190" s="13"/>
      <c r="AS190" s="13"/>
      <c r="AT190" s="13"/>
      <c r="AW190" s="13"/>
      <c r="AX190" s="13"/>
      <c r="BA190" s="13"/>
      <c r="BB190" s="13"/>
      <c r="BH190" s="16"/>
      <c r="CD190" s="16"/>
    </row>
    <row r="191" spans="12:82" x14ac:dyDescent="0.25">
      <c r="L191" s="14"/>
      <c r="P191" s="14"/>
      <c r="U191" s="13"/>
      <c r="V191" s="13"/>
      <c r="Y191" s="13"/>
      <c r="Z191" s="13"/>
      <c r="AC191" s="13"/>
      <c r="AD191" s="13"/>
      <c r="AG191" s="13"/>
      <c r="AH191" s="13"/>
      <c r="AK191" s="13"/>
      <c r="AL191" s="13"/>
      <c r="AO191" s="13"/>
      <c r="AP191" s="13"/>
      <c r="AS191" s="13"/>
      <c r="AT191" s="13"/>
      <c r="AW191" s="13"/>
      <c r="AX191" s="13"/>
      <c r="BA191" s="13"/>
      <c r="BB191" s="13"/>
      <c r="BH191" s="16"/>
      <c r="CD191" s="16"/>
    </row>
    <row r="192" spans="12:82" x14ac:dyDescent="0.25">
      <c r="L192" s="14"/>
      <c r="P192" s="14"/>
      <c r="U192" s="13"/>
      <c r="V192" s="13"/>
      <c r="Y192" s="13"/>
      <c r="Z192" s="13"/>
      <c r="AC192" s="13"/>
      <c r="AD192" s="13"/>
      <c r="AG192" s="13"/>
      <c r="AH192" s="13"/>
      <c r="AK192" s="13"/>
      <c r="AL192" s="13"/>
      <c r="AO192" s="13"/>
      <c r="AP192" s="13"/>
      <c r="AS192" s="13"/>
      <c r="AT192" s="13"/>
      <c r="AW192" s="13"/>
      <c r="AX192" s="13"/>
      <c r="BA192" s="13"/>
      <c r="BB192" s="13"/>
      <c r="BH192" s="16"/>
      <c r="CD192" s="16"/>
    </row>
    <row r="193" spans="12:82" x14ac:dyDescent="0.25">
      <c r="L193" s="14"/>
      <c r="P193" s="14"/>
      <c r="U193" s="13"/>
      <c r="V193" s="13"/>
      <c r="Y193" s="13"/>
      <c r="Z193" s="13"/>
      <c r="AC193" s="13"/>
      <c r="AD193" s="13"/>
      <c r="AG193" s="13"/>
      <c r="AH193" s="13"/>
      <c r="AK193" s="13"/>
      <c r="AL193" s="13"/>
      <c r="AO193" s="13"/>
      <c r="AP193" s="13"/>
      <c r="AS193" s="13"/>
      <c r="AT193" s="13"/>
      <c r="AW193" s="13"/>
      <c r="AX193" s="13"/>
      <c r="BA193" s="13"/>
      <c r="BB193" s="13"/>
      <c r="BH193" s="16"/>
      <c r="CD193" s="16"/>
    </row>
    <row r="194" spans="12:82" x14ac:dyDescent="0.25">
      <c r="L194" s="14"/>
      <c r="P194" s="14"/>
      <c r="U194" s="13"/>
      <c r="V194" s="13"/>
      <c r="Y194" s="13"/>
      <c r="Z194" s="13"/>
      <c r="AC194" s="13"/>
      <c r="AD194" s="13"/>
      <c r="AG194" s="13"/>
      <c r="AH194" s="13"/>
      <c r="AK194" s="13"/>
      <c r="AL194" s="13"/>
      <c r="AO194" s="13"/>
      <c r="AP194" s="13"/>
      <c r="AS194" s="13"/>
      <c r="AT194" s="13"/>
      <c r="AW194" s="13"/>
      <c r="AX194" s="13"/>
      <c r="BA194" s="13"/>
      <c r="BB194" s="13"/>
      <c r="BH194" s="16"/>
      <c r="CD194" s="16"/>
    </row>
    <row r="195" spans="12:82" x14ac:dyDescent="0.25">
      <c r="L195" s="14"/>
      <c r="P195" s="14"/>
      <c r="U195" s="13"/>
      <c r="V195" s="13"/>
      <c r="Y195" s="13"/>
      <c r="Z195" s="13"/>
      <c r="AC195" s="13"/>
      <c r="AD195" s="13"/>
      <c r="AG195" s="13"/>
      <c r="AH195" s="13"/>
      <c r="AK195" s="13"/>
      <c r="AL195" s="13"/>
      <c r="AO195" s="13"/>
      <c r="AP195" s="13"/>
      <c r="AS195" s="13"/>
      <c r="AT195" s="13"/>
      <c r="AW195" s="13"/>
      <c r="AX195" s="13"/>
      <c r="BA195" s="13"/>
      <c r="BB195" s="13"/>
      <c r="BH195" s="16"/>
      <c r="CD195" s="16"/>
    </row>
    <row r="196" spans="12:82" x14ac:dyDescent="0.25">
      <c r="L196" s="14"/>
      <c r="P196" s="14"/>
      <c r="U196" s="13"/>
      <c r="V196" s="13"/>
      <c r="Y196" s="13"/>
      <c r="Z196" s="13"/>
      <c r="AC196" s="13"/>
      <c r="AD196" s="13"/>
      <c r="AG196" s="13"/>
      <c r="AH196" s="13"/>
      <c r="AK196" s="13"/>
      <c r="AL196" s="13"/>
      <c r="AO196" s="13"/>
      <c r="AP196" s="13"/>
      <c r="AS196" s="13"/>
      <c r="AT196" s="13"/>
      <c r="AW196" s="13"/>
      <c r="AX196" s="13"/>
      <c r="BA196" s="13"/>
      <c r="BB196" s="13"/>
      <c r="BH196" s="16"/>
      <c r="CD196" s="16"/>
    </row>
    <row r="197" spans="12:82" x14ac:dyDescent="0.25">
      <c r="L197" s="14"/>
      <c r="P197" s="14"/>
      <c r="U197" s="13"/>
      <c r="V197" s="13"/>
      <c r="Y197" s="13"/>
      <c r="Z197" s="13"/>
      <c r="AC197" s="13"/>
      <c r="AD197" s="13"/>
      <c r="AG197" s="13"/>
      <c r="AH197" s="13"/>
      <c r="AK197" s="13"/>
      <c r="AL197" s="13"/>
      <c r="AO197" s="13"/>
      <c r="AP197" s="13"/>
      <c r="AS197" s="13"/>
      <c r="AT197" s="13"/>
      <c r="AW197" s="13"/>
      <c r="AX197" s="13"/>
      <c r="BA197" s="13"/>
      <c r="BB197" s="13"/>
      <c r="BH197" s="16"/>
      <c r="CD197" s="16"/>
    </row>
    <row r="198" spans="12:82" x14ac:dyDescent="0.25">
      <c r="L198" s="14"/>
      <c r="P198" s="14"/>
      <c r="U198" s="13"/>
      <c r="V198" s="13"/>
      <c r="Y198" s="13"/>
      <c r="Z198" s="13"/>
      <c r="AC198" s="13"/>
      <c r="AD198" s="13"/>
      <c r="AG198" s="13"/>
      <c r="AH198" s="13"/>
      <c r="AK198" s="13"/>
      <c r="AL198" s="13"/>
      <c r="AO198" s="13"/>
      <c r="AP198" s="13"/>
      <c r="AS198" s="13"/>
      <c r="AT198" s="13"/>
      <c r="AW198" s="13"/>
      <c r="AX198" s="13"/>
      <c r="BA198" s="13"/>
      <c r="BB198" s="13"/>
      <c r="BH198" s="16"/>
      <c r="CD198" s="16"/>
    </row>
    <row r="199" spans="12:82" x14ac:dyDescent="0.25">
      <c r="L199" s="14"/>
      <c r="P199" s="14"/>
      <c r="U199" s="13"/>
      <c r="V199" s="13"/>
      <c r="Y199" s="13"/>
      <c r="Z199" s="13"/>
      <c r="AC199" s="13"/>
      <c r="AD199" s="13"/>
      <c r="AG199" s="13"/>
      <c r="AH199" s="13"/>
      <c r="AK199" s="13"/>
      <c r="AL199" s="13"/>
      <c r="AO199" s="13"/>
      <c r="AP199" s="13"/>
      <c r="AS199" s="13"/>
      <c r="AT199" s="13"/>
      <c r="AW199" s="13"/>
      <c r="AX199" s="13"/>
      <c r="BA199" s="13"/>
      <c r="BB199" s="13"/>
      <c r="BH199" s="16"/>
      <c r="CD199" s="16"/>
    </row>
    <row r="200" spans="12:82" x14ac:dyDescent="0.25">
      <c r="L200" s="14"/>
      <c r="P200" s="14"/>
      <c r="U200" s="13"/>
      <c r="V200" s="13"/>
      <c r="Y200" s="13"/>
      <c r="Z200" s="13"/>
      <c r="AC200" s="13"/>
      <c r="AD200" s="13"/>
      <c r="AG200" s="13"/>
      <c r="AH200" s="13"/>
      <c r="AK200" s="13"/>
      <c r="AL200" s="13"/>
      <c r="AO200" s="13"/>
      <c r="AP200" s="13"/>
      <c r="AS200" s="13"/>
      <c r="AT200" s="13"/>
      <c r="AW200" s="13"/>
      <c r="AX200" s="13"/>
      <c r="BA200" s="13"/>
      <c r="BB200" s="13"/>
      <c r="BH200" s="16"/>
      <c r="CD200" s="16"/>
    </row>
    <row r="201" spans="12:82" x14ac:dyDescent="0.25">
      <c r="L201" s="14"/>
      <c r="P201" s="14"/>
      <c r="U201" s="13"/>
      <c r="V201" s="13"/>
      <c r="Y201" s="13"/>
      <c r="Z201" s="13"/>
      <c r="AC201" s="13"/>
      <c r="AD201" s="13"/>
      <c r="AG201" s="13"/>
      <c r="AH201" s="13"/>
      <c r="AK201" s="13"/>
      <c r="AL201" s="13"/>
      <c r="AO201" s="13"/>
      <c r="AP201" s="13"/>
      <c r="AS201" s="13"/>
      <c r="AT201" s="13"/>
      <c r="AW201" s="13"/>
      <c r="AX201" s="13"/>
      <c r="BA201" s="13"/>
      <c r="BB201" s="13"/>
      <c r="BH201" s="16"/>
      <c r="CD201" s="16"/>
    </row>
    <row r="202" spans="12:82" x14ac:dyDescent="0.25">
      <c r="L202" s="14"/>
      <c r="P202" s="14"/>
      <c r="U202" s="13"/>
      <c r="V202" s="13"/>
      <c r="Y202" s="13"/>
      <c r="Z202" s="13"/>
      <c r="AC202" s="13"/>
      <c r="AD202" s="13"/>
      <c r="AG202" s="13"/>
      <c r="AH202" s="13"/>
      <c r="AK202" s="13"/>
      <c r="AL202" s="13"/>
      <c r="AO202" s="13"/>
      <c r="AP202" s="13"/>
      <c r="AS202" s="13"/>
      <c r="AT202" s="13"/>
      <c r="AW202" s="13"/>
      <c r="AX202" s="13"/>
      <c r="BA202" s="13"/>
      <c r="BB202" s="13"/>
      <c r="BH202" s="16"/>
      <c r="CD202" s="16"/>
    </row>
    <row r="203" spans="12:82" x14ac:dyDescent="0.25">
      <c r="L203" s="14"/>
      <c r="P203" s="14"/>
      <c r="U203" s="13"/>
      <c r="V203" s="13"/>
      <c r="Y203" s="13"/>
      <c r="Z203" s="13"/>
      <c r="AC203" s="13"/>
      <c r="AD203" s="13"/>
      <c r="AG203" s="13"/>
      <c r="AH203" s="13"/>
      <c r="AK203" s="13"/>
      <c r="AL203" s="13"/>
      <c r="AO203" s="13"/>
      <c r="AP203" s="13"/>
      <c r="AS203" s="13"/>
      <c r="AT203" s="13"/>
      <c r="AW203" s="13"/>
      <c r="AX203" s="13"/>
      <c r="BA203" s="13"/>
      <c r="BB203" s="13"/>
      <c r="BH203" s="16"/>
      <c r="CD203" s="16"/>
    </row>
    <row r="204" spans="12:82" x14ac:dyDescent="0.25">
      <c r="L204" s="14"/>
      <c r="P204" s="14"/>
      <c r="U204" s="13"/>
      <c r="V204" s="13"/>
      <c r="Y204" s="13"/>
      <c r="Z204" s="13"/>
      <c r="AC204" s="13"/>
      <c r="AD204" s="13"/>
      <c r="AG204" s="13"/>
      <c r="AH204" s="13"/>
      <c r="AK204" s="13"/>
      <c r="AL204" s="13"/>
      <c r="AO204" s="13"/>
      <c r="AP204" s="13"/>
      <c r="AS204" s="13"/>
      <c r="AT204" s="13"/>
      <c r="AW204" s="13"/>
      <c r="AX204" s="13"/>
      <c r="BA204" s="13"/>
      <c r="BB204" s="13"/>
      <c r="BH204" s="16"/>
      <c r="CD204" s="16"/>
    </row>
    <row r="205" spans="12:82" x14ac:dyDescent="0.25">
      <c r="L205" s="14"/>
      <c r="P205" s="14"/>
      <c r="U205" s="13"/>
      <c r="V205" s="13"/>
      <c r="Y205" s="13"/>
      <c r="Z205" s="13"/>
      <c r="AC205" s="13"/>
      <c r="AD205" s="13"/>
      <c r="AG205" s="13"/>
      <c r="AH205" s="13"/>
      <c r="AK205" s="13"/>
      <c r="AL205" s="13"/>
      <c r="AO205" s="13"/>
      <c r="AP205" s="13"/>
      <c r="AS205" s="13"/>
      <c r="AT205" s="13"/>
      <c r="AW205" s="13"/>
      <c r="AX205" s="13"/>
      <c r="BA205" s="13"/>
      <c r="BB205" s="13"/>
      <c r="BH205" s="16"/>
      <c r="CD205" s="16"/>
    </row>
    <row r="206" spans="12:82" x14ac:dyDescent="0.25">
      <c r="L206" s="14"/>
      <c r="P206" s="14"/>
      <c r="U206" s="13"/>
      <c r="V206" s="13"/>
      <c r="Y206" s="13"/>
      <c r="Z206" s="13"/>
      <c r="AC206" s="13"/>
      <c r="AD206" s="13"/>
      <c r="AG206" s="13"/>
      <c r="AH206" s="13"/>
      <c r="AK206" s="13"/>
      <c r="AL206" s="13"/>
      <c r="AO206" s="13"/>
      <c r="AP206" s="13"/>
      <c r="AS206" s="13"/>
      <c r="AT206" s="13"/>
      <c r="AW206" s="13"/>
      <c r="AX206" s="13"/>
      <c r="BA206" s="13"/>
      <c r="BB206" s="13"/>
      <c r="BH206" s="16"/>
      <c r="CD206" s="16"/>
    </row>
    <row r="207" spans="12:82" x14ac:dyDescent="0.25">
      <c r="L207" s="14"/>
      <c r="P207" s="14"/>
      <c r="U207" s="13"/>
      <c r="V207" s="13"/>
      <c r="Y207" s="13"/>
      <c r="Z207" s="13"/>
      <c r="AC207" s="13"/>
      <c r="AD207" s="13"/>
      <c r="AG207" s="13"/>
      <c r="AH207" s="13"/>
      <c r="AK207" s="13"/>
      <c r="AL207" s="13"/>
      <c r="AO207" s="13"/>
      <c r="AP207" s="13"/>
      <c r="AS207" s="13"/>
      <c r="AT207" s="13"/>
      <c r="AW207" s="13"/>
      <c r="AX207" s="13"/>
      <c r="BA207" s="13"/>
      <c r="BB207" s="13"/>
      <c r="BH207" s="16"/>
      <c r="CD207" s="16"/>
    </row>
    <row r="208" spans="12:82" x14ac:dyDescent="0.25">
      <c r="L208" s="14"/>
      <c r="P208" s="14"/>
      <c r="U208" s="13"/>
      <c r="V208" s="13"/>
      <c r="Y208" s="13"/>
      <c r="Z208" s="13"/>
      <c r="AC208" s="13"/>
      <c r="AD208" s="13"/>
      <c r="AG208" s="13"/>
      <c r="AH208" s="13"/>
      <c r="AK208" s="13"/>
      <c r="AL208" s="13"/>
      <c r="AO208" s="13"/>
      <c r="AP208" s="13"/>
      <c r="AS208" s="13"/>
      <c r="AT208" s="13"/>
      <c r="AW208" s="13"/>
      <c r="AX208" s="13"/>
      <c r="BA208" s="13"/>
      <c r="BB208" s="13"/>
      <c r="BH208" s="16"/>
      <c r="CD208" s="16"/>
    </row>
    <row r="209" spans="12:82" x14ac:dyDescent="0.25">
      <c r="L209" s="14"/>
      <c r="P209" s="14"/>
      <c r="U209" s="13"/>
      <c r="V209" s="13"/>
      <c r="Y209" s="13"/>
      <c r="Z209" s="13"/>
      <c r="AC209" s="13"/>
      <c r="AD209" s="13"/>
      <c r="AG209" s="13"/>
      <c r="AH209" s="13"/>
      <c r="AK209" s="13"/>
      <c r="AL209" s="13"/>
      <c r="AO209" s="13"/>
      <c r="AP209" s="13"/>
      <c r="AS209" s="13"/>
      <c r="AT209" s="13"/>
      <c r="AW209" s="13"/>
      <c r="AX209" s="13"/>
      <c r="BA209" s="13"/>
      <c r="BB209" s="13"/>
      <c r="BH209" s="16"/>
      <c r="CD209" s="16"/>
    </row>
    <row r="210" spans="12:82" x14ac:dyDescent="0.25">
      <c r="L210" s="14"/>
      <c r="P210" s="14"/>
      <c r="U210" s="13"/>
      <c r="V210" s="13"/>
      <c r="Y210" s="13"/>
      <c r="Z210" s="13"/>
      <c r="AC210" s="13"/>
      <c r="AD210" s="13"/>
      <c r="AG210" s="13"/>
      <c r="AH210" s="13"/>
      <c r="AK210" s="13"/>
      <c r="AL210" s="13"/>
      <c r="AO210" s="13"/>
      <c r="AP210" s="13"/>
      <c r="AS210" s="13"/>
      <c r="AT210" s="13"/>
      <c r="AW210" s="13"/>
      <c r="AX210" s="13"/>
      <c r="BA210" s="13"/>
      <c r="BB210" s="13"/>
      <c r="BH210" s="16"/>
      <c r="CD210" s="16"/>
    </row>
    <row r="211" spans="12:82" x14ac:dyDescent="0.25">
      <c r="L211" s="14"/>
      <c r="P211" s="14"/>
      <c r="U211" s="13"/>
      <c r="V211" s="13"/>
      <c r="Y211" s="13"/>
      <c r="Z211" s="13"/>
      <c r="AC211" s="13"/>
      <c r="AD211" s="13"/>
      <c r="AG211" s="13"/>
      <c r="AH211" s="13"/>
      <c r="AK211" s="13"/>
      <c r="AL211" s="13"/>
      <c r="AO211" s="13"/>
      <c r="AP211" s="13"/>
      <c r="AS211" s="13"/>
      <c r="AT211" s="13"/>
      <c r="AW211" s="13"/>
      <c r="AX211" s="13"/>
      <c r="BA211" s="13"/>
      <c r="BB211" s="13"/>
      <c r="BH211" s="16"/>
      <c r="CD211" s="16"/>
    </row>
    <row r="212" spans="12:82" x14ac:dyDescent="0.25">
      <c r="L212" s="14"/>
      <c r="P212" s="14"/>
      <c r="U212" s="13"/>
      <c r="V212" s="13"/>
      <c r="Y212" s="13"/>
      <c r="Z212" s="13"/>
      <c r="AC212" s="13"/>
      <c r="AD212" s="13"/>
      <c r="AG212" s="13"/>
      <c r="AH212" s="13"/>
      <c r="AK212" s="13"/>
      <c r="AL212" s="13"/>
      <c r="AO212" s="13"/>
      <c r="AP212" s="13"/>
      <c r="AS212" s="13"/>
      <c r="AT212" s="13"/>
      <c r="AW212" s="13"/>
      <c r="AX212" s="13"/>
      <c r="BA212" s="13"/>
      <c r="BB212" s="13"/>
      <c r="BH212" s="16"/>
      <c r="CD212" s="16"/>
    </row>
    <row r="213" spans="12:82" x14ac:dyDescent="0.25">
      <c r="L213" s="14"/>
      <c r="P213" s="14"/>
      <c r="U213" s="13"/>
      <c r="V213" s="13"/>
      <c r="Y213" s="13"/>
      <c r="Z213" s="13"/>
      <c r="AC213" s="13"/>
      <c r="AD213" s="13"/>
      <c r="AG213" s="13"/>
      <c r="AH213" s="13"/>
      <c r="AK213" s="13"/>
      <c r="AL213" s="13"/>
      <c r="AO213" s="13"/>
      <c r="AP213" s="13"/>
      <c r="AS213" s="13"/>
      <c r="AT213" s="13"/>
      <c r="AW213" s="13"/>
      <c r="AX213" s="13"/>
      <c r="BA213" s="13"/>
      <c r="BB213" s="13"/>
      <c r="BH213" s="16"/>
      <c r="CD213" s="16"/>
    </row>
    <row r="214" spans="12:82" x14ac:dyDescent="0.25">
      <c r="L214" s="14"/>
      <c r="P214" s="14"/>
      <c r="U214" s="13"/>
      <c r="V214" s="13"/>
      <c r="Y214" s="13"/>
      <c r="Z214" s="13"/>
      <c r="AC214" s="13"/>
      <c r="AD214" s="13"/>
      <c r="AG214" s="13"/>
      <c r="AH214" s="13"/>
      <c r="AK214" s="13"/>
      <c r="AL214" s="13"/>
      <c r="AO214" s="13"/>
      <c r="AP214" s="13"/>
      <c r="AS214" s="13"/>
      <c r="AT214" s="13"/>
      <c r="AW214" s="13"/>
      <c r="AX214" s="13"/>
      <c r="BA214" s="13"/>
      <c r="BB214" s="13"/>
      <c r="BH214" s="16"/>
      <c r="CD214" s="16"/>
    </row>
    <row r="215" spans="12:82" x14ac:dyDescent="0.25">
      <c r="L215" s="14"/>
      <c r="P215" s="14"/>
      <c r="U215" s="13"/>
      <c r="V215" s="13"/>
      <c r="Y215" s="13"/>
      <c r="Z215" s="13"/>
      <c r="AC215" s="13"/>
      <c r="AD215" s="13"/>
      <c r="AG215" s="13"/>
      <c r="AH215" s="13"/>
      <c r="AK215" s="13"/>
      <c r="AL215" s="13"/>
      <c r="AO215" s="13"/>
      <c r="AP215" s="13"/>
      <c r="AS215" s="13"/>
      <c r="AT215" s="13"/>
      <c r="AW215" s="13"/>
      <c r="AX215" s="13"/>
      <c r="BA215" s="13"/>
      <c r="BB215" s="13"/>
      <c r="BH215" s="16"/>
      <c r="CD215" s="16"/>
    </row>
    <row r="216" spans="12:82" x14ac:dyDescent="0.25">
      <c r="L216" s="14"/>
      <c r="P216" s="14"/>
      <c r="U216" s="13"/>
      <c r="V216" s="13"/>
      <c r="Y216" s="13"/>
      <c r="Z216" s="13"/>
      <c r="AC216" s="13"/>
      <c r="AD216" s="13"/>
      <c r="AG216" s="13"/>
      <c r="AH216" s="13"/>
      <c r="AK216" s="13"/>
      <c r="AL216" s="13"/>
      <c r="AO216" s="13"/>
      <c r="AP216" s="13"/>
      <c r="AS216" s="13"/>
      <c r="AT216" s="13"/>
      <c r="AW216" s="13"/>
      <c r="AX216" s="13"/>
      <c r="BA216" s="13"/>
      <c r="BB216" s="13"/>
      <c r="BH216" s="16"/>
      <c r="CD216" s="16"/>
    </row>
    <row r="217" spans="12:82" x14ac:dyDescent="0.25">
      <c r="L217" s="14"/>
      <c r="P217" s="14"/>
      <c r="U217" s="13"/>
      <c r="V217" s="13"/>
      <c r="Y217" s="13"/>
      <c r="Z217" s="13"/>
      <c r="AC217" s="13"/>
      <c r="AD217" s="13"/>
      <c r="AG217" s="13"/>
      <c r="AH217" s="13"/>
      <c r="AK217" s="13"/>
      <c r="AL217" s="13"/>
      <c r="AO217" s="13"/>
      <c r="AP217" s="13"/>
      <c r="AS217" s="13"/>
      <c r="AT217" s="13"/>
      <c r="AW217" s="13"/>
      <c r="AX217" s="13"/>
      <c r="BA217" s="13"/>
      <c r="BB217" s="13"/>
      <c r="BH217" s="16"/>
      <c r="CD217" s="16"/>
    </row>
    <row r="218" spans="12:82" x14ac:dyDescent="0.25">
      <c r="L218" s="14"/>
      <c r="P218" s="14"/>
      <c r="U218" s="13"/>
      <c r="V218" s="13"/>
      <c r="Y218" s="13"/>
      <c r="Z218" s="13"/>
      <c r="AC218" s="13"/>
      <c r="AD218" s="13"/>
      <c r="AG218" s="13"/>
      <c r="AH218" s="13"/>
      <c r="AK218" s="13"/>
      <c r="AL218" s="13"/>
      <c r="AO218" s="13"/>
      <c r="AP218" s="13"/>
      <c r="AS218" s="13"/>
      <c r="AT218" s="13"/>
      <c r="AW218" s="13"/>
      <c r="AX218" s="13"/>
      <c r="BA218" s="13"/>
      <c r="BB218" s="13"/>
      <c r="BH218" s="16"/>
      <c r="CD218" s="16"/>
    </row>
    <row r="219" spans="12:82" x14ac:dyDescent="0.25">
      <c r="L219" s="14"/>
      <c r="P219" s="14"/>
      <c r="U219" s="13"/>
      <c r="V219" s="13"/>
      <c r="Y219" s="13"/>
      <c r="Z219" s="13"/>
      <c r="AC219" s="13"/>
      <c r="AD219" s="13"/>
      <c r="AG219" s="13"/>
      <c r="AH219" s="13"/>
      <c r="AK219" s="13"/>
      <c r="AL219" s="13"/>
      <c r="AO219" s="13"/>
      <c r="AP219" s="13"/>
      <c r="AS219" s="13"/>
      <c r="AT219" s="13"/>
      <c r="AW219" s="13"/>
      <c r="AX219" s="13"/>
      <c r="BA219" s="13"/>
      <c r="BB219" s="13"/>
      <c r="BH219" s="16"/>
      <c r="CD219" s="16"/>
    </row>
    <row r="220" spans="12:82" x14ac:dyDescent="0.25">
      <c r="L220" s="14"/>
      <c r="P220" s="14"/>
      <c r="U220" s="13"/>
      <c r="V220" s="13"/>
      <c r="Y220" s="13"/>
      <c r="Z220" s="13"/>
      <c r="AC220" s="13"/>
      <c r="AD220" s="13"/>
      <c r="AG220" s="13"/>
      <c r="AH220" s="13"/>
      <c r="AK220" s="13"/>
      <c r="AL220" s="13"/>
      <c r="AO220" s="13"/>
      <c r="AP220" s="13"/>
      <c r="AS220" s="13"/>
      <c r="AT220" s="13"/>
      <c r="AW220" s="13"/>
      <c r="AX220" s="13"/>
      <c r="BA220" s="13"/>
      <c r="BB220" s="13"/>
      <c r="BH220" s="16"/>
      <c r="CD220" s="16"/>
    </row>
    <row r="221" spans="12:82" x14ac:dyDescent="0.25">
      <c r="L221" s="14"/>
      <c r="P221" s="14"/>
      <c r="U221" s="13"/>
      <c r="V221" s="13"/>
      <c r="Y221" s="13"/>
      <c r="Z221" s="13"/>
      <c r="AC221" s="13"/>
      <c r="AD221" s="13"/>
      <c r="AG221" s="13"/>
      <c r="AH221" s="13"/>
      <c r="AK221" s="13"/>
      <c r="AL221" s="13"/>
      <c r="AO221" s="13"/>
      <c r="AP221" s="13"/>
      <c r="AS221" s="13"/>
      <c r="AT221" s="13"/>
      <c r="AW221" s="13"/>
      <c r="AX221" s="13"/>
      <c r="BA221" s="13"/>
      <c r="BB221" s="13"/>
      <c r="BH221" s="16"/>
      <c r="CD221" s="16"/>
    </row>
    <row r="222" spans="12:82" x14ac:dyDescent="0.25">
      <c r="L222" s="14"/>
      <c r="P222" s="14"/>
      <c r="U222" s="13"/>
      <c r="V222" s="13"/>
      <c r="Y222" s="13"/>
      <c r="Z222" s="13"/>
      <c r="AC222" s="13"/>
      <c r="AD222" s="13"/>
      <c r="AG222" s="13"/>
      <c r="AH222" s="13"/>
      <c r="AK222" s="13"/>
      <c r="AL222" s="13"/>
      <c r="AO222" s="13"/>
      <c r="AP222" s="13"/>
      <c r="AS222" s="13"/>
      <c r="AT222" s="13"/>
      <c r="AW222" s="13"/>
      <c r="AX222" s="13"/>
      <c r="BA222" s="13"/>
      <c r="BB222" s="13"/>
      <c r="BH222" s="16"/>
      <c r="CD222" s="16"/>
    </row>
    <row r="223" spans="12:82" x14ac:dyDescent="0.25">
      <c r="L223" s="14"/>
      <c r="P223" s="14"/>
      <c r="U223" s="13"/>
      <c r="V223" s="13"/>
      <c r="Y223" s="13"/>
      <c r="Z223" s="13"/>
      <c r="AC223" s="13"/>
      <c r="AD223" s="13"/>
      <c r="AG223" s="13"/>
      <c r="AH223" s="13"/>
      <c r="AK223" s="13"/>
      <c r="AL223" s="13"/>
      <c r="AO223" s="13"/>
      <c r="AP223" s="13"/>
      <c r="AS223" s="13"/>
      <c r="AT223" s="13"/>
      <c r="AW223" s="13"/>
      <c r="AX223" s="13"/>
      <c r="BA223" s="13"/>
      <c r="BB223" s="13"/>
      <c r="BH223" s="16"/>
      <c r="CD223" s="16"/>
    </row>
    <row r="224" spans="12:82" x14ac:dyDescent="0.25">
      <c r="L224" s="14"/>
      <c r="P224" s="14"/>
      <c r="U224" s="13"/>
      <c r="V224" s="13"/>
      <c r="Y224" s="13"/>
      <c r="Z224" s="13"/>
      <c r="AC224" s="13"/>
      <c r="AD224" s="13"/>
      <c r="AG224" s="13"/>
      <c r="AH224" s="13"/>
      <c r="AK224" s="13"/>
      <c r="AL224" s="13"/>
      <c r="AO224" s="13"/>
      <c r="AP224" s="13"/>
      <c r="AS224" s="13"/>
      <c r="AT224" s="13"/>
      <c r="AW224" s="13"/>
      <c r="AX224" s="13"/>
      <c r="BA224" s="13"/>
      <c r="BB224" s="13"/>
      <c r="BH224" s="16"/>
      <c r="CD224" s="16"/>
    </row>
    <row r="225" spans="12:82" x14ac:dyDescent="0.25">
      <c r="L225" s="14"/>
      <c r="P225" s="14"/>
      <c r="U225" s="13"/>
      <c r="V225" s="13"/>
      <c r="Y225" s="13"/>
      <c r="Z225" s="13"/>
      <c r="AC225" s="13"/>
      <c r="AD225" s="13"/>
      <c r="AG225" s="13"/>
      <c r="AH225" s="13"/>
      <c r="AK225" s="13"/>
      <c r="AL225" s="13"/>
      <c r="AO225" s="13"/>
      <c r="AP225" s="13"/>
      <c r="AS225" s="13"/>
      <c r="AT225" s="13"/>
      <c r="AW225" s="13"/>
      <c r="AX225" s="13"/>
      <c r="BA225" s="13"/>
      <c r="BB225" s="13"/>
      <c r="BH225" s="16"/>
      <c r="CD225" s="16"/>
    </row>
    <row r="226" spans="12:82" x14ac:dyDescent="0.25">
      <c r="L226" s="14"/>
      <c r="P226" s="14"/>
      <c r="U226" s="13"/>
      <c r="V226" s="13"/>
      <c r="Y226" s="13"/>
      <c r="Z226" s="13"/>
      <c r="AC226" s="13"/>
      <c r="AD226" s="13"/>
      <c r="AG226" s="13"/>
      <c r="AH226" s="13"/>
      <c r="AK226" s="13"/>
      <c r="AL226" s="13"/>
      <c r="AO226" s="13"/>
      <c r="AP226" s="13"/>
      <c r="AS226" s="13"/>
      <c r="AT226" s="13"/>
      <c r="AW226" s="13"/>
      <c r="AX226" s="13"/>
      <c r="BA226" s="13"/>
      <c r="BB226" s="13"/>
      <c r="BH226" s="16"/>
      <c r="CD226" s="16"/>
    </row>
    <row r="227" spans="12:82" x14ac:dyDescent="0.25">
      <c r="L227" s="14"/>
      <c r="P227" s="14"/>
      <c r="U227" s="13"/>
      <c r="V227" s="13"/>
      <c r="Y227" s="13"/>
      <c r="Z227" s="13"/>
      <c r="AC227" s="13"/>
      <c r="AD227" s="13"/>
      <c r="AG227" s="13"/>
      <c r="AH227" s="13"/>
      <c r="AK227" s="13"/>
      <c r="AL227" s="13"/>
      <c r="AO227" s="13"/>
      <c r="AP227" s="13"/>
      <c r="AS227" s="13"/>
      <c r="AT227" s="13"/>
      <c r="AW227" s="13"/>
      <c r="AX227" s="13"/>
      <c r="BA227" s="13"/>
      <c r="BB227" s="13"/>
      <c r="BH227" s="16"/>
      <c r="CD227" s="16"/>
    </row>
    <row r="228" spans="12:82" x14ac:dyDescent="0.25">
      <c r="L228" s="14"/>
      <c r="P228" s="14"/>
      <c r="U228" s="13"/>
      <c r="V228" s="13"/>
      <c r="Y228" s="13"/>
      <c r="Z228" s="13"/>
      <c r="AC228" s="13"/>
      <c r="AD228" s="13"/>
      <c r="AG228" s="13"/>
      <c r="AH228" s="13"/>
      <c r="AK228" s="13"/>
      <c r="AL228" s="13"/>
      <c r="AO228" s="13"/>
      <c r="AP228" s="13"/>
      <c r="AS228" s="13"/>
      <c r="AT228" s="13"/>
      <c r="AW228" s="13"/>
      <c r="AX228" s="13"/>
      <c r="BA228" s="13"/>
      <c r="BB228" s="13"/>
      <c r="BH228" s="16"/>
      <c r="CD228" s="16"/>
    </row>
    <row r="229" spans="12:82" x14ac:dyDescent="0.25">
      <c r="L229" s="14"/>
      <c r="P229" s="14"/>
      <c r="U229" s="13"/>
      <c r="V229" s="13"/>
      <c r="Y229" s="13"/>
      <c r="Z229" s="13"/>
      <c r="AC229" s="13"/>
      <c r="AD229" s="13"/>
      <c r="AG229" s="13"/>
      <c r="AH229" s="13"/>
      <c r="AK229" s="13"/>
      <c r="AL229" s="13"/>
      <c r="AO229" s="13"/>
      <c r="AP229" s="13"/>
      <c r="AS229" s="13"/>
      <c r="AT229" s="13"/>
      <c r="AW229" s="13"/>
      <c r="AX229" s="13"/>
      <c r="BA229" s="13"/>
      <c r="BB229" s="13"/>
      <c r="BH229" s="16"/>
      <c r="CD229" s="16"/>
    </row>
    <row r="230" spans="12:82" x14ac:dyDescent="0.25">
      <c r="L230" s="14"/>
      <c r="P230" s="14"/>
      <c r="U230" s="13"/>
      <c r="V230" s="13"/>
      <c r="Y230" s="13"/>
      <c r="Z230" s="13"/>
      <c r="AC230" s="13"/>
      <c r="AD230" s="13"/>
      <c r="AG230" s="13"/>
      <c r="AH230" s="13"/>
      <c r="AK230" s="13"/>
      <c r="AL230" s="13"/>
      <c r="AO230" s="13"/>
      <c r="AP230" s="13"/>
      <c r="AS230" s="13"/>
      <c r="AT230" s="13"/>
      <c r="AW230" s="13"/>
      <c r="AX230" s="13"/>
      <c r="BA230" s="13"/>
      <c r="BB230" s="13"/>
      <c r="BH230" s="16"/>
      <c r="CD230" s="16"/>
    </row>
    <row r="231" spans="12:82" x14ac:dyDescent="0.25">
      <c r="L231" s="14"/>
      <c r="P231" s="14"/>
      <c r="U231" s="13"/>
      <c r="V231" s="13"/>
      <c r="Y231" s="13"/>
      <c r="Z231" s="13"/>
      <c r="AC231" s="13"/>
      <c r="AD231" s="13"/>
      <c r="AG231" s="13"/>
      <c r="AH231" s="13"/>
      <c r="AK231" s="13"/>
      <c r="AL231" s="13"/>
      <c r="AO231" s="13"/>
      <c r="AP231" s="13"/>
      <c r="AS231" s="13"/>
      <c r="AT231" s="13"/>
      <c r="AW231" s="13"/>
      <c r="AX231" s="13"/>
      <c r="BA231" s="13"/>
      <c r="BB231" s="13"/>
      <c r="BH231" s="16"/>
      <c r="CD231" s="16"/>
    </row>
    <row r="232" spans="12:82" x14ac:dyDescent="0.25">
      <c r="L232" s="14"/>
      <c r="P232" s="14"/>
      <c r="U232" s="13"/>
      <c r="V232" s="13"/>
      <c r="Y232" s="13"/>
      <c r="Z232" s="13"/>
      <c r="AC232" s="13"/>
      <c r="AD232" s="13"/>
      <c r="AG232" s="13"/>
      <c r="AH232" s="13"/>
      <c r="AK232" s="13"/>
      <c r="AL232" s="13"/>
      <c r="AO232" s="13"/>
      <c r="AP232" s="13"/>
      <c r="AS232" s="13"/>
      <c r="AT232" s="13"/>
      <c r="AW232" s="13"/>
      <c r="AX232" s="13"/>
      <c r="BA232" s="13"/>
      <c r="BB232" s="13"/>
      <c r="BH232" s="16"/>
      <c r="CD232" s="16"/>
    </row>
    <row r="233" spans="12:82" x14ac:dyDescent="0.25">
      <c r="L233" s="14"/>
      <c r="P233" s="14"/>
      <c r="U233" s="13"/>
      <c r="V233" s="13"/>
      <c r="Y233" s="13"/>
      <c r="Z233" s="13"/>
      <c r="AC233" s="13"/>
      <c r="AD233" s="13"/>
      <c r="AG233" s="13"/>
      <c r="AH233" s="13"/>
      <c r="AK233" s="13"/>
      <c r="AL233" s="13"/>
      <c r="AO233" s="13"/>
      <c r="AP233" s="13"/>
      <c r="AS233" s="13"/>
      <c r="AT233" s="13"/>
      <c r="AW233" s="13"/>
      <c r="AX233" s="13"/>
      <c r="BA233" s="13"/>
      <c r="BB233" s="13"/>
      <c r="BH233" s="16"/>
      <c r="CD233" s="16"/>
    </row>
    <row r="234" spans="12:82" x14ac:dyDescent="0.25">
      <c r="L234" s="14"/>
      <c r="P234" s="14"/>
      <c r="U234" s="13"/>
      <c r="V234" s="13"/>
      <c r="Y234" s="13"/>
      <c r="Z234" s="13"/>
      <c r="AC234" s="13"/>
      <c r="AD234" s="13"/>
      <c r="AG234" s="13"/>
      <c r="AH234" s="13"/>
      <c r="AK234" s="13"/>
      <c r="AL234" s="13"/>
      <c r="AO234" s="13"/>
      <c r="AP234" s="13"/>
      <c r="AS234" s="13"/>
      <c r="AT234" s="13"/>
      <c r="AW234" s="13"/>
      <c r="AX234" s="13"/>
      <c r="BA234" s="13"/>
      <c r="BB234" s="13"/>
      <c r="BH234" s="16"/>
      <c r="CD234" s="16"/>
    </row>
    <row r="235" spans="12:82" x14ac:dyDescent="0.25">
      <c r="L235" s="14"/>
      <c r="P235" s="14"/>
      <c r="U235" s="13"/>
      <c r="V235" s="13"/>
      <c r="Y235" s="13"/>
      <c r="Z235" s="13"/>
      <c r="AC235" s="13"/>
      <c r="AD235" s="13"/>
      <c r="AG235" s="13"/>
      <c r="AH235" s="13"/>
      <c r="AK235" s="13"/>
      <c r="AL235" s="13"/>
      <c r="AO235" s="13"/>
      <c r="AP235" s="13"/>
      <c r="AS235" s="13"/>
      <c r="AT235" s="13"/>
      <c r="AW235" s="13"/>
      <c r="AX235" s="13"/>
      <c r="BA235" s="13"/>
      <c r="BB235" s="13"/>
      <c r="BH235" s="16"/>
      <c r="CD235" s="16"/>
    </row>
    <row r="236" spans="12:82" x14ac:dyDescent="0.25">
      <c r="L236" s="14"/>
      <c r="P236" s="14"/>
      <c r="U236" s="13"/>
      <c r="V236" s="13"/>
      <c r="Y236" s="13"/>
      <c r="Z236" s="13"/>
      <c r="AC236" s="13"/>
      <c r="AD236" s="13"/>
      <c r="AG236" s="13"/>
      <c r="AH236" s="13"/>
      <c r="AK236" s="13"/>
      <c r="AL236" s="13"/>
      <c r="AO236" s="13"/>
      <c r="AP236" s="13"/>
      <c r="AS236" s="13"/>
      <c r="AT236" s="13"/>
      <c r="AW236" s="13"/>
      <c r="AX236" s="13"/>
      <c r="BA236" s="13"/>
      <c r="BB236" s="13"/>
      <c r="BH236" s="16"/>
      <c r="CD236" s="16"/>
    </row>
    <row r="237" spans="12:82" x14ac:dyDescent="0.25">
      <c r="L237" s="14"/>
      <c r="P237" s="14"/>
      <c r="U237" s="13"/>
      <c r="V237" s="13"/>
      <c r="Y237" s="13"/>
      <c r="Z237" s="13"/>
      <c r="AC237" s="13"/>
      <c r="AD237" s="13"/>
      <c r="AG237" s="13"/>
      <c r="AH237" s="13"/>
      <c r="AK237" s="13"/>
      <c r="AL237" s="13"/>
      <c r="AO237" s="13"/>
      <c r="AP237" s="13"/>
      <c r="AS237" s="13"/>
      <c r="AT237" s="13"/>
      <c r="AW237" s="13"/>
      <c r="AX237" s="13"/>
      <c r="BA237" s="13"/>
      <c r="BB237" s="13"/>
      <c r="BH237" s="16"/>
      <c r="CD237" s="16"/>
    </row>
    <row r="238" spans="12:82" x14ac:dyDescent="0.25">
      <c r="L238" s="14"/>
      <c r="P238" s="14"/>
      <c r="U238" s="13"/>
      <c r="V238" s="13"/>
      <c r="Y238" s="13"/>
      <c r="Z238" s="13"/>
      <c r="AC238" s="13"/>
      <c r="AD238" s="13"/>
      <c r="AG238" s="13"/>
      <c r="AH238" s="13"/>
      <c r="AK238" s="13"/>
      <c r="AL238" s="13"/>
      <c r="AO238" s="13"/>
      <c r="AP238" s="13"/>
      <c r="AS238" s="13"/>
      <c r="AT238" s="13"/>
      <c r="AW238" s="13"/>
      <c r="AX238" s="13"/>
      <c r="BA238" s="13"/>
      <c r="BB238" s="13"/>
      <c r="BH238" s="16"/>
      <c r="CD238" s="16"/>
    </row>
    <row r="239" spans="12:82" x14ac:dyDescent="0.25">
      <c r="L239" s="14"/>
      <c r="P239" s="14"/>
      <c r="U239" s="13"/>
      <c r="V239" s="13"/>
      <c r="Y239" s="13"/>
      <c r="Z239" s="13"/>
      <c r="AC239" s="13"/>
      <c r="AD239" s="13"/>
      <c r="AG239" s="13"/>
      <c r="AH239" s="13"/>
      <c r="AK239" s="13"/>
      <c r="AL239" s="13"/>
      <c r="AO239" s="13"/>
      <c r="AP239" s="13"/>
      <c r="AS239" s="13"/>
      <c r="AT239" s="13"/>
      <c r="AW239" s="13"/>
      <c r="AX239" s="13"/>
      <c r="BA239" s="13"/>
      <c r="BB239" s="13"/>
      <c r="BH239" s="16"/>
      <c r="CD239" s="16"/>
    </row>
    <row r="240" spans="12:82" x14ac:dyDescent="0.25">
      <c r="L240" s="14"/>
      <c r="P240" s="14"/>
      <c r="U240" s="13"/>
      <c r="V240" s="13"/>
      <c r="Y240" s="13"/>
      <c r="Z240" s="13"/>
      <c r="AC240" s="13"/>
      <c r="AD240" s="13"/>
      <c r="AG240" s="13"/>
      <c r="AH240" s="13"/>
      <c r="AK240" s="13"/>
      <c r="AL240" s="13"/>
      <c r="AO240" s="13"/>
      <c r="AP240" s="13"/>
      <c r="AS240" s="13"/>
      <c r="AT240" s="13"/>
      <c r="AW240" s="13"/>
      <c r="AX240" s="13"/>
      <c r="BA240" s="13"/>
      <c r="BB240" s="13"/>
      <c r="BH240" s="16"/>
      <c r="CD240" s="16"/>
    </row>
    <row r="241" spans="12:82" x14ac:dyDescent="0.25">
      <c r="L241" s="14"/>
      <c r="P241" s="14"/>
      <c r="U241" s="13"/>
      <c r="V241" s="13"/>
      <c r="Y241" s="13"/>
      <c r="Z241" s="13"/>
      <c r="AC241" s="13"/>
      <c r="AD241" s="13"/>
      <c r="AG241" s="13"/>
      <c r="AH241" s="13"/>
      <c r="AK241" s="13"/>
      <c r="AL241" s="13"/>
      <c r="AO241" s="13"/>
      <c r="AP241" s="13"/>
      <c r="AS241" s="13"/>
      <c r="AT241" s="13"/>
      <c r="AW241" s="13"/>
      <c r="AX241" s="13"/>
      <c r="BA241" s="13"/>
      <c r="BB241" s="13"/>
      <c r="BH241" s="16"/>
      <c r="CD241" s="16"/>
    </row>
    <row r="242" spans="12:82" x14ac:dyDescent="0.25">
      <c r="L242" s="14"/>
      <c r="P242" s="14"/>
      <c r="U242" s="13"/>
      <c r="V242" s="13"/>
      <c r="Y242" s="13"/>
      <c r="Z242" s="13"/>
      <c r="AC242" s="13"/>
      <c r="AD242" s="13"/>
      <c r="AG242" s="13"/>
      <c r="AH242" s="13"/>
      <c r="AK242" s="13"/>
      <c r="AL242" s="13"/>
      <c r="AO242" s="13"/>
      <c r="AP242" s="13"/>
      <c r="AS242" s="13"/>
      <c r="AT242" s="13"/>
      <c r="AW242" s="13"/>
      <c r="AX242" s="13"/>
      <c r="BA242" s="13"/>
      <c r="BB242" s="13"/>
      <c r="BH242" s="16"/>
      <c r="CD242" s="16"/>
    </row>
    <row r="243" spans="12:82" x14ac:dyDescent="0.25">
      <c r="L243" s="14"/>
      <c r="P243" s="14"/>
      <c r="U243" s="13"/>
      <c r="V243" s="13"/>
      <c r="Y243" s="13"/>
      <c r="Z243" s="13"/>
      <c r="AC243" s="13"/>
      <c r="AD243" s="13"/>
      <c r="AG243" s="13"/>
      <c r="AH243" s="13"/>
      <c r="AK243" s="13"/>
      <c r="AL243" s="13"/>
      <c r="AO243" s="13"/>
      <c r="AP243" s="13"/>
      <c r="AS243" s="13"/>
      <c r="AT243" s="13"/>
      <c r="AW243" s="13"/>
      <c r="AX243" s="13"/>
      <c r="BA243" s="13"/>
      <c r="BB243" s="13"/>
      <c r="BH243" s="16"/>
      <c r="CD243" s="16"/>
    </row>
    <row r="244" spans="12:82" x14ac:dyDescent="0.25">
      <c r="L244" s="14"/>
      <c r="P244" s="14"/>
      <c r="U244" s="13"/>
      <c r="V244" s="13"/>
      <c r="Y244" s="13"/>
      <c r="Z244" s="13"/>
      <c r="AC244" s="13"/>
      <c r="AD244" s="13"/>
      <c r="AG244" s="13"/>
      <c r="AH244" s="13"/>
      <c r="AK244" s="13"/>
      <c r="AL244" s="13"/>
      <c r="AO244" s="13"/>
      <c r="AP244" s="13"/>
      <c r="AS244" s="13"/>
      <c r="AT244" s="13"/>
      <c r="AW244" s="13"/>
      <c r="AX244" s="13"/>
      <c r="BA244" s="13"/>
      <c r="BB244" s="13"/>
      <c r="BH244" s="16"/>
      <c r="CD244" s="16"/>
    </row>
    <row r="245" spans="12:82" x14ac:dyDescent="0.25">
      <c r="L245" s="14"/>
      <c r="P245" s="14"/>
      <c r="U245" s="13"/>
      <c r="V245" s="13"/>
      <c r="Y245" s="13"/>
      <c r="Z245" s="13"/>
      <c r="AC245" s="13"/>
      <c r="AD245" s="13"/>
      <c r="AG245" s="13"/>
      <c r="AH245" s="13"/>
      <c r="AK245" s="13"/>
      <c r="AL245" s="13"/>
      <c r="AO245" s="13"/>
      <c r="AP245" s="13"/>
      <c r="AS245" s="13"/>
      <c r="AT245" s="13"/>
      <c r="AW245" s="13"/>
      <c r="AX245" s="13"/>
      <c r="BA245" s="13"/>
      <c r="BB245" s="13"/>
      <c r="BH245" s="16"/>
      <c r="CD245" s="16"/>
    </row>
    <row r="246" spans="12:82" x14ac:dyDescent="0.25">
      <c r="L246" s="14"/>
      <c r="P246" s="14"/>
      <c r="U246" s="13"/>
      <c r="V246" s="13"/>
      <c r="Y246" s="13"/>
      <c r="Z246" s="13"/>
      <c r="AC246" s="13"/>
      <c r="AD246" s="13"/>
      <c r="AG246" s="13"/>
      <c r="AH246" s="13"/>
      <c r="AK246" s="13"/>
      <c r="AL246" s="13"/>
      <c r="AO246" s="13"/>
      <c r="AP246" s="13"/>
      <c r="AS246" s="13"/>
      <c r="AT246" s="13"/>
      <c r="AW246" s="13"/>
      <c r="AX246" s="13"/>
      <c r="BA246" s="13"/>
      <c r="BB246" s="13"/>
      <c r="BH246" s="16"/>
      <c r="CD246" s="16"/>
    </row>
    <row r="247" spans="12:82" x14ac:dyDescent="0.25">
      <c r="L247" s="14"/>
      <c r="P247" s="14"/>
      <c r="U247" s="13"/>
      <c r="V247" s="13"/>
      <c r="Y247" s="13"/>
      <c r="Z247" s="13"/>
      <c r="AC247" s="13"/>
      <c r="AD247" s="13"/>
      <c r="AG247" s="13"/>
      <c r="AH247" s="13"/>
      <c r="AK247" s="13"/>
      <c r="AL247" s="13"/>
      <c r="AO247" s="13"/>
      <c r="AP247" s="13"/>
      <c r="AS247" s="13"/>
      <c r="AT247" s="13"/>
      <c r="AW247" s="13"/>
      <c r="AX247" s="13"/>
      <c r="BA247" s="13"/>
      <c r="BB247" s="13"/>
      <c r="BH247" s="16"/>
      <c r="CD247" s="16"/>
    </row>
    <row r="248" spans="12:82" x14ac:dyDescent="0.25">
      <c r="L248" s="14"/>
      <c r="P248" s="14"/>
      <c r="U248" s="13"/>
      <c r="V248" s="13"/>
      <c r="Y248" s="13"/>
      <c r="Z248" s="13"/>
      <c r="AC248" s="13"/>
      <c r="AD248" s="13"/>
      <c r="AG248" s="13"/>
      <c r="AH248" s="13"/>
      <c r="AK248" s="13"/>
      <c r="AL248" s="13"/>
      <c r="AO248" s="13"/>
      <c r="AP248" s="13"/>
      <c r="AS248" s="13"/>
      <c r="AT248" s="13"/>
      <c r="AW248" s="13"/>
      <c r="AX248" s="13"/>
      <c r="BA248" s="13"/>
      <c r="BB248" s="13"/>
      <c r="BH248" s="16"/>
      <c r="CD248" s="16"/>
    </row>
    <row r="249" spans="12:82" x14ac:dyDescent="0.25">
      <c r="L249" s="14"/>
      <c r="P249" s="14"/>
      <c r="U249" s="13"/>
      <c r="V249" s="13"/>
      <c r="Y249" s="13"/>
      <c r="Z249" s="13"/>
      <c r="AC249" s="13"/>
      <c r="AD249" s="13"/>
      <c r="AG249" s="13"/>
      <c r="AH249" s="13"/>
      <c r="AK249" s="13"/>
      <c r="AL249" s="13"/>
      <c r="AO249" s="13"/>
      <c r="AP249" s="13"/>
      <c r="AS249" s="13"/>
      <c r="AT249" s="13"/>
      <c r="AW249" s="13"/>
      <c r="AX249" s="13"/>
      <c r="BA249" s="13"/>
      <c r="BB249" s="13"/>
      <c r="BH249" s="16"/>
      <c r="CD249" s="16"/>
    </row>
    <row r="250" spans="12:82" x14ac:dyDescent="0.25">
      <c r="L250" s="14"/>
      <c r="P250" s="14"/>
      <c r="U250" s="13"/>
      <c r="V250" s="13"/>
      <c r="Y250" s="13"/>
      <c r="Z250" s="13"/>
      <c r="AC250" s="13"/>
      <c r="AD250" s="13"/>
      <c r="AG250" s="13"/>
      <c r="AH250" s="13"/>
      <c r="AK250" s="13"/>
      <c r="AL250" s="13"/>
      <c r="AO250" s="13"/>
      <c r="AP250" s="13"/>
      <c r="AS250" s="13"/>
      <c r="AT250" s="13"/>
      <c r="AW250" s="13"/>
      <c r="AX250" s="13"/>
      <c r="BA250" s="13"/>
      <c r="BB250" s="13"/>
      <c r="BH250" s="16"/>
      <c r="CD250" s="16"/>
    </row>
    <row r="251" spans="12:82" x14ac:dyDescent="0.25">
      <c r="L251" s="14"/>
      <c r="P251" s="14"/>
      <c r="U251" s="13"/>
      <c r="V251" s="13"/>
      <c r="Y251" s="13"/>
      <c r="Z251" s="13"/>
      <c r="AC251" s="13"/>
      <c r="AD251" s="13"/>
      <c r="AG251" s="13"/>
      <c r="AH251" s="13"/>
      <c r="AK251" s="13"/>
      <c r="AL251" s="13"/>
      <c r="AO251" s="13"/>
      <c r="AP251" s="13"/>
      <c r="AS251" s="13"/>
      <c r="AT251" s="13"/>
      <c r="AW251" s="13"/>
      <c r="AX251" s="13"/>
      <c r="BA251" s="13"/>
      <c r="BB251" s="13"/>
      <c r="BH251" s="16"/>
      <c r="CD251" s="16"/>
    </row>
    <row r="252" spans="12:82" x14ac:dyDescent="0.25">
      <c r="L252" s="14"/>
      <c r="P252" s="14"/>
      <c r="U252" s="13"/>
      <c r="V252" s="13"/>
      <c r="Y252" s="13"/>
      <c r="Z252" s="13"/>
      <c r="AC252" s="13"/>
      <c r="AD252" s="13"/>
      <c r="AG252" s="13"/>
      <c r="AH252" s="13"/>
      <c r="AK252" s="13"/>
      <c r="AL252" s="13"/>
      <c r="AO252" s="13"/>
      <c r="AP252" s="13"/>
      <c r="AS252" s="13"/>
      <c r="AT252" s="13"/>
      <c r="AW252" s="13"/>
      <c r="AX252" s="13"/>
      <c r="BA252" s="13"/>
      <c r="BB252" s="13"/>
      <c r="BH252" s="16"/>
      <c r="CD252" s="16"/>
    </row>
    <row r="253" spans="12:82" x14ac:dyDescent="0.25">
      <c r="L253" s="14"/>
      <c r="P253" s="14"/>
      <c r="U253" s="13"/>
      <c r="V253" s="13"/>
      <c r="Y253" s="13"/>
      <c r="Z253" s="13"/>
      <c r="AC253" s="13"/>
      <c r="AD253" s="13"/>
      <c r="AG253" s="13"/>
      <c r="AH253" s="13"/>
      <c r="AK253" s="13"/>
      <c r="AL253" s="13"/>
      <c r="AO253" s="13"/>
      <c r="AP253" s="13"/>
      <c r="AS253" s="13"/>
      <c r="AT253" s="13"/>
      <c r="AW253" s="13"/>
      <c r="AX253" s="13"/>
      <c r="BA253" s="13"/>
      <c r="BB253" s="13"/>
      <c r="BH253" s="16"/>
      <c r="CD253" s="16"/>
    </row>
    <row r="254" spans="12:82" x14ac:dyDescent="0.25">
      <c r="L254" s="14"/>
      <c r="P254" s="14"/>
      <c r="U254" s="13"/>
      <c r="V254" s="13"/>
      <c r="Y254" s="13"/>
      <c r="Z254" s="13"/>
      <c r="AC254" s="13"/>
      <c r="AD254" s="13"/>
      <c r="AG254" s="13"/>
      <c r="AH254" s="13"/>
      <c r="AK254" s="13"/>
      <c r="AL254" s="13"/>
      <c r="AO254" s="13"/>
      <c r="AP254" s="13"/>
      <c r="AS254" s="13"/>
      <c r="AT254" s="13"/>
      <c r="AW254" s="13"/>
      <c r="AX254" s="13"/>
      <c r="BA254" s="13"/>
      <c r="BB254" s="13"/>
      <c r="BH254" s="16"/>
      <c r="CD254" s="16"/>
    </row>
    <row r="255" spans="12:82" x14ac:dyDescent="0.25">
      <c r="L255" s="14"/>
      <c r="P255" s="14"/>
      <c r="U255" s="13"/>
      <c r="V255" s="13"/>
      <c r="Y255" s="13"/>
      <c r="Z255" s="13"/>
      <c r="AC255" s="13"/>
      <c r="AD255" s="13"/>
      <c r="AG255" s="13"/>
      <c r="AH255" s="13"/>
      <c r="AK255" s="13"/>
      <c r="AL255" s="13"/>
      <c r="AO255" s="13"/>
      <c r="AP255" s="13"/>
      <c r="AS255" s="13"/>
      <c r="AT255" s="13"/>
      <c r="AW255" s="13"/>
      <c r="AX255" s="13"/>
      <c r="BA255" s="13"/>
      <c r="BB255" s="13"/>
      <c r="BH255" s="16"/>
      <c r="CD255" s="16"/>
    </row>
    <row r="256" spans="12:82" x14ac:dyDescent="0.25">
      <c r="L256" s="14"/>
      <c r="P256" s="14"/>
      <c r="U256" s="13"/>
      <c r="V256" s="13"/>
      <c r="Y256" s="13"/>
      <c r="Z256" s="13"/>
      <c r="AC256" s="13"/>
      <c r="AD256" s="13"/>
      <c r="AG256" s="13"/>
      <c r="AH256" s="13"/>
      <c r="AK256" s="13"/>
      <c r="AL256" s="13"/>
      <c r="AO256" s="13"/>
      <c r="AP256" s="13"/>
      <c r="AS256" s="13"/>
      <c r="AT256" s="13"/>
      <c r="AW256" s="13"/>
      <c r="AX256" s="13"/>
      <c r="BA256" s="13"/>
      <c r="BB256" s="13"/>
      <c r="BH256" s="16"/>
      <c r="CD256" s="16"/>
    </row>
    <row r="257" spans="12:82" x14ac:dyDescent="0.25">
      <c r="L257" s="14"/>
      <c r="P257" s="14"/>
      <c r="U257" s="13"/>
      <c r="V257" s="13"/>
      <c r="Y257" s="13"/>
      <c r="Z257" s="13"/>
      <c r="AC257" s="13"/>
      <c r="AD257" s="13"/>
      <c r="AG257" s="13"/>
      <c r="AH257" s="13"/>
      <c r="AK257" s="13"/>
      <c r="AL257" s="13"/>
      <c r="AO257" s="13"/>
      <c r="AP257" s="13"/>
      <c r="AS257" s="13"/>
      <c r="AT257" s="13"/>
      <c r="AW257" s="13"/>
      <c r="AX257" s="13"/>
      <c r="BA257" s="13"/>
      <c r="BB257" s="13"/>
      <c r="BH257" s="16"/>
      <c r="CD257" s="16"/>
    </row>
    <row r="258" spans="12:82" x14ac:dyDescent="0.25">
      <c r="L258" s="14"/>
      <c r="P258" s="14"/>
      <c r="U258" s="13"/>
      <c r="V258" s="13"/>
      <c r="Y258" s="13"/>
      <c r="Z258" s="13"/>
      <c r="AC258" s="13"/>
      <c r="AD258" s="13"/>
      <c r="AG258" s="13"/>
      <c r="AH258" s="13"/>
      <c r="AK258" s="13"/>
      <c r="AL258" s="13"/>
      <c r="AO258" s="13"/>
      <c r="AP258" s="13"/>
      <c r="AS258" s="13"/>
      <c r="AT258" s="13"/>
      <c r="AW258" s="13"/>
      <c r="AX258" s="13"/>
      <c r="BA258" s="13"/>
      <c r="BB258" s="13"/>
      <c r="BH258" s="16"/>
      <c r="CD258" s="16"/>
    </row>
    <row r="259" spans="12:82" x14ac:dyDescent="0.25">
      <c r="L259" s="14"/>
      <c r="P259" s="14"/>
      <c r="U259" s="13"/>
      <c r="V259" s="13"/>
      <c r="Y259" s="13"/>
      <c r="Z259" s="13"/>
      <c r="AC259" s="13"/>
      <c r="AD259" s="13"/>
      <c r="AG259" s="13"/>
      <c r="AH259" s="13"/>
      <c r="AK259" s="13"/>
      <c r="AL259" s="13"/>
      <c r="AO259" s="13"/>
      <c r="AP259" s="13"/>
      <c r="AS259" s="13"/>
      <c r="AT259" s="13"/>
      <c r="AW259" s="13"/>
      <c r="AX259" s="13"/>
      <c r="BA259" s="13"/>
      <c r="BB259" s="13"/>
      <c r="BH259" s="16"/>
      <c r="CD259" s="16"/>
    </row>
    <row r="260" spans="12:82" x14ac:dyDescent="0.25">
      <c r="L260" s="14"/>
      <c r="P260" s="14"/>
      <c r="U260" s="13"/>
      <c r="V260" s="13"/>
      <c r="Y260" s="13"/>
      <c r="Z260" s="13"/>
      <c r="AC260" s="13"/>
      <c r="AD260" s="13"/>
      <c r="AG260" s="13"/>
      <c r="AH260" s="13"/>
      <c r="AK260" s="13"/>
      <c r="AL260" s="13"/>
      <c r="AO260" s="13"/>
      <c r="AP260" s="13"/>
      <c r="AS260" s="13"/>
      <c r="AT260" s="13"/>
      <c r="AW260" s="13"/>
      <c r="AX260" s="13"/>
      <c r="BA260" s="13"/>
      <c r="BB260" s="13"/>
      <c r="BH260" s="16"/>
      <c r="CD260" s="16"/>
    </row>
    <row r="261" spans="12:82" x14ac:dyDescent="0.25">
      <c r="L261" s="14"/>
      <c r="P261" s="14"/>
      <c r="U261" s="13"/>
      <c r="V261" s="13"/>
      <c r="Y261" s="13"/>
      <c r="Z261" s="13"/>
      <c r="AC261" s="13"/>
      <c r="AD261" s="13"/>
      <c r="AG261" s="13"/>
      <c r="AH261" s="13"/>
      <c r="AK261" s="13"/>
      <c r="AL261" s="13"/>
      <c r="AO261" s="13"/>
      <c r="AP261" s="13"/>
      <c r="AS261" s="13"/>
      <c r="AT261" s="13"/>
      <c r="AW261" s="13"/>
      <c r="AX261" s="13"/>
      <c r="BA261" s="13"/>
      <c r="BB261" s="13"/>
      <c r="BH261" s="16"/>
      <c r="CD261" s="16"/>
    </row>
    <row r="262" spans="12:82" x14ac:dyDescent="0.25">
      <c r="L262" s="14"/>
      <c r="P262" s="14"/>
      <c r="U262" s="13"/>
      <c r="V262" s="13"/>
      <c r="Y262" s="13"/>
      <c r="Z262" s="13"/>
      <c r="AC262" s="13"/>
      <c r="AD262" s="13"/>
      <c r="AG262" s="13"/>
      <c r="AH262" s="13"/>
      <c r="AK262" s="13"/>
      <c r="AL262" s="13"/>
      <c r="AO262" s="13"/>
      <c r="AP262" s="13"/>
      <c r="AS262" s="13"/>
      <c r="AT262" s="13"/>
      <c r="AW262" s="13"/>
      <c r="AX262" s="13"/>
      <c r="BA262" s="13"/>
      <c r="BB262" s="13"/>
      <c r="BH262" s="16"/>
      <c r="CD262" s="16"/>
    </row>
    <row r="263" spans="12:82" x14ac:dyDescent="0.25">
      <c r="L263" s="14"/>
      <c r="P263" s="14"/>
      <c r="U263" s="13"/>
      <c r="V263" s="13"/>
      <c r="Y263" s="13"/>
      <c r="Z263" s="13"/>
      <c r="AC263" s="13"/>
      <c r="AD263" s="13"/>
      <c r="AG263" s="13"/>
      <c r="AH263" s="13"/>
      <c r="AK263" s="13"/>
      <c r="AL263" s="13"/>
      <c r="AO263" s="13"/>
      <c r="AP263" s="13"/>
      <c r="AS263" s="13"/>
      <c r="AT263" s="13"/>
      <c r="AW263" s="13"/>
      <c r="AX263" s="13"/>
      <c r="BA263" s="13"/>
      <c r="BB263" s="13"/>
      <c r="BH263" s="16"/>
      <c r="CD263" s="16"/>
    </row>
    <row r="264" spans="12:82" x14ac:dyDescent="0.25">
      <c r="L264" s="14"/>
      <c r="P264" s="14"/>
      <c r="U264" s="13"/>
      <c r="V264" s="13"/>
      <c r="Y264" s="13"/>
      <c r="Z264" s="13"/>
      <c r="AC264" s="13"/>
      <c r="AD264" s="13"/>
      <c r="AG264" s="13"/>
      <c r="AH264" s="13"/>
      <c r="AK264" s="13"/>
      <c r="AL264" s="13"/>
      <c r="AO264" s="13"/>
      <c r="AP264" s="13"/>
      <c r="AS264" s="13"/>
      <c r="AT264" s="13"/>
      <c r="AW264" s="13"/>
      <c r="AX264" s="13"/>
      <c r="BA264" s="13"/>
      <c r="BB264" s="13"/>
      <c r="BH264" s="16"/>
      <c r="CD264" s="16"/>
    </row>
    <row r="265" spans="12:82" x14ac:dyDescent="0.25">
      <c r="L265" s="14"/>
      <c r="P265" s="14"/>
      <c r="U265" s="13"/>
      <c r="V265" s="13"/>
      <c r="Y265" s="13"/>
      <c r="Z265" s="13"/>
      <c r="AC265" s="13"/>
      <c r="AD265" s="13"/>
      <c r="AG265" s="13"/>
      <c r="AH265" s="13"/>
      <c r="AK265" s="13"/>
      <c r="AL265" s="13"/>
      <c r="AO265" s="13"/>
      <c r="AP265" s="13"/>
      <c r="AS265" s="13"/>
      <c r="AT265" s="13"/>
      <c r="AW265" s="13"/>
      <c r="AX265" s="13"/>
      <c r="BA265" s="13"/>
      <c r="BB265" s="13"/>
      <c r="BH265" s="16"/>
      <c r="CD265" s="16"/>
    </row>
    <row r="266" spans="12:82" x14ac:dyDescent="0.25">
      <c r="L266" s="14"/>
      <c r="P266" s="14"/>
      <c r="U266" s="13"/>
      <c r="V266" s="13"/>
      <c r="Y266" s="13"/>
      <c r="Z266" s="13"/>
      <c r="AC266" s="13"/>
      <c r="AD266" s="13"/>
      <c r="AG266" s="13"/>
      <c r="AH266" s="13"/>
      <c r="AK266" s="13"/>
      <c r="AL266" s="13"/>
      <c r="AO266" s="13"/>
      <c r="AP266" s="13"/>
      <c r="AS266" s="13"/>
      <c r="AT266" s="13"/>
      <c r="AW266" s="13"/>
      <c r="AX266" s="13"/>
      <c r="BA266" s="13"/>
      <c r="BB266" s="13"/>
      <c r="BH266" s="16"/>
      <c r="CD266" s="16"/>
    </row>
    <row r="267" spans="12:82" x14ac:dyDescent="0.25">
      <c r="L267" s="14"/>
      <c r="P267" s="14"/>
      <c r="U267" s="13"/>
      <c r="V267" s="13"/>
      <c r="Y267" s="13"/>
      <c r="Z267" s="13"/>
      <c r="AC267" s="13"/>
      <c r="AD267" s="13"/>
      <c r="AG267" s="13"/>
      <c r="AH267" s="13"/>
      <c r="AK267" s="13"/>
      <c r="AL267" s="13"/>
      <c r="AO267" s="13"/>
      <c r="AP267" s="13"/>
      <c r="AS267" s="13"/>
      <c r="AT267" s="13"/>
      <c r="AW267" s="13"/>
      <c r="AX267" s="13"/>
      <c r="BA267" s="13"/>
      <c r="BB267" s="13"/>
      <c r="BH267" s="16"/>
      <c r="CD267" s="16"/>
    </row>
    <row r="268" spans="12:82" x14ac:dyDescent="0.25">
      <c r="L268" s="14"/>
      <c r="P268" s="14"/>
      <c r="U268" s="13"/>
      <c r="V268" s="13"/>
      <c r="Y268" s="13"/>
      <c r="Z268" s="13"/>
      <c r="AC268" s="13"/>
      <c r="AD268" s="13"/>
      <c r="AG268" s="13"/>
      <c r="AH268" s="13"/>
      <c r="AK268" s="13"/>
      <c r="AL268" s="13"/>
      <c r="AO268" s="13"/>
      <c r="AP268" s="13"/>
      <c r="AS268" s="13"/>
      <c r="AT268" s="13"/>
      <c r="AW268" s="13"/>
      <c r="AX268" s="13"/>
      <c r="BA268" s="13"/>
      <c r="BB268" s="13"/>
      <c r="BH268" s="16"/>
      <c r="CD268" s="16"/>
    </row>
    <row r="269" spans="12:82" x14ac:dyDescent="0.25">
      <c r="L269" s="14"/>
      <c r="P269" s="14"/>
      <c r="U269" s="13"/>
      <c r="V269" s="13"/>
      <c r="Y269" s="13"/>
      <c r="Z269" s="13"/>
      <c r="AC269" s="13"/>
      <c r="AD269" s="13"/>
      <c r="AG269" s="13"/>
      <c r="AH269" s="13"/>
      <c r="AK269" s="13"/>
      <c r="AL269" s="13"/>
      <c r="AO269" s="13"/>
      <c r="AP269" s="13"/>
      <c r="AS269" s="13"/>
      <c r="AT269" s="13"/>
      <c r="AW269" s="13"/>
      <c r="AX269" s="13"/>
      <c r="BA269" s="13"/>
      <c r="BB269" s="13"/>
      <c r="BH269" s="16"/>
      <c r="CD269" s="16"/>
    </row>
    <row r="270" spans="12:82" x14ac:dyDescent="0.25">
      <c r="L270" s="14"/>
      <c r="P270" s="14"/>
      <c r="U270" s="13"/>
      <c r="V270" s="13"/>
      <c r="Y270" s="13"/>
      <c r="Z270" s="13"/>
      <c r="AC270" s="13"/>
      <c r="AD270" s="13"/>
      <c r="AG270" s="13"/>
      <c r="AH270" s="13"/>
      <c r="AK270" s="13"/>
      <c r="AL270" s="13"/>
      <c r="AO270" s="13"/>
      <c r="AP270" s="13"/>
      <c r="AS270" s="13"/>
      <c r="AT270" s="13"/>
      <c r="AW270" s="13"/>
      <c r="AX270" s="13"/>
      <c r="BA270" s="13"/>
      <c r="BB270" s="13"/>
      <c r="BH270" s="16"/>
      <c r="CD270" s="16"/>
    </row>
    <row r="271" spans="12:82" x14ac:dyDescent="0.25">
      <c r="L271" s="14"/>
      <c r="P271" s="14"/>
      <c r="U271" s="13"/>
      <c r="V271" s="13"/>
      <c r="Y271" s="13"/>
      <c r="Z271" s="13"/>
      <c r="AC271" s="13"/>
      <c r="AD271" s="13"/>
      <c r="AG271" s="13"/>
      <c r="AH271" s="13"/>
      <c r="AK271" s="13"/>
      <c r="AL271" s="13"/>
      <c r="AO271" s="13"/>
      <c r="AP271" s="13"/>
      <c r="AS271" s="13"/>
      <c r="AT271" s="13"/>
      <c r="AW271" s="13"/>
      <c r="AX271" s="13"/>
      <c r="BA271" s="13"/>
      <c r="BB271" s="13"/>
      <c r="BH271" s="16"/>
      <c r="CD271" s="16"/>
    </row>
    <row r="272" spans="12:82" x14ac:dyDescent="0.25">
      <c r="L272" s="14"/>
      <c r="P272" s="14"/>
      <c r="U272" s="13"/>
      <c r="V272" s="13"/>
      <c r="Y272" s="13"/>
      <c r="Z272" s="13"/>
      <c r="AC272" s="13"/>
      <c r="AD272" s="13"/>
      <c r="AG272" s="13"/>
      <c r="AH272" s="13"/>
      <c r="AK272" s="13"/>
      <c r="AL272" s="13"/>
      <c r="AO272" s="13"/>
      <c r="AP272" s="13"/>
      <c r="AS272" s="13"/>
      <c r="AT272" s="13"/>
      <c r="AW272" s="13"/>
      <c r="AX272" s="13"/>
      <c r="BA272" s="13"/>
      <c r="BB272" s="13"/>
      <c r="BH272" s="16"/>
      <c r="CD272" s="16"/>
    </row>
    <row r="273" spans="12:82" x14ac:dyDescent="0.25">
      <c r="L273" s="14"/>
      <c r="P273" s="14"/>
      <c r="U273" s="13"/>
      <c r="V273" s="13"/>
      <c r="Y273" s="13"/>
      <c r="Z273" s="13"/>
      <c r="AC273" s="13"/>
      <c r="AD273" s="13"/>
      <c r="AG273" s="13"/>
      <c r="AH273" s="13"/>
      <c r="AK273" s="13"/>
      <c r="AL273" s="13"/>
      <c r="AO273" s="13"/>
      <c r="AP273" s="13"/>
      <c r="AS273" s="13"/>
      <c r="AT273" s="13"/>
      <c r="AW273" s="13"/>
      <c r="AX273" s="13"/>
      <c r="BA273" s="13"/>
      <c r="BB273" s="13"/>
      <c r="BH273" s="16"/>
      <c r="CD273" s="16"/>
    </row>
    <row r="274" spans="12:82" x14ac:dyDescent="0.25">
      <c r="L274" s="14"/>
      <c r="P274" s="14"/>
      <c r="U274" s="13"/>
      <c r="V274" s="13"/>
      <c r="Y274" s="13"/>
      <c r="Z274" s="13"/>
      <c r="AC274" s="13"/>
      <c r="AD274" s="13"/>
      <c r="AG274" s="13"/>
      <c r="AH274" s="13"/>
      <c r="AK274" s="13"/>
      <c r="AL274" s="13"/>
      <c r="AO274" s="13"/>
      <c r="AP274" s="13"/>
      <c r="AS274" s="13"/>
      <c r="AT274" s="13"/>
      <c r="AW274" s="13"/>
      <c r="AX274" s="13"/>
      <c r="BA274" s="13"/>
      <c r="BB274" s="13"/>
      <c r="BH274" s="16"/>
      <c r="CD274" s="16"/>
    </row>
    <row r="275" spans="12:82" x14ac:dyDescent="0.25">
      <c r="L275" s="14"/>
      <c r="P275" s="14"/>
      <c r="U275" s="13"/>
      <c r="V275" s="13"/>
      <c r="Y275" s="13"/>
      <c r="Z275" s="13"/>
      <c r="AC275" s="13"/>
      <c r="AD275" s="13"/>
      <c r="AG275" s="13"/>
      <c r="AH275" s="13"/>
      <c r="AK275" s="13"/>
      <c r="AL275" s="13"/>
      <c r="AO275" s="13"/>
      <c r="AP275" s="13"/>
      <c r="AS275" s="13"/>
      <c r="AT275" s="13"/>
      <c r="AW275" s="13"/>
      <c r="AX275" s="13"/>
      <c r="BA275" s="13"/>
      <c r="BB275" s="13"/>
      <c r="BH275" s="16"/>
      <c r="CD275" s="16"/>
    </row>
    <row r="276" spans="12:82" x14ac:dyDescent="0.25">
      <c r="L276" s="14"/>
      <c r="P276" s="14"/>
      <c r="U276" s="13"/>
      <c r="V276" s="13"/>
      <c r="Y276" s="13"/>
      <c r="Z276" s="13"/>
      <c r="AC276" s="13"/>
      <c r="AD276" s="13"/>
      <c r="AG276" s="13"/>
      <c r="AH276" s="13"/>
      <c r="AK276" s="13"/>
      <c r="AL276" s="13"/>
      <c r="AO276" s="13"/>
      <c r="AP276" s="13"/>
      <c r="AS276" s="13"/>
      <c r="AT276" s="13"/>
      <c r="AW276" s="13"/>
      <c r="AX276" s="13"/>
      <c r="BA276" s="13"/>
      <c r="BB276" s="13"/>
      <c r="BH276" s="16"/>
      <c r="CD276" s="16"/>
    </row>
    <row r="277" spans="12:82" x14ac:dyDescent="0.25">
      <c r="L277" s="14"/>
      <c r="P277" s="14"/>
      <c r="U277" s="13"/>
      <c r="V277" s="13"/>
      <c r="Y277" s="13"/>
      <c r="Z277" s="13"/>
      <c r="AC277" s="13"/>
      <c r="AD277" s="13"/>
      <c r="AG277" s="13"/>
      <c r="AH277" s="13"/>
      <c r="AK277" s="13"/>
      <c r="AL277" s="13"/>
      <c r="AO277" s="13"/>
      <c r="AP277" s="13"/>
      <c r="AS277" s="13"/>
      <c r="AT277" s="13"/>
      <c r="AW277" s="13"/>
      <c r="AX277" s="13"/>
      <c r="BA277" s="13"/>
      <c r="BB277" s="13"/>
      <c r="BH277" s="16"/>
      <c r="CD277" s="16"/>
    </row>
    <row r="278" spans="12:82" x14ac:dyDescent="0.25">
      <c r="L278" s="14"/>
      <c r="P278" s="14"/>
      <c r="U278" s="13"/>
      <c r="V278" s="13"/>
      <c r="Y278" s="13"/>
      <c r="Z278" s="13"/>
      <c r="AC278" s="13"/>
      <c r="AD278" s="13"/>
      <c r="AG278" s="13"/>
      <c r="AH278" s="13"/>
      <c r="AK278" s="13"/>
      <c r="AL278" s="13"/>
      <c r="AO278" s="13"/>
      <c r="AP278" s="13"/>
      <c r="AS278" s="13"/>
      <c r="AT278" s="13"/>
      <c r="AW278" s="13"/>
      <c r="AX278" s="13"/>
      <c r="BA278" s="13"/>
      <c r="BB278" s="13"/>
      <c r="BH278" s="16"/>
      <c r="CD278" s="16"/>
    </row>
    <row r="279" spans="12:82" x14ac:dyDescent="0.25">
      <c r="L279" s="14"/>
      <c r="P279" s="14"/>
      <c r="U279" s="13"/>
      <c r="V279" s="13"/>
      <c r="Y279" s="13"/>
      <c r="Z279" s="13"/>
      <c r="AC279" s="13"/>
      <c r="AD279" s="13"/>
      <c r="AG279" s="13"/>
      <c r="AH279" s="13"/>
      <c r="AK279" s="13"/>
      <c r="AL279" s="13"/>
      <c r="AO279" s="13"/>
      <c r="AP279" s="13"/>
      <c r="AS279" s="13"/>
      <c r="AT279" s="13"/>
      <c r="AW279" s="13"/>
      <c r="AX279" s="13"/>
      <c r="BA279" s="13"/>
      <c r="BB279" s="13"/>
      <c r="BH279" s="16"/>
      <c r="CD279" s="16"/>
    </row>
    <row r="280" spans="12:82" x14ac:dyDescent="0.25">
      <c r="L280" s="14"/>
      <c r="P280" s="14"/>
      <c r="U280" s="13"/>
      <c r="V280" s="13"/>
      <c r="Y280" s="13"/>
      <c r="Z280" s="13"/>
      <c r="AC280" s="13"/>
      <c r="AD280" s="13"/>
      <c r="AG280" s="13"/>
      <c r="AH280" s="13"/>
      <c r="AK280" s="13"/>
      <c r="AL280" s="13"/>
      <c r="AO280" s="13"/>
      <c r="AP280" s="13"/>
      <c r="AS280" s="13"/>
      <c r="AT280" s="13"/>
      <c r="AW280" s="13"/>
      <c r="AX280" s="13"/>
      <c r="BA280" s="13"/>
      <c r="BB280" s="13"/>
      <c r="BH280" s="16"/>
      <c r="CD280" s="16"/>
    </row>
    <row r="281" spans="12:82" x14ac:dyDescent="0.25">
      <c r="L281" s="14"/>
      <c r="P281" s="14"/>
      <c r="U281" s="13"/>
      <c r="V281" s="13"/>
      <c r="Y281" s="13"/>
      <c r="Z281" s="13"/>
      <c r="AC281" s="13"/>
      <c r="AD281" s="13"/>
      <c r="AG281" s="13"/>
      <c r="AH281" s="13"/>
      <c r="AK281" s="13"/>
      <c r="AL281" s="13"/>
      <c r="AO281" s="13"/>
      <c r="AP281" s="13"/>
      <c r="AS281" s="13"/>
      <c r="AT281" s="13"/>
      <c r="AW281" s="13"/>
      <c r="AX281" s="13"/>
      <c r="BA281" s="13"/>
      <c r="BB281" s="13"/>
      <c r="BH281" s="16"/>
      <c r="CD281" s="16"/>
    </row>
    <row r="282" spans="12:82" x14ac:dyDescent="0.25">
      <c r="L282" s="14"/>
      <c r="P282" s="14"/>
      <c r="U282" s="13"/>
      <c r="V282" s="13"/>
      <c r="Y282" s="13"/>
      <c r="Z282" s="13"/>
      <c r="AC282" s="13"/>
      <c r="AD282" s="13"/>
      <c r="AG282" s="13"/>
      <c r="AH282" s="13"/>
      <c r="AK282" s="13"/>
      <c r="AL282" s="13"/>
      <c r="AO282" s="13"/>
      <c r="AP282" s="13"/>
      <c r="AS282" s="13"/>
      <c r="AT282" s="13"/>
      <c r="AW282" s="13"/>
      <c r="AX282" s="13"/>
      <c r="BA282" s="13"/>
      <c r="BB282" s="13"/>
      <c r="BH282" s="16"/>
      <c r="CD282" s="16"/>
    </row>
    <row r="283" spans="12:82" x14ac:dyDescent="0.25">
      <c r="L283" s="14"/>
      <c r="P283" s="14"/>
      <c r="U283" s="13"/>
      <c r="V283" s="13"/>
      <c r="Y283" s="13"/>
      <c r="Z283" s="13"/>
      <c r="AC283" s="13"/>
      <c r="AD283" s="13"/>
      <c r="AG283" s="13"/>
      <c r="AH283" s="13"/>
      <c r="AK283" s="13"/>
      <c r="AL283" s="13"/>
      <c r="AO283" s="13"/>
      <c r="AP283" s="13"/>
      <c r="AS283" s="13"/>
      <c r="AT283" s="13"/>
      <c r="AW283" s="13"/>
      <c r="AX283" s="13"/>
      <c r="BA283" s="13"/>
      <c r="BB283" s="13"/>
      <c r="BH283" s="16"/>
      <c r="CD283" s="16"/>
    </row>
    <row r="284" spans="12:82" x14ac:dyDescent="0.25">
      <c r="L284" s="14"/>
      <c r="P284" s="14"/>
      <c r="U284" s="13"/>
      <c r="V284" s="13"/>
      <c r="Y284" s="13"/>
      <c r="Z284" s="13"/>
      <c r="AC284" s="13"/>
      <c r="AD284" s="13"/>
      <c r="AG284" s="13"/>
      <c r="AH284" s="13"/>
      <c r="AK284" s="13"/>
      <c r="AL284" s="13"/>
      <c r="AO284" s="13"/>
      <c r="AP284" s="13"/>
      <c r="AS284" s="13"/>
      <c r="AT284" s="13"/>
      <c r="AW284" s="13"/>
      <c r="AX284" s="13"/>
      <c r="BA284" s="13"/>
      <c r="BB284" s="13"/>
      <c r="BH284" s="16"/>
      <c r="CD284" s="16"/>
    </row>
    <row r="285" spans="12:82" x14ac:dyDescent="0.25">
      <c r="L285" s="14"/>
      <c r="P285" s="14"/>
      <c r="U285" s="13"/>
      <c r="V285" s="13"/>
      <c r="Y285" s="13"/>
      <c r="Z285" s="13"/>
      <c r="AC285" s="13"/>
      <c r="AD285" s="13"/>
      <c r="AG285" s="13"/>
      <c r="AH285" s="13"/>
      <c r="AK285" s="13"/>
      <c r="AL285" s="13"/>
      <c r="AO285" s="13"/>
      <c r="AP285" s="13"/>
      <c r="AS285" s="13"/>
      <c r="AT285" s="13"/>
      <c r="AW285" s="13"/>
      <c r="AX285" s="13"/>
      <c r="BA285" s="13"/>
      <c r="BB285" s="13"/>
      <c r="BH285" s="16"/>
      <c r="CD285" s="16"/>
    </row>
    <row r="286" spans="12:82" x14ac:dyDescent="0.25">
      <c r="L286" s="14"/>
      <c r="P286" s="14"/>
      <c r="U286" s="13"/>
      <c r="V286" s="13"/>
      <c r="Y286" s="13"/>
      <c r="Z286" s="13"/>
      <c r="AC286" s="13"/>
      <c r="AD286" s="13"/>
      <c r="AG286" s="13"/>
      <c r="AH286" s="13"/>
      <c r="AK286" s="13"/>
      <c r="AL286" s="13"/>
      <c r="AO286" s="13"/>
      <c r="AP286" s="13"/>
      <c r="AS286" s="13"/>
      <c r="AT286" s="13"/>
      <c r="AW286" s="13"/>
      <c r="AX286" s="13"/>
      <c r="BA286" s="13"/>
      <c r="BB286" s="13"/>
      <c r="BH286" s="16"/>
      <c r="CD286" s="16"/>
    </row>
    <row r="287" spans="12:82" x14ac:dyDescent="0.25">
      <c r="L287" s="14"/>
      <c r="P287" s="14"/>
      <c r="U287" s="13"/>
      <c r="V287" s="13"/>
      <c r="Y287" s="13"/>
      <c r="Z287" s="13"/>
      <c r="AC287" s="13"/>
      <c r="AD287" s="13"/>
      <c r="AG287" s="13"/>
      <c r="AH287" s="13"/>
      <c r="AK287" s="13"/>
      <c r="AL287" s="13"/>
      <c r="AO287" s="13"/>
      <c r="AP287" s="13"/>
      <c r="AS287" s="13"/>
      <c r="AT287" s="13"/>
      <c r="AW287" s="13"/>
      <c r="AX287" s="13"/>
      <c r="BA287" s="13"/>
      <c r="BB287" s="13"/>
      <c r="BH287" s="16"/>
      <c r="CD287" s="16"/>
    </row>
    <row r="288" spans="12:82" x14ac:dyDescent="0.25">
      <c r="L288" s="14"/>
      <c r="P288" s="14"/>
      <c r="U288" s="13"/>
      <c r="V288" s="13"/>
      <c r="Y288" s="13"/>
      <c r="Z288" s="13"/>
      <c r="AC288" s="13"/>
      <c r="AD288" s="13"/>
      <c r="AG288" s="13"/>
      <c r="AH288" s="13"/>
      <c r="AK288" s="13"/>
      <c r="AL288" s="13"/>
      <c r="AO288" s="13"/>
      <c r="AP288" s="13"/>
      <c r="AS288" s="13"/>
      <c r="AT288" s="13"/>
      <c r="AW288" s="13"/>
      <c r="AX288" s="13"/>
      <c r="BA288" s="13"/>
      <c r="BB288" s="13"/>
      <c r="BH288" s="16"/>
      <c r="CD288" s="16"/>
    </row>
    <row r="289" spans="12:82" x14ac:dyDescent="0.25">
      <c r="L289" s="14"/>
      <c r="P289" s="14"/>
      <c r="U289" s="13"/>
      <c r="V289" s="13"/>
      <c r="Y289" s="13"/>
      <c r="Z289" s="13"/>
      <c r="AC289" s="13"/>
      <c r="AD289" s="13"/>
      <c r="AG289" s="13"/>
      <c r="AH289" s="13"/>
      <c r="AK289" s="13"/>
      <c r="AL289" s="13"/>
      <c r="AO289" s="13"/>
      <c r="AP289" s="13"/>
      <c r="AS289" s="13"/>
      <c r="AT289" s="13"/>
      <c r="AW289" s="13"/>
      <c r="AX289" s="13"/>
      <c r="BA289" s="13"/>
      <c r="BB289" s="13"/>
      <c r="BH289" s="16"/>
      <c r="CD289" s="16"/>
    </row>
    <row r="290" spans="12:82" x14ac:dyDescent="0.25">
      <c r="L290" s="14"/>
      <c r="P290" s="14"/>
      <c r="U290" s="13"/>
      <c r="V290" s="13"/>
      <c r="Y290" s="13"/>
      <c r="Z290" s="13"/>
      <c r="AC290" s="13"/>
      <c r="AD290" s="13"/>
      <c r="AG290" s="13"/>
      <c r="AH290" s="13"/>
      <c r="AK290" s="13"/>
      <c r="AL290" s="13"/>
      <c r="AO290" s="13"/>
      <c r="AP290" s="13"/>
      <c r="AS290" s="13"/>
      <c r="AT290" s="13"/>
      <c r="AW290" s="13"/>
      <c r="AX290" s="13"/>
      <c r="BA290" s="13"/>
      <c r="BB290" s="13"/>
      <c r="BH290" s="16"/>
      <c r="CD290" s="16"/>
    </row>
    <row r="291" spans="12:82" x14ac:dyDescent="0.25">
      <c r="L291" s="14"/>
      <c r="P291" s="14"/>
      <c r="U291" s="13"/>
      <c r="V291" s="13"/>
      <c r="Y291" s="13"/>
      <c r="Z291" s="13"/>
      <c r="AC291" s="13"/>
      <c r="AD291" s="13"/>
      <c r="AG291" s="13"/>
      <c r="AH291" s="13"/>
      <c r="AK291" s="13"/>
      <c r="AL291" s="13"/>
      <c r="AO291" s="13"/>
      <c r="AP291" s="13"/>
      <c r="AS291" s="13"/>
      <c r="AT291" s="13"/>
      <c r="AW291" s="13"/>
      <c r="AX291" s="13"/>
      <c r="BA291" s="13"/>
      <c r="BB291" s="13"/>
      <c r="BH291" s="16"/>
      <c r="CD291" s="16"/>
    </row>
    <row r="292" spans="12:82" x14ac:dyDescent="0.25">
      <c r="L292" s="14"/>
      <c r="P292" s="14"/>
      <c r="U292" s="13"/>
      <c r="V292" s="13"/>
      <c r="Y292" s="13"/>
      <c r="Z292" s="13"/>
      <c r="AC292" s="13"/>
      <c r="AD292" s="13"/>
      <c r="AG292" s="13"/>
      <c r="AH292" s="13"/>
      <c r="AK292" s="13"/>
      <c r="AL292" s="13"/>
      <c r="AO292" s="13"/>
      <c r="AP292" s="13"/>
      <c r="AS292" s="13"/>
      <c r="AT292" s="13"/>
      <c r="AW292" s="13"/>
      <c r="AX292" s="13"/>
      <c r="BA292" s="13"/>
      <c r="BB292" s="13"/>
      <c r="BH292" s="16"/>
      <c r="CD292" s="16"/>
    </row>
    <row r="293" spans="12:82" x14ac:dyDescent="0.25">
      <c r="L293" s="14"/>
      <c r="P293" s="14"/>
      <c r="U293" s="13"/>
      <c r="V293" s="13"/>
      <c r="Y293" s="13"/>
      <c r="Z293" s="13"/>
      <c r="AC293" s="13"/>
      <c r="AD293" s="13"/>
      <c r="AG293" s="13"/>
      <c r="AH293" s="13"/>
      <c r="AK293" s="13"/>
      <c r="AL293" s="13"/>
      <c r="AO293" s="13"/>
      <c r="AP293" s="13"/>
      <c r="AS293" s="13"/>
      <c r="AT293" s="13"/>
      <c r="AW293" s="13"/>
      <c r="AX293" s="13"/>
      <c r="BA293" s="13"/>
      <c r="BB293" s="13"/>
      <c r="BH293" s="16"/>
      <c r="CD293" s="16"/>
    </row>
    <row r="294" spans="12:82" x14ac:dyDescent="0.25">
      <c r="L294" s="14"/>
      <c r="P294" s="14"/>
      <c r="U294" s="13"/>
      <c r="V294" s="13"/>
      <c r="Y294" s="13"/>
      <c r="Z294" s="13"/>
      <c r="AC294" s="13"/>
      <c r="AD294" s="13"/>
      <c r="AG294" s="13"/>
      <c r="AH294" s="13"/>
      <c r="AK294" s="13"/>
      <c r="AL294" s="13"/>
      <c r="AO294" s="13"/>
      <c r="AP294" s="13"/>
      <c r="AS294" s="13"/>
      <c r="AT294" s="13"/>
      <c r="AW294" s="13"/>
      <c r="AX294" s="13"/>
      <c r="BA294" s="13"/>
      <c r="BB294" s="13"/>
      <c r="BH294" s="16"/>
      <c r="CD294" s="16"/>
    </row>
    <row r="295" spans="12:82" x14ac:dyDescent="0.25">
      <c r="L295" s="14"/>
      <c r="P295" s="14"/>
      <c r="U295" s="13"/>
      <c r="V295" s="13"/>
      <c r="Y295" s="13"/>
      <c r="Z295" s="13"/>
      <c r="AC295" s="13"/>
      <c r="AD295" s="13"/>
      <c r="AG295" s="13"/>
      <c r="AH295" s="13"/>
      <c r="AK295" s="13"/>
      <c r="AL295" s="13"/>
      <c r="AO295" s="13"/>
      <c r="AP295" s="13"/>
      <c r="AS295" s="13"/>
      <c r="AT295" s="13"/>
      <c r="AW295" s="13"/>
      <c r="AX295" s="13"/>
      <c r="BA295" s="13"/>
      <c r="BB295" s="13"/>
      <c r="BH295" s="16"/>
      <c r="CD295" s="16"/>
    </row>
    <row r="296" spans="12:82" x14ac:dyDescent="0.25">
      <c r="L296" s="14"/>
      <c r="P296" s="14"/>
      <c r="U296" s="13"/>
      <c r="V296" s="13"/>
      <c r="Y296" s="13"/>
      <c r="Z296" s="13"/>
      <c r="AC296" s="13"/>
      <c r="AD296" s="13"/>
      <c r="AG296" s="13"/>
      <c r="AH296" s="13"/>
      <c r="AK296" s="13"/>
      <c r="AL296" s="13"/>
      <c r="AO296" s="13"/>
      <c r="AP296" s="13"/>
      <c r="AS296" s="13"/>
      <c r="AT296" s="13"/>
      <c r="AW296" s="13"/>
      <c r="AX296" s="13"/>
      <c r="BA296" s="13"/>
      <c r="BB296" s="13"/>
      <c r="BH296" s="16"/>
      <c r="CD296" s="16"/>
    </row>
    <row r="297" spans="12:82" x14ac:dyDescent="0.25">
      <c r="L297" s="14"/>
      <c r="P297" s="14"/>
      <c r="U297" s="13"/>
      <c r="V297" s="13"/>
      <c r="Y297" s="13"/>
      <c r="Z297" s="13"/>
      <c r="AC297" s="13"/>
      <c r="AD297" s="13"/>
      <c r="AG297" s="13"/>
      <c r="AH297" s="13"/>
      <c r="AK297" s="13"/>
      <c r="AL297" s="13"/>
      <c r="AO297" s="13"/>
      <c r="AP297" s="13"/>
      <c r="AS297" s="13"/>
      <c r="AT297" s="13"/>
      <c r="AW297" s="13"/>
      <c r="AX297" s="13"/>
      <c r="BA297" s="13"/>
      <c r="BB297" s="13"/>
      <c r="BH297" s="16"/>
      <c r="CD297" s="16"/>
    </row>
    <row r="298" spans="12:82" x14ac:dyDescent="0.25">
      <c r="L298" s="14"/>
      <c r="P298" s="14"/>
      <c r="U298" s="13"/>
      <c r="V298" s="13"/>
      <c r="Y298" s="13"/>
      <c r="Z298" s="13"/>
      <c r="AC298" s="13"/>
      <c r="AD298" s="13"/>
      <c r="AG298" s="13"/>
      <c r="AH298" s="13"/>
      <c r="AK298" s="13"/>
      <c r="AL298" s="13"/>
      <c r="AO298" s="13"/>
      <c r="AP298" s="13"/>
      <c r="AS298" s="13"/>
      <c r="AT298" s="13"/>
      <c r="AW298" s="13"/>
      <c r="AX298" s="13"/>
      <c r="BA298" s="13"/>
      <c r="BB298" s="13"/>
      <c r="BH298" s="16"/>
      <c r="CD298" s="16"/>
    </row>
    <row r="299" spans="12:82" x14ac:dyDescent="0.25">
      <c r="L299" s="14"/>
      <c r="P299" s="14"/>
      <c r="U299" s="13"/>
      <c r="V299" s="13"/>
      <c r="Y299" s="13"/>
      <c r="Z299" s="13"/>
      <c r="AC299" s="13"/>
      <c r="AD299" s="13"/>
      <c r="AG299" s="13"/>
      <c r="AH299" s="13"/>
      <c r="AK299" s="13"/>
      <c r="AL299" s="13"/>
      <c r="AO299" s="13"/>
      <c r="AP299" s="13"/>
      <c r="AS299" s="13"/>
      <c r="AT299" s="13"/>
      <c r="AW299" s="13"/>
      <c r="AX299" s="13"/>
      <c r="BA299" s="13"/>
      <c r="BB299" s="13"/>
      <c r="BH299" s="16"/>
      <c r="CD299" s="16"/>
    </row>
    <row r="300" spans="12:82" x14ac:dyDescent="0.25">
      <c r="L300" s="14"/>
      <c r="P300" s="14"/>
      <c r="U300" s="13"/>
      <c r="V300" s="13"/>
      <c r="Y300" s="13"/>
      <c r="Z300" s="13"/>
      <c r="AC300" s="13"/>
      <c r="AD300" s="13"/>
      <c r="AG300" s="13"/>
      <c r="AH300" s="13"/>
      <c r="AK300" s="13"/>
      <c r="AL300" s="13"/>
      <c r="AO300" s="13"/>
      <c r="AP300" s="13"/>
      <c r="AS300" s="13"/>
      <c r="AT300" s="13"/>
      <c r="AW300" s="13"/>
      <c r="AX300" s="13"/>
      <c r="BA300" s="13"/>
      <c r="BB300" s="13"/>
      <c r="BH300" s="16"/>
      <c r="CD300" s="16"/>
    </row>
    <row r="301" spans="12:82" x14ac:dyDescent="0.25">
      <c r="L301" s="14"/>
      <c r="P301" s="14"/>
      <c r="U301" s="13"/>
      <c r="V301" s="13"/>
      <c r="Y301" s="13"/>
      <c r="Z301" s="13"/>
      <c r="AC301" s="13"/>
      <c r="AD301" s="13"/>
      <c r="AG301" s="13"/>
      <c r="AH301" s="13"/>
      <c r="AK301" s="13"/>
      <c r="AL301" s="13"/>
      <c r="AO301" s="13"/>
      <c r="AP301" s="13"/>
      <c r="AS301" s="13"/>
      <c r="AT301" s="13"/>
      <c r="AW301" s="13"/>
      <c r="AX301" s="13"/>
      <c r="BA301" s="13"/>
      <c r="BB301" s="13"/>
      <c r="BH301" s="16"/>
      <c r="CD301" s="16"/>
    </row>
    <row r="302" spans="12:82" x14ac:dyDescent="0.25">
      <c r="L302" s="14"/>
      <c r="P302" s="14"/>
      <c r="U302" s="13"/>
      <c r="V302" s="13"/>
      <c r="Y302" s="13"/>
      <c r="Z302" s="13"/>
      <c r="AC302" s="13"/>
      <c r="AD302" s="13"/>
      <c r="AG302" s="13"/>
      <c r="AH302" s="13"/>
      <c r="AK302" s="13"/>
      <c r="AL302" s="13"/>
      <c r="AO302" s="13"/>
      <c r="AP302" s="13"/>
      <c r="AS302" s="13"/>
      <c r="AT302" s="13"/>
      <c r="AW302" s="13"/>
      <c r="AX302" s="13"/>
      <c r="BA302" s="13"/>
      <c r="BB302" s="13"/>
      <c r="BH302" s="16"/>
      <c r="CD302" s="16"/>
    </row>
    <row r="303" spans="12:82" x14ac:dyDescent="0.25">
      <c r="L303" s="14"/>
      <c r="P303" s="14"/>
      <c r="U303" s="13"/>
      <c r="V303" s="13"/>
      <c r="Y303" s="13"/>
      <c r="Z303" s="13"/>
      <c r="AC303" s="13"/>
      <c r="AD303" s="13"/>
      <c r="AG303" s="13"/>
      <c r="AH303" s="13"/>
      <c r="AK303" s="13"/>
      <c r="AL303" s="13"/>
      <c r="AO303" s="13"/>
      <c r="AP303" s="13"/>
      <c r="AS303" s="13"/>
      <c r="AT303" s="13"/>
      <c r="AW303" s="13"/>
      <c r="AX303" s="13"/>
      <c r="BA303" s="13"/>
      <c r="BB303" s="13"/>
      <c r="BH303" s="16"/>
      <c r="CD303" s="16"/>
    </row>
    <row r="304" spans="12:82" x14ac:dyDescent="0.25">
      <c r="L304" s="14"/>
      <c r="P304" s="14"/>
      <c r="U304" s="13"/>
      <c r="V304" s="13"/>
      <c r="Y304" s="13"/>
      <c r="Z304" s="13"/>
      <c r="AC304" s="13"/>
      <c r="AD304" s="13"/>
      <c r="AG304" s="13"/>
      <c r="AH304" s="13"/>
      <c r="AK304" s="13"/>
      <c r="AL304" s="13"/>
      <c r="AO304" s="13"/>
      <c r="AP304" s="13"/>
      <c r="AS304" s="13"/>
      <c r="AT304" s="13"/>
      <c r="AW304" s="13"/>
      <c r="AX304" s="13"/>
      <c r="BA304" s="13"/>
      <c r="BB304" s="13"/>
      <c r="BH304" s="16"/>
      <c r="CD304" s="16"/>
    </row>
    <row r="305" spans="12:82" x14ac:dyDescent="0.25">
      <c r="L305" s="14"/>
      <c r="P305" s="14"/>
      <c r="U305" s="13"/>
      <c r="V305" s="13"/>
      <c r="Y305" s="13"/>
      <c r="Z305" s="13"/>
      <c r="AC305" s="13"/>
      <c r="AD305" s="13"/>
      <c r="AG305" s="13"/>
      <c r="AH305" s="13"/>
      <c r="AK305" s="13"/>
      <c r="AL305" s="13"/>
      <c r="AO305" s="13"/>
      <c r="AP305" s="13"/>
      <c r="AS305" s="13"/>
      <c r="AT305" s="13"/>
      <c r="AW305" s="13"/>
      <c r="AX305" s="13"/>
      <c r="BA305" s="13"/>
      <c r="BB305" s="13"/>
      <c r="BH305" s="16"/>
      <c r="CD305" s="16"/>
    </row>
    <row r="306" spans="12:82" x14ac:dyDescent="0.25">
      <c r="L306" s="14"/>
      <c r="P306" s="14"/>
      <c r="U306" s="13"/>
      <c r="V306" s="13"/>
      <c r="Y306" s="13"/>
      <c r="Z306" s="13"/>
      <c r="AC306" s="13"/>
      <c r="AD306" s="13"/>
      <c r="AG306" s="13"/>
      <c r="AH306" s="13"/>
      <c r="AK306" s="13"/>
      <c r="AL306" s="13"/>
      <c r="AO306" s="13"/>
      <c r="AP306" s="13"/>
      <c r="AS306" s="13"/>
      <c r="AT306" s="13"/>
      <c r="AW306" s="13"/>
      <c r="AX306" s="13"/>
      <c r="BA306" s="13"/>
      <c r="BB306" s="13"/>
      <c r="BH306" s="16"/>
      <c r="CD306" s="16"/>
    </row>
    <row r="307" spans="12:82" x14ac:dyDescent="0.25">
      <c r="L307" s="14"/>
      <c r="P307" s="14"/>
      <c r="U307" s="13"/>
      <c r="V307" s="13"/>
      <c r="Y307" s="13"/>
      <c r="Z307" s="13"/>
      <c r="AC307" s="13"/>
      <c r="AD307" s="13"/>
      <c r="AG307" s="13"/>
      <c r="AH307" s="13"/>
      <c r="AK307" s="13"/>
      <c r="AL307" s="13"/>
      <c r="AO307" s="13"/>
      <c r="AP307" s="13"/>
      <c r="AS307" s="13"/>
      <c r="AT307" s="13"/>
      <c r="AW307" s="13"/>
      <c r="AX307" s="13"/>
      <c r="BA307" s="13"/>
      <c r="BB307" s="13"/>
      <c r="BH307" s="16"/>
      <c r="CD307" s="16"/>
    </row>
    <row r="308" spans="12:82" x14ac:dyDescent="0.25">
      <c r="L308" s="14"/>
      <c r="P308" s="14"/>
      <c r="U308" s="13"/>
      <c r="V308" s="13"/>
      <c r="Y308" s="13"/>
      <c r="Z308" s="13"/>
      <c r="AC308" s="13"/>
      <c r="AD308" s="13"/>
      <c r="AG308" s="13"/>
      <c r="AH308" s="13"/>
      <c r="AK308" s="13"/>
      <c r="AL308" s="13"/>
      <c r="AO308" s="13"/>
      <c r="AP308" s="13"/>
      <c r="AS308" s="13"/>
      <c r="AT308" s="13"/>
      <c r="AW308" s="13"/>
      <c r="AX308" s="13"/>
      <c r="BA308" s="13"/>
      <c r="BB308" s="13"/>
      <c r="BH308" s="16"/>
      <c r="CD308" s="16"/>
    </row>
    <row r="309" spans="12:82" x14ac:dyDescent="0.25">
      <c r="L309" s="14"/>
      <c r="P309" s="14"/>
      <c r="U309" s="13"/>
      <c r="V309" s="13"/>
      <c r="Y309" s="13"/>
      <c r="Z309" s="13"/>
      <c r="AC309" s="13"/>
      <c r="AD309" s="13"/>
      <c r="AG309" s="13"/>
      <c r="AH309" s="13"/>
      <c r="AK309" s="13"/>
      <c r="AL309" s="13"/>
      <c r="AO309" s="13"/>
      <c r="AP309" s="13"/>
      <c r="AS309" s="13"/>
      <c r="AT309" s="13"/>
      <c r="AW309" s="13"/>
      <c r="AX309" s="13"/>
      <c r="BA309" s="13"/>
      <c r="BB309" s="13"/>
      <c r="BH309" s="16"/>
      <c r="CD309" s="16"/>
    </row>
    <row r="310" spans="12:82" x14ac:dyDescent="0.25">
      <c r="L310" s="14"/>
      <c r="P310" s="14"/>
      <c r="U310" s="13"/>
      <c r="V310" s="13"/>
      <c r="Y310" s="13"/>
      <c r="Z310" s="13"/>
      <c r="AC310" s="13"/>
      <c r="AD310" s="13"/>
      <c r="AG310" s="13"/>
      <c r="AH310" s="13"/>
      <c r="AK310" s="13"/>
      <c r="AL310" s="13"/>
      <c r="AO310" s="13"/>
      <c r="AP310" s="13"/>
      <c r="AS310" s="13"/>
      <c r="AT310" s="13"/>
      <c r="AW310" s="13"/>
      <c r="AX310" s="13"/>
      <c r="BA310" s="13"/>
      <c r="BB310" s="13"/>
      <c r="BH310" s="16"/>
      <c r="CD310" s="16"/>
    </row>
    <row r="311" spans="12:82" x14ac:dyDescent="0.25">
      <c r="L311" s="14"/>
      <c r="P311" s="14"/>
      <c r="U311" s="13"/>
      <c r="V311" s="13"/>
      <c r="Y311" s="13"/>
      <c r="Z311" s="13"/>
      <c r="AC311" s="13"/>
      <c r="AD311" s="13"/>
      <c r="AG311" s="13"/>
      <c r="AH311" s="13"/>
      <c r="AK311" s="13"/>
      <c r="AL311" s="13"/>
      <c r="AO311" s="13"/>
      <c r="AP311" s="13"/>
      <c r="AS311" s="13"/>
      <c r="AT311" s="13"/>
      <c r="AW311" s="13"/>
      <c r="AX311" s="13"/>
      <c r="BA311" s="13"/>
      <c r="BB311" s="13"/>
      <c r="BH311" s="16"/>
      <c r="CD311" s="16"/>
    </row>
    <row r="312" spans="12:82" x14ac:dyDescent="0.25">
      <c r="L312" s="14"/>
      <c r="P312" s="14"/>
      <c r="U312" s="13"/>
      <c r="V312" s="13"/>
      <c r="Y312" s="13"/>
      <c r="Z312" s="13"/>
      <c r="AC312" s="13"/>
      <c r="AD312" s="13"/>
      <c r="AG312" s="13"/>
      <c r="AH312" s="13"/>
      <c r="AK312" s="13"/>
      <c r="AL312" s="13"/>
      <c r="AO312" s="13"/>
      <c r="AP312" s="13"/>
      <c r="AS312" s="13"/>
      <c r="AT312" s="13"/>
      <c r="AW312" s="13"/>
      <c r="AX312" s="13"/>
      <c r="BA312" s="13"/>
      <c r="BB312" s="13"/>
      <c r="BH312" s="16"/>
      <c r="CD312" s="16"/>
    </row>
    <row r="313" spans="12:82" x14ac:dyDescent="0.25">
      <c r="L313" s="14"/>
      <c r="P313" s="14"/>
      <c r="U313" s="13"/>
      <c r="V313" s="13"/>
      <c r="Y313" s="13"/>
      <c r="Z313" s="13"/>
      <c r="AC313" s="13"/>
      <c r="AD313" s="13"/>
      <c r="AG313" s="13"/>
      <c r="AH313" s="13"/>
      <c r="AK313" s="13"/>
      <c r="AL313" s="13"/>
      <c r="AO313" s="13"/>
      <c r="AP313" s="13"/>
      <c r="AS313" s="13"/>
      <c r="AT313" s="13"/>
      <c r="AW313" s="13"/>
      <c r="AX313" s="13"/>
      <c r="BA313" s="13"/>
      <c r="BB313" s="13"/>
      <c r="BH313" s="16"/>
      <c r="CD313" s="16"/>
    </row>
    <row r="314" spans="12:82" x14ac:dyDescent="0.25">
      <c r="L314" s="14"/>
      <c r="P314" s="14"/>
      <c r="U314" s="13"/>
      <c r="V314" s="13"/>
      <c r="Y314" s="13"/>
      <c r="Z314" s="13"/>
      <c r="AC314" s="13"/>
      <c r="AD314" s="13"/>
      <c r="AG314" s="13"/>
      <c r="AH314" s="13"/>
      <c r="AK314" s="13"/>
      <c r="AL314" s="13"/>
      <c r="AO314" s="13"/>
      <c r="AP314" s="13"/>
      <c r="AS314" s="13"/>
      <c r="AT314" s="13"/>
      <c r="AW314" s="13"/>
      <c r="AX314" s="13"/>
      <c r="BA314" s="13"/>
      <c r="BB314" s="13"/>
      <c r="BH314" s="16"/>
      <c r="CD314" s="16"/>
    </row>
    <row r="315" spans="12:82" x14ac:dyDescent="0.25">
      <c r="L315" s="14"/>
      <c r="P315" s="14"/>
      <c r="U315" s="13"/>
      <c r="V315" s="13"/>
      <c r="Y315" s="13"/>
      <c r="Z315" s="13"/>
      <c r="AC315" s="13"/>
      <c r="AD315" s="13"/>
      <c r="AG315" s="13"/>
      <c r="AH315" s="13"/>
      <c r="AK315" s="13"/>
      <c r="AL315" s="13"/>
      <c r="AO315" s="13"/>
      <c r="AP315" s="13"/>
      <c r="AS315" s="13"/>
      <c r="AT315" s="13"/>
      <c r="AW315" s="13"/>
      <c r="AX315" s="13"/>
      <c r="BA315" s="13"/>
      <c r="BB315" s="13"/>
      <c r="BH315" s="16"/>
      <c r="CD315" s="16"/>
    </row>
    <row r="316" spans="12:82" x14ac:dyDescent="0.25">
      <c r="L316" s="14"/>
      <c r="P316" s="14"/>
      <c r="U316" s="13"/>
      <c r="V316" s="13"/>
      <c r="Y316" s="13"/>
      <c r="Z316" s="13"/>
      <c r="AC316" s="13"/>
      <c r="AD316" s="13"/>
      <c r="AG316" s="13"/>
      <c r="AH316" s="13"/>
      <c r="AK316" s="13"/>
      <c r="AL316" s="13"/>
      <c r="AO316" s="13"/>
      <c r="AP316" s="13"/>
      <c r="AS316" s="13"/>
      <c r="AT316" s="13"/>
      <c r="AW316" s="13"/>
      <c r="AX316" s="13"/>
      <c r="BA316" s="13"/>
      <c r="BB316" s="13"/>
      <c r="BH316" s="16"/>
      <c r="CD316" s="16"/>
    </row>
    <row r="317" spans="12:82" x14ac:dyDescent="0.25">
      <c r="L317" s="14"/>
      <c r="P317" s="14"/>
      <c r="U317" s="13"/>
      <c r="V317" s="13"/>
      <c r="Y317" s="13"/>
      <c r="Z317" s="13"/>
      <c r="AC317" s="13"/>
      <c r="AD317" s="13"/>
      <c r="AG317" s="13"/>
      <c r="AH317" s="13"/>
      <c r="AK317" s="13"/>
      <c r="AL317" s="13"/>
      <c r="AO317" s="13"/>
      <c r="AP317" s="13"/>
      <c r="AS317" s="13"/>
      <c r="AT317" s="13"/>
      <c r="AW317" s="13"/>
      <c r="AX317" s="13"/>
      <c r="BA317" s="13"/>
      <c r="BB317" s="13"/>
      <c r="BH317" s="16"/>
      <c r="CD317" s="16"/>
    </row>
    <row r="318" spans="12:82" x14ac:dyDescent="0.25">
      <c r="L318" s="14"/>
      <c r="P318" s="14"/>
      <c r="U318" s="13"/>
      <c r="V318" s="13"/>
      <c r="Y318" s="13"/>
      <c r="Z318" s="13"/>
      <c r="AC318" s="13"/>
      <c r="AD318" s="13"/>
      <c r="AG318" s="13"/>
      <c r="AH318" s="13"/>
      <c r="AK318" s="13"/>
      <c r="AL318" s="13"/>
      <c r="AO318" s="13"/>
      <c r="AP318" s="13"/>
      <c r="AS318" s="13"/>
      <c r="AT318" s="13"/>
      <c r="AW318" s="13"/>
      <c r="AX318" s="13"/>
      <c r="BA318" s="13"/>
      <c r="BB318" s="13"/>
      <c r="BH318" s="16"/>
      <c r="CD318" s="16"/>
    </row>
    <row r="319" spans="12:82" x14ac:dyDescent="0.25">
      <c r="L319" s="14"/>
      <c r="P319" s="14"/>
      <c r="U319" s="13"/>
      <c r="V319" s="13"/>
      <c r="Y319" s="13"/>
      <c r="Z319" s="13"/>
      <c r="AC319" s="13"/>
      <c r="AD319" s="13"/>
      <c r="AG319" s="13"/>
      <c r="AH319" s="13"/>
      <c r="AK319" s="13"/>
      <c r="AL319" s="13"/>
      <c r="AO319" s="13"/>
      <c r="AP319" s="13"/>
      <c r="AS319" s="13"/>
      <c r="AT319" s="13"/>
      <c r="AW319" s="13"/>
      <c r="AX319" s="13"/>
      <c r="BA319" s="13"/>
      <c r="BB319" s="13"/>
      <c r="BH319" s="16"/>
      <c r="CD319" s="16"/>
    </row>
    <row r="320" spans="12:82" x14ac:dyDescent="0.25">
      <c r="L320" s="14"/>
      <c r="P320" s="14"/>
      <c r="U320" s="13"/>
      <c r="V320" s="13"/>
      <c r="Y320" s="13"/>
      <c r="Z320" s="13"/>
      <c r="AC320" s="13"/>
      <c r="AD320" s="13"/>
      <c r="AG320" s="13"/>
      <c r="AH320" s="13"/>
      <c r="AK320" s="13"/>
      <c r="AL320" s="13"/>
      <c r="AO320" s="13"/>
      <c r="AP320" s="13"/>
      <c r="AS320" s="13"/>
      <c r="AT320" s="13"/>
      <c r="AW320" s="13"/>
      <c r="AX320" s="13"/>
      <c r="BA320" s="13"/>
      <c r="BB320" s="13"/>
      <c r="BH320" s="16"/>
      <c r="CD320" s="16"/>
    </row>
    <row r="321" spans="12:82" x14ac:dyDescent="0.25">
      <c r="L321" s="14"/>
      <c r="P321" s="14"/>
      <c r="U321" s="13"/>
      <c r="V321" s="13"/>
      <c r="Y321" s="13"/>
      <c r="Z321" s="13"/>
      <c r="AC321" s="13"/>
      <c r="AD321" s="13"/>
      <c r="AG321" s="13"/>
      <c r="AH321" s="13"/>
      <c r="AK321" s="13"/>
      <c r="AL321" s="13"/>
      <c r="AO321" s="13"/>
      <c r="AP321" s="13"/>
      <c r="AS321" s="13"/>
      <c r="AT321" s="13"/>
      <c r="AW321" s="13"/>
      <c r="AX321" s="13"/>
      <c r="BA321" s="13"/>
      <c r="BB321" s="13"/>
      <c r="BH321" s="16"/>
      <c r="CD321" s="16"/>
    </row>
    <row r="322" spans="12:82" x14ac:dyDescent="0.25">
      <c r="L322" s="14"/>
      <c r="P322" s="14"/>
      <c r="U322" s="13"/>
      <c r="V322" s="13"/>
      <c r="Y322" s="13"/>
      <c r="Z322" s="13"/>
      <c r="AC322" s="13"/>
      <c r="AD322" s="13"/>
      <c r="AG322" s="13"/>
      <c r="AH322" s="13"/>
      <c r="AK322" s="13"/>
      <c r="AL322" s="13"/>
      <c r="AO322" s="13"/>
      <c r="AP322" s="13"/>
      <c r="AS322" s="13"/>
      <c r="AT322" s="13"/>
      <c r="AW322" s="13"/>
      <c r="AX322" s="13"/>
      <c r="BA322" s="13"/>
      <c r="BB322" s="13"/>
      <c r="BH322" s="16"/>
      <c r="CD322" s="16"/>
    </row>
    <row r="323" spans="12:82" x14ac:dyDescent="0.25">
      <c r="L323" s="14"/>
      <c r="P323" s="14"/>
      <c r="U323" s="13"/>
      <c r="V323" s="13"/>
      <c r="Y323" s="13"/>
      <c r="Z323" s="13"/>
      <c r="AC323" s="13"/>
      <c r="AD323" s="13"/>
      <c r="AG323" s="13"/>
      <c r="AH323" s="13"/>
      <c r="AK323" s="13"/>
      <c r="AL323" s="13"/>
      <c r="AO323" s="13"/>
      <c r="AP323" s="13"/>
      <c r="AS323" s="13"/>
      <c r="AT323" s="13"/>
      <c r="AW323" s="13"/>
      <c r="AX323" s="13"/>
      <c r="BA323" s="13"/>
      <c r="BB323" s="13"/>
      <c r="BH323" s="16"/>
      <c r="CD323" s="16"/>
    </row>
    <row r="324" spans="12:82" x14ac:dyDescent="0.25">
      <c r="L324" s="14"/>
      <c r="P324" s="14"/>
      <c r="U324" s="13"/>
      <c r="V324" s="13"/>
      <c r="Y324" s="13"/>
      <c r="Z324" s="13"/>
      <c r="AC324" s="13"/>
      <c r="AD324" s="13"/>
      <c r="AG324" s="13"/>
      <c r="AH324" s="13"/>
      <c r="AK324" s="13"/>
      <c r="AL324" s="13"/>
      <c r="AO324" s="13"/>
      <c r="AP324" s="13"/>
      <c r="AS324" s="13"/>
      <c r="AT324" s="13"/>
      <c r="AW324" s="13"/>
      <c r="AX324" s="13"/>
      <c r="BA324" s="13"/>
      <c r="BB324" s="13"/>
      <c r="BH324" s="16"/>
      <c r="CD324" s="16"/>
    </row>
    <row r="325" spans="12:82" x14ac:dyDescent="0.25">
      <c r="L325" s="14"/>
      <c r="P325" s="14"/>
      <c r="U325" s="13"/>
      <c r="V325" s="13"/>
      <c r="Y325" s="13"/>
      <c r="Z325" s="13"/>
      <c r="AC325" s="13"/>
      <c r="AD325" s="13"/>
      <c r="AG325" s="13"/>
      <c r="AH325" s="13"/>
      <c r="AK325" s="13"/>
      <c r="AL325" s="13"/>
      <c r="AO325" s="13"/>
      <c r="AP325" s="13"/>
      <c r="AS325" s="13"/>
      <c r="AT325" s="13"/>
      <c r="AW325" s="13"/>
      <c r="AX325" s="13"/>
      <c r="BA325" s="13"/>
      <c r="BB325" s="13"/>
      <c r="BH325" s="16"/>
      <c r="CD325" s="16"/>
    </row>
    <row r="326" spans="12:82" x14ac:dyDescent="0.25">
      <c r="L326" s="14"/>
      <c r="P326" s="14"/>
      <c r="U326" s="13"/>
      <c r="V326" s="13"/>
      <c r="Y326" s="13"/>
      <c r="Z326" s="13"/>
      <c r="AC326" s="13"/>
      <c r="AD326" s="13"/>
      <c r="AG326" s="13"/>
      <c r="AH326" s="13"/>
      <c r="AK326" s="13"/>
      <c r="AL326" s="13"/>
      <c r="AO326" s="13"/>
      <c r="AP326" s="13"/>
      <c r="AS326" s="13"/>
      <c r="AT326" s="13"/>
      <c r="AW326" s="13"/>
      <c r="AX326" s="13"/>
      <c r="BA326" s="13"/>
      <c r="BB326" s="13"/>
      <c r="BH326" s="16"/>
      <c r="CD326" s="16"/>
    </row>
    <row r="327" spans="12:82" x14ac:dyDescent="0.25">
      <c r="L327" s="14"/>
      <c r="P327" s="14"/>
      <c r="U327" s="13"/>
      <c r="V327" s="13"/>
      <c r="Y327" s="13"/>
      <c r="Z327" s="13"/>
      <c r="AC327" s="13"/>
      <c r="AD327" s="13"/>
      <c r="AG327" s="13"/>
      <c r="AH327" s="13"/>
      <c r="AK327" s="13"/>
      <c r="AL327" s="13"/>
      <c r="AO327" s="13"/>
      <c r="AP327" s="13"/>
      <c r="AS327" s="13"/>
      <c r="AT327" s="13"/>
      <c r="AW327" s="13"/>
      <c r="AX327" s="13"/>
      <c r="BA327" s="13"/>
      <c r="BB327" s="13"/>
      <c r="BH327" s="16"/>
      <c r="CD327" s="16"/>
    </row>
    <row r="328" spans="12:82" x14ac:dyDescent="0.25">
      <c r="L328" s="14"/>
      <c r="P328" s="14"/>
      <c r="U328" s="13"/>
      <c r="V328" s="13"/>
      <c r="Y328" s="13"/>
      <c r="Z328" s="13"/>
      <c r="AC328" s="13"/>
      <c r="AD328" s="13"/>
      <c r="AG328" s="13"/>
      <c r="AH328" s="13"/>
      <c r="AK328" s="13"/>
      <c r="AL328" s="13"/>
      <c r="AO328" s="13"/>
      <c r="AP328" s="13"/>
      <c r="AS328" s="13"/>
      <c r="AT328" s="13"/>
      <c r="AW328" s="13"/>
      <c r="AX328" s="13"/>
      <c r="BA328" s="13"/>
      <c r="BB328" s="13"/>
      <c r="BH328" s="16"/>
      <c r="CD328" s="16"/>
    </row>
    <row r="329" spans="12:82" x14ac:dyDescent="0.25">
      <c r="L329" s="14"/>
      <c r="P329" s="14"/>
      <c r="U329" s="13"/>
      <c r="V329" s="13"/>
      <c r="Y329" s="13"/>
      <c r="Z329" s="13"/>
      <c r="AC329" s="13"/>
      <c r="AD329" s="13"/>
      <c r="AG329" s="13"/>
      <c r="AH329" s="13"/>
      <c r="AK329" s="13"/>
      <c r="AL329" s="13"/>
      <c r="AO329" s="13"/>
      <c r="AP329" s="13"/>
      <c r="AS329" s="13"/>
      <c r="AT329" s="13"/>
      <c r="AW329" s="13"/>
      <c r="AX329" s="13"/>
      <c r="BA329" s="13"/>
      <c r="BB329" s="13"/>
      <c r="BH329" s="16"/>
      <c r="CD329" s="16"/>
    </row>
    <row r="330" spans="12:82" x14ac:dyDescent="0.25">
      <c r="L330" s="14"/>
      <c r="P330" s="14"/>
      <c r="U330" s="13"/>
      <c r="V330" s="13"/>
      <c r="Y330" s="13"/>
      <c r="Z330" s="13"/>
      <c r="AC330" s="13"/>
      <c r="AD330" s="13"/>
      <c r="AG330" s="13"/>
      <c r="AH330" s="13"/>
      <c r="AK330" s="13"/>
      <c r="AL330" s="13"/>
      <c r="AO330" s="13"/>
      <c r="AP330" s="13"/>
      <c r="AS330" s="13"/>
      <c r="AT330" s="13"/>
      <c r="AW330" s="13"/>
      <c r="AX330" s="13"/>
      <c r="BA330" s="13"/>
      <c r="BB330" s="13"/>
      <c r="BH330" s="16"/>
      <c r="CD330" s="16"/>
    </row>
    <row r="331" spans="12:82" x14ac:dyDescent="0.25">
      <c r="L331" s="14"/>
      <c r="P331" s="14"/>
      <c r="U331" s="13"/>
      <c r="V331" s="13"/>
      <c r="Y331" s="13"/>
      <c r="Z331" s="13"/>
      <c r="AC331" s="13"/>
      <c r="AD331" s="13"/>
      <c r="AG331" s="13"/>
      <c r="AH331" s="13"/>
      <c r="AK331" s="13"/>
      <c r="AL331" s="13"/>
      <c r="AO331" s="13"/>
      <c r="AP331" s="13"/>
      <c r="AS331" s="13"/>
      <c r="AT331" s="13"/>
      <c r="AW331" s="13"/>
      <c r="AX331" s="13"/>
      <c r="BA331" s="13"/>
      <c r="BB331" s="13"/>
      <c r="BH331" s="16"/>
      <c r="CD331" s="16"/>
    </row>
    <row r="332" spans="12:82" x14ac:dyDescent="0.25">
      <c r="L332" s="14"/>
      <c r="P332" s="14"/>
      <c r="U332" s="13"/>
      <c r="V332" s="13"/>
      <c r="Y332" s="13"/>
      <c r="Z332" s="13"/>
      <c r="AC332" s="13"/>
      <c r="AD332" s="13"/>
      <c r="AG332" s="13"/>
      <c r="AH332" s="13"/>
      <c r="AK332" s="13"/>
      <c r="AL332" s="13"/>
      <c r="AO332" s="13"/>
      <c r="AP332" s="13"/>
      <c r="AS332" s="13"/>
      <c r="AT332" s="13"/>
      <c r="AW332" s="13"/>
      <c r="AX332" s="13"/>
      <c r="BA332" s="13"/>
      <c r="BB332" s="13"/>
      <c r="BH332" s="16"/>
      <c r="CD332" s="16"/>
    </row>
    <row r="333" spans="12:82" x14ac:dyDescent="0.25">
      <c r="L333" s="14"/>
      <c r="P333" s="14"/>
      <c r="U333" s="13"/>
      <c r="V333" s="13"/>
      <c r="Y333" s="13"/>
      <c r="Z333" s="13"/>
      <c r="AC333" s="13"/>
      <c r="AD333" s="13"/>
      <c r="AG333" s="13"/>
      <c r="AH333" s="13"/>
      <c r="AK333" s="13"/>
      <c r="AL333" s="13"/>
      <c r="AO333" s="13"/>
      <c r="AP333" s="13"/>
      <c r="AS333" s="13"/>
      <c r="AT333" s="13"/>
      <c r="AW333" s="13"/>
      <c r="AX333" s="13"/>
      <c r="BA333" s="13"/>
      <c r="BB333" s="13"/>
      <c r="BH333" s="16"/>
      <c r="CD333" s="16"/>
    </row>
    <row r="334" spans="12:82" x14ac:dyDescent="0.25">
      <c r="L334" s="14"/>
      <c r="P334" s="14"/>
      <c r="U334" s="13"/>
      <c r="V334" s="13"/>
      <c r="Y334" s="13"/>
      <c r="Z334" s="13"/>
      <c r="AC334" s="13"/>
      <c r="AD334" s="13"/>
      <c r="AG334" s="13"/>
      <c r="AH334" s="13"/>
      <c r="AK334" s="13"/>
      <c r="AL334" s="13"/>
      <c r="AO334" s="13"/>
      <c r="AP334" s="13"/>
      <c r="AS334" s="13"/>
      <c r="AT334" s="13"/>
      <c r="AW334" s="13"/>
      <c r="AX334" s="13"/>
      <c r="BA334" s="13"/>
      <c r="BB334" s="13"/>
      <c r="BH334" s="16"/>
      <c r="CD334" s="16"/>
    </row>
    <row r="335" spans="12:82" x14ac:dyDescent="0.25">
      <c r="L335" s="14"/>
      <c r="P335" s="14"/>
      <c r="U335" s="13"/>
      <c r="V335" s="13"/>
      <c r="Y335" s="13"/>
      <c r="Z335" s="13"/>
      <c r="AC335" s="13"/>
      <c r="AD335" s="13"/>
      <c r="AG335" s="13"/>
      <c r="AH335" s="13"/>
      <c r="AK335" s="13"/>
      <c r="AL335" s="13"/>
      <c r="AO335" s="13"/>
      <c r="AP335" s="13"/>
      <c r="AS335" s="13"/>
      <c r="AT335" s="13"/>
      <c r="AW335" s="13"/>
      <c r="AX335" s="13"/>
      <c r="BA335" s="13"/>
      <c r="BB335" s="13"/>
      <c r="BH335" s="16"/>
      <c r="CD335" s="16"/>
    </row>
    <row r="336" spans="12:82" x14ac:dyDescent="0.25">
      <c r="L336" s="14"/>
      <c r="P336" s="14"/>
      <c r="U336" s="13"/>
      <c r="V336" s="13"/>
      <c r="Y336" s="13"/>
      <c r="Z336" s="13"/>
      <c r="AC336" s="13"/>
      <c r="AD336" s="13"/>
      <c r="AG336" s="13"/>
      <c r="AH336" s="13"/>
      <c r="AK336" s="13"/>
      <c r="AL336" s="13"/>
      <c r="AO336" s="13"/>
      <c r="AP336" s="13"/>
      <c r="AS336" s="13"/>
      <c r="AT336" s="13"/>
      <c r="AW336" s="13"/>
      <c r="AX336" s="13"/>
      <c r="BA336" s="13"/>
      <c r="BB336" s="13"/>
      <c r="BH336" s="16"/>
      <c r="CD336" s="16"/>
    </row>
    <row r="337" spans="12:82" x14ac:dyDescent="0.25">
      <c r="L337" s="14"/>
      <c r="P337" s="14"/>
      <c r="U337" s="13"/>
      <c r="V337" s="13"/>
      <c r="Y337" s="13"/>
      <c r="Z337" s="13"/>
      <c r="AC337" s="13"/>
      <c r="AD337" s="13"/>
      <c r="AG337" s="13"/>
      <c r="AH337" s="13"/>
      <c r="AK337" s="13"/>
      <c r="AL337" s="13"/>
      <c r="AO337" s="13"/>
      <c r="AP337" s="13"/>
      <c r="AS337" s="13"/>
      <c r="AT337" s="13"/>
      <c r="AW337" s="13"/>
      <c r="AX337" s="13"/>
      <c r="BA337" s="13"/>
      <c r="BB337" s="13"/>
      <c r="BH337" s="16"/>
      <c r="CD337" s="16"/>
    </row>
    <row r="338" spans="12:82" x14ac:dyDescent="0.25">
      <c r="L338" s="14"/>
      <c r="P338" s="14"/>
      <c r="U338" s="13"/>
      <c r="V338" s="13"/>
      <c r="Y338" s="13"/>
      <c r="Z338" s="13"/>
      <c r="AC338" s="13"/>
      <c r="AD338" s="13"/>
      <c r="AG338" s="13"/>
      <c r="AH338" s="13"/>
      <c r="AK338" s="13"/>
      <c r="AL338" s="13"/>
      <c r="AO338" s="13"/>
      <c r="AP338" s="13"/>
      <c r="AS338" s="13"/>
      <c r="AT338" s="13"/>
      <c r="AW338" s="13"/>
      <c r="AX338" s="13"/>
      <c r="BA338" s="13"/>
      <c r="BB338" s="13"/>
      <c r="BH338" s="16"/>
      <c r="CD338" s="16"/>
    </row>
    <row r="339" spans="12:82" x14ac:dyDescent="0.25">
      <c r="L339" s="14"/>
      <c r="P339" s="14"/>
      <c r="U339" s="13"/>
      <c r="V339" s="13"/>
      <c r="Y339" s="13"/>
      <c r="Z339" s="13"/>
      <c r="AC339" s="13"/>
      <c r="AD339" s="13"/>
      <c r="AG339" s="13"/>
      <c r="AH339" s="13"/>
      <c r="AK339" s="13"/>
      <c r="AL339" s="13"/>
      <c r="AO339" s="13"/>
      <c r="AP339" s="13"/>
      <c r="AS339" s="13"/>
      <c r="AT339" s="13"/>
      <c r="AW339" s="13"/>
      <c r="AX339" s="13"/>
      <c r="BA339" s="13"/>
      <c r="BB339" s="13"/>
      <c r="BH339" s="16"/>
      <c r="CD339" s="16"/>
    </row>
    <row r="340" spans="12:82" x14ac:dyDescent="0.25">
      <c r="L340" s="14"/>
      <c r="P340" s="14"/>
      <c r="U340" s="13"/>
      <c r="V340" s="13"/>
      <c r="Y340" s="13"/>
      <c r="Z340" s="13"/>
      <c r="AC340" s="13"/>
      <c r="AD340" s="13"/>
      <c r="AG340" s="13"/>
      <c r="AH340" s="13"/>
      <c r="AK340" s="13"/>
      <c r="AL340" s="13"/>
      <c r="AO340" s="13"/>
      <c r="AP340" s="13"/>
      <c r="AS340" s="13"/>
      <c r="AT340" s="13"/>
      <c r="AW340" s="13"/>
      <c r="AX340" s="13"/>
      <c r="BA340" s="13"/>
      <c r="BB340" s="13"/>
      <c r="BH340" s="16"/>
      <c r="CD340" s="16"/>
    </row>
    <row r="341" spans="12:82" x14ac:dyDescent="0.25">
      <c r="L341" s="14"/>
      <c r="P341" s="14"/>
      <c r="U341" s="13"/>
      <c r="V341" s="13"/>
      <c r="Y341" s="13"/>
      <c r="Z341" s="13"/>
      <c r="AC341" s="13"/>
      <c r="AD341" s="13"/>
      <c r="AG341" s="13"/>
      <c r="AH341" s="13"/>
      <c r="AK341" s="13"/>
      <c r="AL341" s="13"/>
      <c r="AO341" s="13"/>
      <c r="AP341" s="13"/>
      <c r="AS341" s="13"/>
      <c r="AT341" s="13"/>
      <c r="AW341" s="13"/>
      <c r="AX341" s="13"/>
      <c r="BA341" s="13"/>
      <c r="BB341" s="13"/>
      <c r="BH341" s="16"/>
      <c r="CD341" s="16"/>
    </row>
    <row r="342" spans="12:82" x14ac:dyDescent="0.25">
      <c r="L342" s="14"/>
      <c r="P342" s="14"/>
      <c r="U342" s="13"/>
      <c r="V342" s="13"/>
      <c r="Y342" s="13"/>
      <c r="Z342" s="13"/>
      <c r="AC342" s="13"/>
      <c r="AD342" s="13"/>
      <c r="AG342" s="13"/>
      <c r="AH342" s="13"/>
      <c r="AK342" s="13"/>
      <c r="AL342" s="13"/>
      <c r="AO342" s="13"/>
      <c r="AP342" s="13"/>
      <c r="AS342" s="13"/>
      <c r="AT342" s="13"/>
      <c r="AW342" s="13"/>
      <c r="AX342" s="13"/>
      <c r="BA342" s="13"/>
      <c r="BB342" s="13"/>
      <c r="BH342" s="16"/>
      <c r="CD342" s="16"/>
    </row>
    <row r="343" spans="12:82" x14ac:dyDescent="0.25">
      <c r="L343" s="14"/>
      <c r="P343" s="14"/>
      <c r="U343" s="13"/>
      <c r="V343" s="13"/>
      <c r="Y343" s="13"/>
      <c r="Z343" s="13"/>
      <c r="AC343" s="13"/>
      <c r="AD343" s="13"/>
      <c r="AG343" s="13"/>
      <c r="AH343" s="13"/>
      <c r="AK343" s="13"/>
      <c r="AL343" s="13"/>
      <c r="AO343" s="13"/>
      <c r="AP343" s="13"/>
      <c r="AS343" s="13"/>
      <c r="AT343" s="13"/>
      <c r="AW343" s="13"/>
      <c r="AX343" s="13"/>
      <c r="BA343" s="13"/>
      <c r="BB343" s="13"/>
      <c r="BH343" s="16"/>
      <c r="CD343" s="16"/>
    </row>
    <row r="344" spans="12:82" x14ac:dyDescent="0.25">
      <c r="L344" s="14"/>
      <c r="P344" s="14"/>
      <c r="U344" s="13"/>
      <c r="V344" s="13"/>
      <c r="Y344" s="13"/>
      <c r="Z344" s="13"/>
      <c r="AC344" s="13"/>
      <c r="AD344" s="13"/>
      <c r="AG344" s="13"/>
      <c r="AH344" s="13"/>
      <c r="AK344" s="13"/>
      <c r="AL344" s="13"/>
      <c r="AO344" s="13"/>
      <c r="AP344" s="13"/>
      <c r="AS344" s="13"/>
      <c r="AT344" s="13"/>
      <c r="AW344" s="13"/>
      <c r="AX344" s="13"/>
      <c r="BA344" s="13"/>
      <c r="BB344" s="13"/>
      <c r="BH344" s="16"/>
      <c r="CD344" s="16"/>
    </row>
    <row r="345" spans="12:82" x14ac:dyDescent="0.25">
      <c r="L345" s="14"/>
      <c r="P345" s="14"/>
      <c r="U345" s="13"/>
      <c r="V345" s="13"/>
      <c r="Y345" s="13"/>
      <c r="Z345" s="13"/>
      <c r="AC345" s="13"/>
      <c r="AD345" s="13"/>
      <c r="AG345" s="13"/>
      <c r="AH345" s="13"/>
      <c r="AK345" s="13"/>
      <c r="AL345" s="13"/>
      <c r="AO345" s="13"/>
      <c r="AP345" s="13"/>
      <c r="AS345" s="13"/>
      <c r="AT345" s="13"/>
      <c r="AW345" s="13"/>
      <c r="AX345" s="13"/>
      <c r="BA345" s="13"/>
      <c r="BB345" s="13"/>
      <c r="BH345" s="16"/>
      <c r="CD345" s="16"/>
    </row>
    <row r="346" spans="12:82" x14ac:dyDescent="0.25">
      <c r="L346" s="14"/>
      <c r="P346" s="14"/>
      <c r="U346" s="13"/>
      <c r="V346" s="13"/>
      <c r="Y346" s="13"/>
      <c r="Z346" s="13"/>
      <c r="AC346" s="13"/>
      <c r="AD346" s="13"/>
      <c r="AG346" s="13"/>
      <c r="AH346" s="13"/>
      <c r="AK346" s="13"/>
      <c r="AL346" s="13"/>
      <c r="AO346" s="13"/>
      <c r="AP346" s="13"/>
      <c r="AS346" s="13"/>
      <c r="AT346" s="13"/>
      <c r="AW346" s="13"/>
      <c r="AX346" s="13"/>
      <c r="BA346" s="13"/>
      <c r="BB346" s="13"/>
      <c r="BH346" s="16"/>
      <c r="CD346" s="16"/>
    </row>
    <row r="347" spans="12:82" x14ac:dyDescent="0.25">
      <c r="L347" s="14"/>
      <c r="P347" s="14"/>
      <c r="U347" s="13"/>
      <c r="V347" s="13"/>
      <c r="Y347" s="13"/>
      <c r="Z347" s="13"/>
      <c r="AC347" s="13"/>
      <c r="AD347" s="13"/>
      <c r="AG347" s="13"/>
      <c r="AH347" s="13"/>
      <c r="AK347" s="13"/>
      <c r="AL347" s="13"/>
      <c r="AO347" s="13"/>
      <c r="AP347" s="13"/>
      <c r="AS347" s="13"/>
      <c r="AT347" s="13"/>
      <c r="AW347" s="13"/>
      <c r="AX347" s="13"/>
      <c r="BA347" s="13"/>
      <c r="BB347" s="13"/>
      <c r="BH347" s="16"/>
      <c r="CD347" s="16"/>
    </row>
    <row r="348" spans="12:82" x14ac:dyDescent="0.25">
      <c r="L348" s="14"/>
      <c r="P348" s="14"/>
      <c r="U348" s="13"/>
      <c r="V348" s="13"/>
      <c r="Y348" s="13"/>
      <c r="Z348" s="13"/>
      <c r="AC348" s="13"/>
      <c r="AD348" s="13"/>
      <c r="AG348" s="13"/>
      <c r="AH348" s="13"/>
      <c r="AK348" s="13"/>
      <c r="AL348" s="13"/>
      <c r="AO348" s="13"/>
      <c r="AP348" s="13"/>
      <c r="AS348" s="13"/>
      <c r="AT348" s="13"/>
      <c r="AW348" s="13"/>
      <c r="AX348" s="13"/>
      <c r="BA348" s="13"/>
      <c r="BB348" s="13"/>
      <c r="BH348" s="16"/>
      <c r="CD348" s="16"/>
    </row>
    <row r="349" spans="12:82" x14ac:dyDescent="0.25">
      <c r="L349" s="14"/>
      <c r="P349" s="14"/>
      <c r="U349" s="13"/>
      <c r="V349" s="13"/>
      <c r="Y349" s="13"/>
      <c r="Z349" s="13"/>
      <c r="AC349" s="13"/>
      <c r="AD349" s="13"/>
      <c r="AG349" s="13"/>
      <c r="AH349" s="13"/>
      <c r="AK349" s="13"/>
      <c r="AL349" s="13"/>
      <c r="AO349" s="13"/>
      <c r="AP349" s="13"/>
      <c r="AS349" s="13"/>
      <c r="AT349" s="13"/>
      <c r="AW349" s="13"/>
      <c r="AX349" s="13"/>
      <c r="BA349" s="13"/>
      <c r="BB349" s="13"/>
      <c r="BH349" s="16"/>
      <c r="CD349" s="16"/>
    </row>
    <row r="350" spans="12:82" x14ac:dyDescent="0.25">
      <c r="L350" s="14"/>
      <c r="P350" s="14"/>
      <c r="U350" s="13"/>
      <c r="V350" s="13"/>
      <c r="Y350" s="13"/>
      <c r="Z350" s="13"/>
      <c r="AC350" s="13"/>
      <c r="AD350" s="13"/>
      <c r="AG350" s="13"/>
      <c r="AH350" s="13"/>
      <c r="AK350" s="13"/>
      <c r="AL350" s="13"/>
      <c r="AO350" s="13"/>
      <c r="AP350" s="13"/>
      <c r="AS350" s="13"/>
      <c r="AT350" s="13"/>
      <c r="AW350" s="13"/>
      <c r="AX350" s="13"/>
      <c r="BA350" s="13"/>
      <c r="BB350" s="13"/>
      <c r="BH350" s="16"/>
      <c r="CD350" s="16"/>
    </row>
    <row r="351" spans="12:82" x14ac:dyDescent="0.25">
      <c r="L351" s="14"/>
      <c r="P351" s="14"/>
      <c r="U351" s="13"/>
      <c r="V351" s="13"/>
      <c r="Y351" s="13"/>
      <c r="Z351" s="13"/>
      <c r="AC351" s="13"/>
      <c r="AD351" s="13"/>
      <c r="AG351" s="13"/>
      <c r="AH351" s="13"/>
      <c r="AK351" s="13"/>
      <c r="AL351" s="13"/>
      <c r="AO351" s="13"/>
      <c r="AP351" s="13"/>
      <c r="AS351" s="13"/>
      <c r="AT351" s="13"/>
      <c r="AW351" s="13"/>
      <c r="AX351" s="13"/>
      <c r="BA351" s="13"/>
      <c r="BB351" s="13"/>
      <c r="BH351" s="16"/>
      <c r="CD351" s="16"/>
    </row>
    <row r="352" spans="12:82" x14ac:dyDescent="0.25">
      <c r="L352" s="14"/>
      <c r="P352" s="14"/>
      <c r="U352" s="13"/>
      <c r="V352" s="13"/>
      <c r="Y352" s="13"/>
      <c r="Z352" s="13"/>
      <c r="AC352" s="13"/>
      <c r="AD352" s="13"/>
      <c r="AG352" s="13"/>
      <c r="AH352" s="13"/>
      <c r="AK352" s="13"/>
      <c r="AL352" s="13"/>
      <c r="AO352" s="13"/>
      <c r="AP352" s="13"/>
      <c r="AS352" s="13"/>
      <c r="AT352" s="13"/>
      <c r="AW352" s="13"/>
      <c r="AX352" s="13"/>
      <c r="BA352" s="13"/>
      <c r="BB352" s="13"/>
      <c r="BH352" s="16"/>
      <c r="CD352" s="16"/>
    </row>
    <row r="353" spans="12:82" x14ac:dyDescent="0.25">
      <c r="L353" s="14"/>
      <c r="P353" s="14"/>
      <c r="U353" s="13"/>
      <c r="V353" s="13"/>
      <c r="Y353" s="13"/>
      <c r="Z353" s="13"/>
      <c r="AC353" s="13"/>
      <c r="AD353" s="13"/>
      <c r="AG353" s="13"/>
      <c r="AH353" s="13"/>
      <c r="AK353" s="13"/>
      <c r="AL353" s="13"/>
      <c r="AO353" s="13"/>
      <c r="AP353" s="13"/>
      <c r="AS353" s="13"/>
      <c r="AT353" s="13"/>
      <c r="AW353" s="13"/>
      <c r="AX353" s="13"/>
      <c r="BA353" s="13"/>
      <c r="BB353" s="13"/>
      <c r="BH353" s="16"/>
      <c r="CD353" s="16"/>
    </row>
    <row r="354" spans="12:82" x14ac:dyDescent="0.25">
      <c r="L354" s="14"/>
      <c r="P354" s="14"/>
      <c r="U354" s="13"/>
      <c r="V354" s="13"/>
      <c r="Y354" s="13"/>
      <c r="Z354" s="13"/>
      <c r="AC354" s="13"/>
      <c r="AD354" s="13"/>
      <c r="AG354" s="13"/>
      <c r="AH354" s="13"/>
      <c r="AK354" s="13"/>
      <c r="AL354" s="13"/>
      <c r="AO354" s="13"/>
      <c r="AP354" s="13"/>
      <c r="AS354" s="13"/>
      <c r="AT354" s="13"/>
      <c r="AW354" s="13"/>
      <c r="AX354" s="13"/>
      <c r="BA354" s="13"/>
      <c r="BB354" s="13"/>
      <c r="BH354" s="16"/>
      <c r="CD354" s="16"/>
    </row>
    <row r="355" spans="12:82" x14ac:dyDescent="0.25">
      <c r="L355" s="14"/>
      <c r="P355" s="14"/>
      <c r="U355" s="13"/>
      <c r="V355" s="13"/>
      <c r="Y355" s="13"/>
      <c r="Z355" s="13"/>
      <c r="AC355" s="13"/>
      <c r="AD355" s="13"/>
      <c r="AG355" s="13"/>
      <c r="AH355" s="13"/>
      <c r="AK355" s="13"/>
      <c r="AL355" s="13"/>
      <c r="AO355" s="13"/>
      <c r="AP355" s="13"/>
      <c r="AS355" s="13"/>
      <c r="AT355" s="13"/>
      <c r="AW355" s="13"/>
      <c r="AX355" s="13"/>
      <c r="BA355" s="13"/>
      <c r="BB355" s="13"/>
      <c r="BH355" s="16"/>
      <c r="CD355" s="16"/>
    </row>
    <row r="356" spans="12:82" x14ac:dyDescent="0.25">
      <c r="L356" s="14"/>
      <c r="P356" s="14"/>
      <c r="U356" s="13"/>
      <c r="V356" s="13"/>
      <c r="Y356" s="13"/>
      <c r="Z356" s="13"/>
      <c r="AC356" s="13"/>
      <c r="AD356" s="13"/>
      <c r="AG356" s="13"/>
      <c r="AH356" s="13"/>
      <c r="AK356" s="13"/>
      <c r="AL356" s="13"/>
      <c r="AO356" s="13"/>
      <c r="AP356" s="13"/>
      <c r="AS356" s="13"/>
      <c r="AT356" s="13"/>
      <c r="AW356" s="13"/>
      <c r="AX356" s="13"/>
      <c r="BA356" s="13"/>
      <c r="BB356" s="13"/>
      <c r="BH356" s="16"/>
      <c r="CD356" s="16"/>
    </row>
    <row r="357" spans="12:82" x14ac:dyDescent="0.25">
      <c r="L357" s="14"/>
      <c r="P357" s="14"/>
      <c r="U357" s="13"/>
      <c r="V357" s="13"/>
      <c r="Y357" s="13"/>
      <c r="Z357" s="13"/>
      <c r="AC357" s="13"/>
      <c r="AD357" s="13"/>
      <c r="AG357" s="13"/>
      <c r="AH357" s="13"/>
      <c r="AK357" s="13"/>
      <c r="AL357" s="13"/>
      <c r="AO357" s="13"/>
      <c r="AP357" s="13"/>
      <c r="AS357" s="13"/>
      <c r="AT357" s="13"/>
      <c r="AW357" s="13"/>
      <c r="AX357" s="13"/>
      <c r="BA357" s="13"/>
      <c r="BB357" s="13"/>
      <c r="BH357" s="16"/>
      <c r="CD357" s="16"/>
    </row>
    <row r="358" spans="12:82" x14ac:dyDescent="0.25">
      <c r="L358" s="14"/>
      <c r="P358" s="14"/>
      <c r="U358" s="13"/>
      <c r="V358" s="13"/>
      <c r="Y358" s="13"/>
      <c r="Z358" s="13"/>
      <c r="AC358" s="13"/>
      <c r="AD358" s="13"/>
      <c r="AG358" s="13"/>
      <c r="AH358" s="13"/>
      <c r="AK358" s="13"/>
      <c r="AL358" s="13"/>
      <c r="AO358" s="13"/>
      <c r="AP358" s="13"/>
      <c r="AS358" s="13"/>
      <c r="AT358" s="13"/>
      <c r="AW358" s="13"/>
      <c r="AX358" s="13"/>
      <c r="BA358" s="13"/>
      <c r="BB358" s="13"/>
      <c r="BH358" s="16"/>
      <c r="CD358" s="16"/>
    </row>
    <row r="359" spans="12:82" x14ac:dyDescent="0.25">
      <c r="L359" s="14"/>
      <c r="P359" s="14"/>
      <c r="U359" s="13"/>
      <c r="V359" s="13"/>
      <c r="Y359" s="13"/>
      <c r="Z359" s="13"/>
      <c r="AC359" s="13"/>
      <c r="AD359" s="13"/>
      <c r="AG359" s="13"/>
      <c r="AH359" s="13"/>
      <c r="AK359" s="13"/>
      <c r="AL359" s="13"/>
      <c r="AO359" s="13"/>
      <c r="AP359" s="13"/>
      <c r="AS359" s="13"/>
      <c r="AT359" s="13"/>
      <c r="AW359" s="13"/>
      <c r="AX359" s="13"/>
      <c r="BA359" s="13"/>
      <c r="BB359" s="13"/>
      <c r="BH359" s="16"/>
      <c r="CD359" s="16"/>
    </row>
    <row r="360" spans="12:82" x14ac:dyDescent="0.25">
      <c r="L360" s="14"/>
      <c r="P360" s="14"/>
      <c r="U360" s="13"/>
      <c r="V360" s="13"/>
      <c r="Y360" s="13"/>
      <c r="Z360" s="13"/>
      <c r="AC360" s="13"/>
      <c r="AD360" s="13"/>
      <c r="AG360" s="13"/>
      <c r="AH360" s="13"/>
      <c r="AK360" s="13"/>
      <c r="AL360" s="13"/>
      <c r="AO360" s="13"/>
      <c r="AP360" s="13"/>
      <c r="AS360" s="13"/>
      <c r="AT360" s="13"/>
      <c r="AW360" s="13"/>
      <c r="AX360" s="13"/>
      <c r="BA360" s="13"/>
      <c r="BB360" s="13"/>
      <c r="BH360" s="16"/>
      <c r="CD360" s="16"/>
    </row>
    <row r="361" spans="12:82" x14ac:dyDescent="0.25">
      <c r="L361" s="14"/>
      <c r="P361" s="14"/>
      <c r="U361" s="13"/>
      <c r="V361" s="13"/>
      <c r="Y361" s="13"/>
      <c r="Z361" s="13"/>
      <c r="AC361" s="13"/>
      <c r="AD361" s="13"/>
      <c r="AG361" s="13"/>
      <c r="AH361" s="13"/>
      <c r="AK361" s="13"/>
      <c r="AL361" s="13"/>
      <c r="AO361" s="13"/>
      <c r="AP361" s="13"/>
      <c r="AS361" s="13"/>
      <c r="AT361" s="13"/>
      <c r="AW361" s="13"/>
      <c r="AX361" s="13"/>
      <c r="BA361" s="13"/>
      <c r="BB361" s="13"/>
      <c r="BH361" s="16"/>
      <c r="CD361" s="16"/>
    </row>
    <row r="362" spans="12:82" x14ac:dyDescent="0.25">
      <c r="L362" s="14"/>
      <c r="P362" s="14"/>
      <c r="U362" s="13"/>
      <c r="V362" s="13"/>
      <c r="Y362" s="13"/>
      <c r="Z362" s="13"/>
      <c r="AC362" s="13"/>
      <c r="AD362" s="13"/>
      <c r="AG362" s="13"/>
      <c r="AH362" s="13"/>
      <c r="AK362" s="13"/>
      <c r="AL362" s="13"/>
      <c r="AO362" s="13"/>
      <c r="AP362" s="13"/>
      <c r="AS362" s="13"/>
      <c r="AT362" s="13"/>
      <c r="AW362" s="13"/>
      <c r="AX362" s="13"/>
      <c r="BA362" s="13"/>
      <c r="BB362" s="13"/>
      <c r="BH362" s="16"/>
      <c r="CD362" s="16"/>
    </row>
    <row r="363" spans="12:82" x14ac:dyDescent="0.25">
      <c r="L363" s="14"/>
      <c r="P363" s="14"/>
      <c r="U363" s="13"/>
      <c r="V363" s="13"/>
      <c r="Y363" s="13"/>
      <c r="Z363" s="13"/>
      <c r="AC363" s="13"/>
      <c r="AD363" s="13"/>
      <c r="AG363" s="13"/>
      <c r="AH363" s="13"/>
      <c r="AK363" s="13"/>
      <c r="AL363" s="13"/>
      <c r="AO363" s="13"/>
      <c r="AP363" s="13"/>
      <c r="AS363" s="13"/>
      <c r="AT363" s="13"/>
      <c r="AW363" s="13"/>
      <c r="AX363" s="13"/>
      <c r="BA363" s="13"/>
      <c r="BB363" s="13"/>
      <c r="BH363" s="16"/>
      <c r="CD363" s="16"/>
    </row>
    <row r="364" spans="12:82" x14ac:dyDescent="0.25">
      <c r="L364" s="14"/>
      <c r="P364" s="14"/>
      <c r="U364" s="13"/>
      <c r="V364" s="13"/>
      <c r="Y364" s="13"/>
      <c r="Z364" s="13"/>
      <c r="AC364" s="13"/>
      <c r="AD364" s="13"/>
      <c r="AG364" s="13"/>
      <c r="AH364" s="13"/>
      <c r="AK364" s="13"/>
      <c r="AL364" s="13"/>
      <c r="AO364" s="13"/>
      <c r="AP364" s="13"/>
      <c r="AS364" s="13"/>
      <c r="AT364" s="13"/>
      <c r="AW364" s="13"/>
      <c r="AX364" s="13"/>
      <c r="BA364" s="13"/>
      <c r="BB364" s="13"/>
      <c r="BH364" s="16"/>
      <c r="CD364" s="16"/>
    </row>
    <row r="365" spans="12:82" x14ac:dyDescent="0.25">
      <c r="L365" s="14"/>
      <c r="P365" s="14"/>
      <c r="U365" s="13"/>
      <c r="V365" s="13"/>
      <c r="Y365" s="13"/>
      <c r="Z365" s="13"/>
      <c r="AC365" s="13"/>
      <c r="AD365" s="13"/>
      <c r="AG365" s="13"/>
      <c r="AH365" s="13"/>
      <c r="AK365" s="13"/>
      <c r="AL365" s="13"/>
      <c r="AO365" s="13"/>
      <c r="AP365" s="13"/>
      <c r="AS365" s="13"/>
      <c r="AT365" s="13"/>
      <c r="AW365" s="13"/>
      <c r="AX365" s="13"/>
      <c r="BA365" s="13"/>
      <c r="BB365" s="13"/>
      <c r="BH365" s="16"/>
      <c r="CD365" s="16"/>
    </row>
    <row r="366" spans="12:82" x14ac:dyDescent="0.25">
      <c r="L366" s="14"/>
      <c r="P366" s="14"/>
      <c r="U366" s="13"/>
      <c r="V366" s="13"/>
      <c r="Y366" s="13"/>
      <c r="Z366" s="13"/>
      <c r="AC366" s="13"/>
      <c r="AD366" s="13"/>
      <c r="AG366" s="13"/>
      <c r="AH366" s="13"/>
      <c r="AK366" s="13"/>
      <c r="AL366" s="13"/>
      <c r="AO366" s="13"/>
      <c r="AP366" s="13"/>
      <c r="AS366" s="13"/>
      <c r="AT366" s="13"/>
      <c r="AW366" s="13"/>
      <c r="AX366" s="13"/>
      <c r="BA366" s="13"/>
      <c r="BB366" s="13"/>
      <c r="BH366" s="16"/>
      <c r="CD366" s="16"/>
    </row>
    <row r="367" spans="12:82" x14ac:dyDescent="0.25">
      <c r="L367" s="14"/>
      <c r="P367" s="14"/>
      <c r="U367" s="13"/>
      <c r="V367" s="13"/>
      <c r="Y367" s="13"/>
      <c r="Z367" s="13"/>
      <c r="AC367" s="13"/>
      <c r="AD367" s="13"/>
      <c r="AG367" s="13"/>
      <c r="AH367" s="13"/>
      <c r="AK367" s="13"/>
      <c r="AL367" s="13"/>
      <c r="AO367" s="13"/>
      <c r="AP367" s="13"/>
      <c r="AS367" s="13"/>
      <c r="AT367" s="13"/>
      <c r="AW367" s="13"/>
      <c r="AX367" s="13"/>
      <c r="BA367" s="13"/>
      <c r="BB367" s="13"/>
      <c r="BH367" s="16"/>
      <c r="CD367" s="16"/>
    </row>
    <row r="368" spans="12:82" x14ac:dyDescent="0.25">
      <c r="L368" s="14"/>
      <c r="P368" s="14"/>
      <c r="U368" s="13"/>
      <c r="V368" s="13"/>
      <c r="Y368" s="13"/>
      <c r="Z368" s="13"/>
      <c r="AC368" s="13"/>
      <c r="AD368" s="13"/>
      <c r="AG368" s="13"/>
      <c r="AH368" s="13"/>
      <c r="AK368" s="13"/>
      <c r="AL368" s="13"/>
      <c r="AO368" s="13"/>
      <c r="AP368" s="13"/>
      <c r="AS368" s="13"/>
      <c r="AT368" s="13"/>
      <c r="AW368" s="13"/>
      <c r="AX368" s="13"/>
      <c r="BA368" s="13"/>
      <c r="BB368" s="13"/>
      <c r="BH368" s="16"/>
      <c r="CD368" s="16"/>
    </row>
    <row r="369" spans="12:82" x14ac:dyDescent="0.25">
      <c r="L369" s="14"/>
      <c r="P369" s="14"/>
      <c r="U369" s="13"/>
      <c r="V369" s="13"/>
      <c r="Y369" s="13"/>
      <c r="Z369" s="13"/>
      <c r="AC369" s="13"/>
      <c r="AD369" s="13"/>
      <c r="AG369" s="13"/>
      <c r="AH369" s="13"/>
      <c r="AK369" s="13"/>
      <c r="AL369" s="13"/>
      <c r="AO369" s="13"/>
      <c r="AP369" s="13"/>
      <c r="AS369" s="13"/>
      <c r="AT369" s="13"/>
      <c r="AW369" s="13"/>
      <c r="AX369" s="13"/>
      <c r="BA369" s="13"/>
      <c r="BB369" s="13"/>
      <c r="BH369" s="16"/>
      <c r="CD369" s="16"/>
    </row>
    <row r="370" spans="12:82" x14ac:dyDescent="0.25">
      <c r="L370" s="14"/>
      <c r="P370" s="14"/>
      <c r="U370" s="13"/>
      <c r="V370" s="13"/>
      <c r="Y370" s="13"/>
      <c r="Z370" s="13"/>
      <c r="AC370" s="13"/>
      <c r="AD370" s="13"/>
      <c r="AG370" s="13"/>
      <c r="AH370" s="13"/>
      <c r="AK370" s="13"/>
      <c r="AL370" s="13"/>
      <c r="AO370" s="13"/>
      <c r="AP370" s="13"/>
      <c r="AS370" s="13"/>
      <c r="AT370" s="13"/>
      <c r="AW370" s="13"/>
      <c r="AX370" s="13"/>
      <c r="BA370" s="13"/>
      <c r="BB370" s="13"/>
      <c r="BH370" s="16"/>
      <c r="CD370" s="16"/>
    </row>
    <row r="371" spans="12:82" x14ac:dyDescent="0.25">
      <c r="L371" s="14"/>
      <c r="P371" s="14"/>
      <c r="U371" s="13"/>
      <c r="V371" s="13"/>
      <c r="Y371" s="13"/>
      <c r="Z371" s="13"/>
      <c r="AC371" s="13"/>
      <c r="AD371" s="13"/>
      <c r="AG371" s="13"/>
      <c r="AH371" s="13"/>
      <c r="AK371" s="13"/>
      <c r="AL371" s="13"/>
      <c r="AO371" s="13"/>
      <c r="AP371" s="13"/>
      <c r="AS371" s="13"/>
      <c r="AT371" s="13"/>
      <c r="AW371" s="13"/>
      <c r="AX371" s="13"/>
      <c r="BA371" s="13"/>
      <c r="BB371" s="13"/>
      <c r="BH371" s="16"/>
      <c r="CD371" s="16"/>
    </row>
    <row r="372" spans="12:82" x14ac:dyDescent="0.25">
      <c r="L372" s="14"/>
      <c r="P372" s="14"/>
      <c r="U372" s="13"/>
      <c r="V372" s="13"/>
      <c r="Y372" s="13"/>
      <c r="Z372" s="13"/>
      <c r="AC372" s="13"/>
      <c r="AD372" s="13"/>
      <c r="AG372" s="13"/>
      <c r="AH372" s="13"/>
      <c r="AK372" s="13"/>
      <c r="AL372" s="13"/>
      <c r="AO372" s="13"/>
      <c r="AP372" s="13"/>
      <c r="AS372" s="13"/>
      <c r="AT372" s="13"/>
      <c r="AW372" s="13"/>
      <c r="AX372" s="13"/>
      <c r="BA372" s="13"/>
      <c r="BB372" s="13"/>
      <c r="BH372" s="16"/>
      <c r="CD372" s="16"/>
    </row>
    <row r="373" spans="12:82" x14ac:dyDescent="0.25">
      <c r="L373" s="14"/>
      <c r="P373" s="14"/>
      <c r="U373" s="13"/>
      <c r="V373" s="13"/>
      <c r="Y373" s="13"/>
      <c r="Z373" s="13"/>
      <c r="AC373" s="13"/>
      <c r="AD373" s="13"/>
      <c r="AG373" s="13"/>
      <c r="AH373" s="13"/>
      <c r="AK373" s="13"/>
      <c r="AL373" s="13"/>
      <c r="AO373" s="13"/>
      <c r="AP373" s="13"/>
      <c r="AS373" s="13"/>
      <c r="AT373" s="13"/>
      <c r="AW373" s="13"/>
      <c r="AX373" s="13"/>
      <c r="BA373" s="13"/>
      <c r="BB373" s="13"/>
      <c r="BH373" s="16"/>
      <c r="CD373" s="16"/>
    </row>
    <row r="374" spans="12:82" x14ac:dyDescent="0.25">
      <c r="L374" s="14"/>
      <c r="P374" s="14"/>
      <c r="U374" s="13"/>
      <c r="V374" s="13"/>
      <c r="Y374" s="13"/>
      <c r="Z374" s="13"/>
      <c r="AC374" s="13"/>
      <c r="AD374" s="13"/>
      <c r="AG374" s="13"/>
      <c r="AH374" s="13"/>
      <c r="AK374" s="13"/>
      <c r="AL374" s="13"/>
      <c r="AO374" s="13"/>
      <c r="AP374" s="13"/>
      <c r="AS374" s="13"/>
      <c r="AT374" s="13"/>
      <c r="AW374" s="13"/>
      <c r="AX374" s="13"/>
      <c r="BA374" s="13"/>
      <c r="BB374" s="13"/>
      <c r="BH374" s="16"/>
      <c r="CD374" s="16"/>
    </row>
    <row r="375" spans="12:82" x14ac:dyDescent="0.25">
      <c r="L375" s="14"/>
      <c r="P375" s="14"/>
      <c r="U375" s="13"/>
      <c r="V375" s="13"/>
      <c r="Y375" s="13"/>
      <c r="Z375" s="13"/>
      <c r="AC375" s="13"/>
      <c r="AD375" s="13"/>
      <c r="AG375" s="13"/>
      <c r="AH375" s="13"/>
      <c r="AK375" s="13"/>
      <c r="AL375" s="13"/>
      <c r="AO375" s="13"/>
      <c r="AP375" s="13"/>
      <c r="AS375" s="13"/>
      <c r="AT375" s="13"/>
      <c r="AW375" s="13"/>
      <c r="AX375" s="13"/>
      <c r="BA375" s="13"/>
      <c r="BB375" s="13"/>
      <c r="BH375" s="16"/>
      <c r="CD375" s="16"/>
    </row>
    <row r="376" spans="12:82" x14ac:dyDescent="0.25">
      <c r="L376" s="14"/>
      <c r="P376" s="14"/>
      <c r="U376" s="13"/>
      <c r="V376" s="13"/>
      <c r="Y376" s="13"/>
      <c r="Z376" s="13"/>
      <c r="AC376" s="13"/>
      <c r="AD376" s="13"/>
      <c r="AG376" s="13"/>
      <c r="AH376" s="13"/>
      <c r="AK376" s="13"/>
      <c r="AL376" s="13"/>
      <c r="AO376" s="13"/>
      <c r="AP376" s="13"/>
      <c r="AS376" s="13"/>
      <c r="AT376" s="13"/>
      <c r="AW376" s="13"/>
      <c r="AX376" s="13"/>
      <c r="BA376" s="13"/>
      <c r="BB376" s="13"/>
      <c r="BH376" s="16"/>
      <c r="CD376" s="16"/>
    </row>
    <row r="377" spans="12:82" x14ac:dyDescent="0.25">
      <c r="L377" s="14"/>
      <c r="P377" s="14"/>
      <c r="U377" s="13"/>
      <c r="V377" s="13"/>
      <c r="Y377" s="13"/>
      <c r="Z377" s="13"/>
      <c r="AC377" s="13"/>
      <c r="AD377" s="13"/>
      <c r="AG377" s="13"/>
      <c r="AH377" s="13"/>
      <c r="AK377" s="13"/>
      <c r="AL377" s="13"/>
      <c r="AO377" s="13"/>
      <c r="AP377" s="13"/>
      <c r="AS377" s="13"/>
      <c r="AT377" s="13"/>
      <c r="AW377" s="13"/>
      <c r="AX377" s="13"/>
      <c r="BA377" s="13"/>
      <c r="BB377" s="13"/>
      <c r="BH377" s="16"/>
      <c r="CD377" s="16"/>
    </row>
    <row r="378" spans="12:82" x14ac:dyDescent="0.25">
      <c r="L378" s="14"/>
      <c r="P378" s="14"/>
      <c r="U378" s="13"/>
      <c r="V378" s="13"/>
      <c r="Y378" s="13"/>
      <c r="Z378" s="13"/>
      <c r="AC378" s="13"/>
      <c r="AD378" s="13"/>
      <c r="AG378" s="13"/>
      <c r="AH378" s="13"/>
      <c r="AK378" s="13"/>
      <c r="AL378" s="13"/>
      <c r="AO378" s="13"/>
      <c r="AP378" s="13"/>
      <c r="AS378" s="13"/>
      <c r="AT378" s="13"/>
      <c r="AW378" s="13"/>
      <c r="AX378" s="13"/>
      <c r="BA378" s="13"/>
      <c r="BB378" s="13"/>
      <c r="BH378" s="16"/>
      <c r="CD378" s="16"/>
    </row>
    <row r="379" spans="12:82" x14ac:dyDescent="0.25">
      <c r="L379" s="14"/>
      <c r="P379" s="14"/>
      <c r="U379" s="13"/>
      <c r="V379" s="13"/>
      <c r="Y379" s="13"/>
      <c r="Z379" s="13"/>
      <c r="AC379" s="13"/>
      <c r="AD379" s="13"/>
      <c r="AG379" s="13"/>
      <c r="AH379" s="13"/>
      <c r="AK379" s="13"/>
      <c r="AL379" s="13"/>
      <c r="AO379" s="13"/>
      <c r="AP379" s="13"/>
      <c r="AS379" s="13"/>
      <c r="AT379" s="13"/>
      <c r="AW379" s="13"/>
      <c r="AX379" s="13"/>
      <c r="BA379" s="13"/>
      <c r="BB379" s="13"/>
      <c r="BH379" s="16"/>
      <c r="CD379" s="16"/>
    </row>
    <row r="380" spans="12:82" x14ac:dyDescent="0.25">
      <c r="L380" s="14"/>
      <c r="P380" s="14"/>
      <c r="U380" s="13"/>
      <c r="V380" s="13"/>
      <c r="Y380" s="13"/>
      <c r="Z380" s="13"/>
      <c r="AC380" s="13"/>
      <c r="AD380" s="13"/>
      <c r="AG380" s="13"/>
      <c r="AH380" s="13"/>
      <c r="AK380" s="13"/>
      <c r="AL380" s="13"/>
      <c r="AO380" s="13"/>
      <c r="AP380" s="13"/>
      <c r="AS380" s="13"/>
      <c r="AT380" s="13"/>
      <c r="AW380" s="13"/>
      <c r="AX380" s="13"/>
      <c r="BA380" s="13"/>
      <c r="BB380" s="13"/>
      <c r="BH380" s="16"/>
      <c r="CD380" s="16"/>
    </row>
    <row r="381" spans="12:82" x14ac:dyDescent="0.25">
      <c r="L381" s="14"/>
      <c r="P381" s="14"/>
      <c r="U381" s="13"/>
      <c r="V381" s="13"/>
      <c r="Y381" s="13"/>
      <c r="Z381" s="13"/>
      <c r="AC381" s="13"/>
      <c r="AD381" s="13"/>
      <c r="AG381" s="13"/>
      <c r="AH381" s="13"/>
      <c r="AK381" s="13"/>
      <c r="AL381" s="13"/>
      <c r="AO381" s="13"/>
      <c r="AP381" s="13"/>
      <c r="AS381" s="13"/>
      <c r="AT381" s="13"/>
      <c r="AW381" s="13"/>
      <c r="AX381" s="13"/>
      <c r="BA381" s="13"/>
      <c r="BB381" s="13"/>
      <c r="BH381" s="16"/>
      <c r="CD381" s="16"/>
    </row>
    <row r="382" spans="12:82" x14ac:dyDescent="0.25">
      <c r="L382" s="14"/>
      <c r="P382" s="14"/>
      <c r="U382" s="13"/>
      <c r="V382" s="13"/>
      <c r="Y382" s="13"/>
      <c r="Z382" s="13"/>
      <c r="AC382" s="13"/>
      <c r="AD382" s="13"/>
      <c r="AG382" s="13"/>
      <c r="AH382" s="13"/>
      <c r="AK382" s="13"/>
      <c r="AL382" s="13"/>
      <c r="AO382" s="13"/>
      <c r="AP382" s="13"/>
      <c r="AS382" s="13"/>
      <c r="AT382" s="13"/>
      <c r="AW382" s="13"/>
      <c r="AX382" s="13"/>
      <c r="BA382" s="13"/>
      <c r="BB382" s="13"/>
      <c r="BH382" s="16"/>
      <c r="CD382" s="16"/>
    </row>
    <row r="383" spans="12:82" x14ac:dyDescent="0.25">
      <c r="L383" s="14"/>
      <c r="P383" s="14"/>
      <c r="U383" s="13"/>
      <c r="V383" s="13"/>
      <c r="Y383" s="13"/>
      <c r="Z383" s="13"/>
      <c r="AC383" s="13"/>
      <c r="AD383" s="13"/>
      <c r="AG383" s="13"/>
      <c r="AH383" s="13"/>
      <c r="AK383" s="13"/>
      <c r="AL383" s="13"/>
      <c r="AO383" s="13"/>
      <c r="AP383" s="13"/>
      <c r="AS383" s="13"/>
      <c r="AT383" s="13"/>
      <c r="AW383" s="13"/>
      <c r="AX383" s="13"/>
      <c r="BA383" s="13"/>
      <c r="BB383" s="13"/>
      <c r="BH383" s="16"/>
      <c r="CD383" s="16"/>
    </row>
    <row r="384" spans="12:82" x14ac:dyDescent="0.25">
      <c r="L384" s="14"/>
      <c r="P384" s="14"/>
      <c r="U384" s="13"/>
      <c r="V384" s="13"/>
      <c r="Y384" s="13"/>
      <c r="Z384" s="13"/>
      <c r="AC384" s="13"/>
      <c r="AD384" s="13"/>
      <c r="AG384" s="13"/>
      <c r="AH384" s="13"/>
      <c r="AK384" s="13"/>
      <c r="AL384" s="13"/>
      <c r="AO384" s="13"/>
      <c r="AP384" s="13"/>
      <c r="AS384" s="13"/>
      <c r="AT384" s="13"/>
      <c r="AW384" s="13"/>
      <c r="AX384" s="13"/>
      <c r="BA384" s="13"/>
      <c r="BB384" s="13"/>
      <c r="BH384" s="16"/>
      <c r="CD384" s="16"/>
    </row>
    <row r="385" spans="12:82" x14ac:dyDescent="0.25">
      <c r="L385" s="14"/>
      <c r="P385" s="14"/>
      <c r="U385" s="13"/>
      <c r="V385" s="13"/>
      <c r="Y385" s="13"/>
      <c r="Z385" s="13"/>
      <c r="AC385" s="13"/>
      <c r="AD385" s="13"/>
      <c r="AG385" s="13"/>
      <c r="AH385" s="13"/>
      <c r="AK385" s="13"/>
      <c r="AL385" s="13"/>
      <c r="AO385" s="13"/>
      <c r="AP385" s="13"/>
      <c r="AS385" s="13"/>
      <c r="AT385" s="13"/>
      <c r="AW385" s="13"/>
      <c r="AX385" s="13"/>
      <c r="BA385" s="13"/>
      <c r="BB385" s="13"/>
      <c r="BH385" s="16"/>
      <c r="CD385" s="16"/>
    </row>
    <row r="386" spans="12:82" x14ac:dyDescent="0.25">
      <c r="L386" s="14"/>
      <c r="P386" s="14"/>
      <c r="U386" s="13"/>
      <c r="V386" s="13"/>
      <c r="Y386" s="13"/>
      <c r="Z386" s="13"/>
      <c r="AC386" s="13"/>
      <c r="AD386" s="13"/>
      <c r="AG386" s="13"/>
      <c r="AH386" s="13"/>
      <c r="AK386" s="13"/>
      <c r="AL386" s="13"/>
      <c r="AO386" s="13"/>
      <c r="AP386" s="13"/>
      <c r="AS386" s="13"/>
      <c r="AT386" s="13"/>
      <c r="AW386" s="13"/>
      <c r="AX386" s="13"/>
      <c r="BA386" s="13"/>
      <c r="BB386" s="13"/>
      <c r="BH386" s="16"/>
      <c r="CD386" s="16"/>
    </row>
    <row r="387" spans="12:82" x14ac:dyDescent="0.25">
      <c r="L387" s="14"/>
      <c r="P387" s="14"/>
      <c r="U387" s="13"/>
      <c r="V387" s="13"/>
      <c r="Y387" s="13"/>
      <c r="Z387" s="13"/>
      <c r="AC387" s="13"/>
      <c r="AD387" s="13"/>
      <c r="AG387" s="13"/>
      <c r="AH387" s="13"/>
      <c r="AK387" s="13"/>
      <c r="AL387" s="13"/>
      <c r="AO387" s="13"/>
      <c r="AP387" s="13"/>
      <c r="AS387" s="13"/>
      <c r="AT387" s="13"/>
      <c r="AW387" s="13"/>
      <c r="AX387" s="13"/>
      <c r="BA387" s="13"/>
      <c r="BB387" s="13"/>
      <c r="BH387" s="16"/>
      <c r="CD387" s="16"/>
    </row>
    <row r="388" spans="12:82" x14ac:dyDescent="0.25">
      <c r="L388" s="14"/>
      <c r="P388" s="14"/>
      <c r="U388" s="13"/>
      <c r="V388" s="13"/>
      <c r="Y388" s="13"/>
      <c r="Z388" s="13"/>
      <c r="AC388" s="13"/>
      <c r="AD388" s="13"/>
      <c r="AG388" s="13"/>
      <c r="AH388" s="13"/>
      <c r="AK388" s="13"/>
      <c r="AL388" s="13"/>
      <c r="AO388" s="13"/>
      <c r="AP388" s="13"/>
      <c r="AS388" s="13"/>
      <c r="AT388" s="13"/>
      <c r="AW388" s="13"/>
      <c r="AX388" s="13"/>
      <c r="BA388" s="13"/>
      <c r="BB388" s="13"/>
      <c r="BH388" s="16"/>
      <c r="CD388" s="16"/>
    </row>
    <row r="389" spans="12:82" x14ac:dyDescent="0.25">
      <c r="L389" s="14"/>
      <c r="P389" s="14"/>
      <c r="U389" s="13"/>
      <c r="V389" s="13"/>
      <c r="Y389" s="13"/>
      <c r="Z389" s="13"/>
      <c r="AC389" s="13"/>
      <c r="AD389" s="13"/>
      <c r="AG389" s="13"/>
      <c r="AH389" s="13"/>
      <c r="AK389" s="13"/>
      <c r="AL389" s="13"/>
      <c r="AO389" s="13"/>
      <c r="AP389" s="13"/>
      <c r="AS389" s="13"/>
      <c r="AT389" s="13"/>
      <c r="AW389" s="13"/>
      <c r="AX389" s="13"/>
      <c r="BA389" s="13"/>
      <c r="BB389" s="13"/>
      <c r="BH389" s="16"/>
      <c r="CD389" s="16"/>
    </row>
    <row r="390" spans="12:82" x14ac:dyDescent="0.25">
      <c r="L390" s="14"/>
      <c r="P390" s="14"/>
      <c r="U390" s="13"/>
      <c r="V390" s="13"/>
      <c r="Y390" s="13"/>
      <c r="Z390" s="13"/>
      <c r="AC390" s="13"/>
      <c r="AD390" s="13"/>
      <c r="AG390" s="13"/>
      <c r="AH390" s="13"/>
      <c r="AK390" s="13"/>
      <c r="AL390" s="13"/>
      <c r="AO390" s="13"/>
      <c r="AP390" s="13"/>
      <c r="AS390" s="13"/>
      <c r="AT390" s="13"/>
      <c r="AW390" s="13"/>
      <c r="AX390" s="13"/>
      <c r="BA390" s="13"/>
      <c r="BB390" s="13"/>
      <c r="BH390" s="16"/>
      <c r="CD390" s="16"/>
    </row>
    <row r="391" spans="12:82" x14ac:dyDescent="0.25">
      <c r="L391" s="14"/>
      <c r="P391" s="14"/>
      <c r="U391" s="13"/>
      <c r="V391" s="13"/>
      <c r="Y391" s="13"/>
      <c r="Z391" s="13"/>
      <c r="AC391" s="13"/>
      <c r="AD391" s="13"/>
      <c r="AG391" s="13"/>
      <c r="AH391" s="13"/>
      <c r="AK391" s="13"/>
      <c r="AL391" s="13"/>
      <c r="AO391" s="13"/>
      <c r="AP391" s="13"/>
      <c r="AS391" s="13"/>
      <c r="AT391" s="13"/>
      <c r="AW391" s="13"/>
      <c r="AX391" s="13"/>
      <c r="BA391" s="13"/>
      <c r="BB391" s="13"/>
      <c r="BH391" s="16"/>
      <c r="CD391" s="16"/>
    </row>
    <row r="392" spans="12:82" x14ac:dyDescent="0.25">
      <c r="L392" s="14"/>
      <c r="P392" s="14"/>
      <c r="U392" s="13"/>
      <c r="V392" s="13"/>
      <c r="Y392" s="13"/>
      <c r="Z392" s="13"/>
      <c r="AC392" s="13"/>
      <c r="AD392" s="13"/>
      <c r="AG392" s="13"/>
      <c r="AH392" s="13"/>
      <c r="AK392" s="13"/>
      <c r="AL392" s="13"/>
      <c r="AO392" s="13"/>
      <c r="AP392" s="13"/>
      <c r="AS392" s="13"/>
      <c r="AT392" s="13"/>
      <c r="AW392" s="13"/>
      <c r="AX392" s="13"/>
      <c r="BA392" s="13"/>
      <c r="BB392" s="13"/>
      <c r="BH392" s="16"/>
      <c r="CD392" s="16"/>
    </row>
    <row r="393" spans="12:82" x14ac:dyDescent="0.25">
      <c r="L393" s="14"/>
      <c r="P393" s="14"/>
      <c r="U393" s="13"/>
      <c r="V393" s="13"/>
      <c r="Y393" s="13"/>
      <c r="Z393" s="13"/>
      <c r="AC393" s="13"/>
      <c r="AD393" s="13"/>
      <c r="AG393" s="13"/>
      <c r="AH393" s="13"/>
      <c r="AK393" s="13"/>
      <c r="AL393" s="13"/>
      <c r="AO393" s="13"/>
      <c r="AP393" s="13"/>
      <c r="AS393" s="13"/>
      <c r="AT393" s="13"/>
      <c r="AW393" s="13"/>
      <c r="AX393" s="13"/>
      <c r="BA393" s="13"/>
      <c r="BB393" s="13"/>
      <c r="BH393" s="16"/>
      <c r="CD393" s="16"/>
    </row>
    <row r="394" spans="12:82" x14ac:dyDescent="0.25">
      <c r="L394" s="14"/>
      <c r="P394" s="14"/>
      <c r="U394" s="13"/>
      <c r="V394" s="13"/>
      <c r="Y394" s="13"/>
      <c r="Z394" s="13"/>
      <c r="AC394" s="13"/>
      <c r="AD394" s="13"/>
      <c r="AG394" s="13"/>
      <c r="AH394" s="13"/>
      <c r="AK394" s="13"/>
      <c r="AL394" s="13"/>
      <c r="AO394" s="13"/>
      <c r="AP394" s="13"/>
      <c r="AS394" s="13"/>
      <c r="AT394" s="13"/>
      <c r="AW394" s="13"/>
      <c r="AX394" s="13"/>
      <c r="BA394" s="13"/>
      <c r="BB394" s="13"/>
      <c r="BH394" s="16"/>
      <c r="CD394" s="16"/>
    </row>
    <row r="395" spans="12:82" x14ac:dyDescent="0.25">
      <c r="L395" s="14"/>
      <c r="P395" s="14"/>
      <c r="U395" s="13"/>
      <c r="V395" s="13"/>
      <c r="Y395" s="13"/>
      <c r="Z395" s="13"/>
      <c r="AC395" s="13"/>
      <c r="AD395" s="13"/>
      <c r="AG395" s="13"/>
      <c r="AH395" s="13"/>
      <c r="AK395" s="13"/>
      <c r="AL395" s="13"/>
      <c r="AO395" s="13"/>
      <c r="AP395" s="13"/>
      <c r="AS395" s="13"/>
      <c r="AT395" s="13"/>
      <c r="AW395" s="13"/>
      <c r="AX395" s="13"/>
      <c r="BA395" s="13"/>
      <c r="BB395" s="13"/>
      <c r="BH395" s="16"/>
      <c r="CD395" s="16"/>
    </row>
    <row r="396" spans="12:82" x14ac:dyDescent="0.25">
      <c r="L396" s="14"/>
      <c r="P396" s="14"/>
      <c r="U396" s="13"/>
      <c r="V396" s="13"/>
      <c r="Y396" s="13"/>
      <c r="Z396" s="13"/>
      <c r="AC396" s="13"/>
      <c r="AD396" s="13"/>
      <c r="AG396" s="13"/>
      <c r="AH396" s="13"/>
      <c r="AK396" s="13"/>
      <c r="AL396" s="13"/>
      <c r="AO396" s="13"/>
      <c r="AP396" s="13"/>
      <c r="AS396" s="13"/>
      <c r="AT396" s="13"/>
      <c r="AW396" s="13"/>
      <c r="AX396" s="13"/>
      <c r="BA396" s="13"/>
      <c r="BB396" s="13"/>
      <c r="BH396" s="16"/>
      <c r="CD396" s="16"/>
    </row>
    <row r="397" spans="12:82" x14ac:dyDescent="0.25">
      <c r="L397" s="14"/>
      <c r="P397" s="14"/>
      <c r="U397" s="13"/>
      <c r="V397" s="13"/>
      <c r="Y397" s="13"/>
      <c r="Z397" s="13"/>
      <c r="AC397" s="13"/>
      <c r="AD397" s="13"/>
      <c r="AG397" s="13"/>
      <c r="AH397" s="13"/>
      <c r="AK397" s="13"/>
      <c r="AL397" s="13"/>
      <c r="AO397" s="13"/>
      <c r="AP397" s="13"/>
      <c r="AS397" s="13"/>
      <c r="AT397" s="13"/>
      <c r="AW397" s="13"/>
      <c r="AX397" s="13"/>
      <c r="BA397" s="13"/>
      <c r="BB397" s="13"/>
      <c r="BH397" s="16"/>
      <c r="CD397" s="16"/>
    </row>
    <row r="398" spans="12:82" x14ac:dyDescent="0.25">
      <c r="L398" s="14"/>
      <c r="P398" s="14"/>
      <c r="U398" s="13"/>
      <c r="V398" s="13"/>
      <c r="Y398" s="13"/>
      <c r="Z398" s="13"/>
      <c r="AC398" s="13"/>
      <c r="AD398" s="13"/>
      <c r="AG398" s="13"/>
      <c r="AH398" s="13"/>
      <c r="AK398" s="13"/>
      <c r="AL398" s="13"/>
      <c r="AO398" s="13"/>
      <c r="AP398" s="13"/>
      <c r="AS398" s="13"/>
      <c r="AT398" s="13"/>
      <c r="AW398" s="13"/>
      <c r="AX398" s="13"/>
      <c r="BA398" s="13"/>
      <c r="BB398" s="13"/>
      <c r="BH398" s="16"/>
      <c r="CD398" s="16"/>
    </row>
    <row r="399" spans="12:82" x14ac:dyDescent="0.25">
      <c r="L399" s="14"/>
      <c r="P399" s="14"/>
      <c r="U399" s="13"/>
      <c r="V399" s="13"/>
      <c r="Y399" s="13"/>
      <c r="Z399" s="13"/>
      <c r="AC399" s="13"/>
      <c r="AD399" s="13"/>
      <c r="AG399" s="13"/>
      <c r="AH399" s="13"/>
      <c r="AK399" s="13"/>
      <c r="AL399" s="13"/>
      <c r="AO399" s="13"/>
      <c r="AP399" s="13"/>
      <c r="AS399" s="13"/>
      <c r="AT399" s="13"/>
      <c r="AW399" s="13"/>
      <c r="AX399" s="13"/>
      <c r="BA399" s="13"/>
      <c r="BB399" s="13"/>
      <c r="BH399" s="16"/>
      <c r="CD399" s="16"/>
    </row>
    <row r="400" spans="12:82" x14ac:dyDescent="0.25">
      <c r="L400" s="14"/>
      <c r="P400" s="14"/>
      <c r="U400" s="13"/>
      <c r="V400" s="13"/>
      <c r="Y400" s="13"/>
      <c r="Z400" s="13"/>
      <c r="AC400" s="13"/>
      <c r="AD400" s="13"/>
      <c r="AG400" s="13"/>
      <c r="AH400" s="13"/>
      <c r="AK400" s="13"/>
      <c r="AL400" s="13"/>
      <c r="AO400" s="13"/>
      <c r="AP400" s="13"/>
      <c r="AS400" s="13"/>
      <c r="AT400" s="13"/>
      <c r="AW400" s="13"/>
      <c r="AX400" s="13"/>
      <c r="BA400" s="13"/>
      <c r="BB400" s="13"/>
      <c r="BH400" s="16"/>
      <c r="CD400" s="16"/>
    </row>
    <row r="401" spans="12:82" x14ac:dyDescent="0.25">
      <c r="L401" s="14"/>
      <c r="P401" s="14"/>
      <c r="U401" s="13"/>
      <c r="V401" s="13"/>
      <c r="Y401" s="13"/>
      <c r="Z401" s="13"/>
      <c r="AC401" s="13"/>
      <c r="AD401" s="13"/>
      <c r="AG401" s="13"/>
      <c r="AH401" s="13"/>
      <c r="AK401" s="13"/>
      <c r="AL401" s="13"/>
      <c r="AO401" s="13"/>
      <c r="AP401" s="13"/>
      <c r="AS401" s="13"/>
      <c r="AT401" s="13"/>
      <c r="AW401" s="13"/>
      <c r="AX401" s="13"/>
      <c r="BA401" s="13"/>
      <c r="BB401" s="13"/>
      <c r="BH401" s="16"/>
      <c r="CD401" s="16"/>
    </row>
    <row r="402" spans="12:82" x14ac:dyDescent="0.25">
      <c r="L402" s="14"/>
      <c r="P402" s="14"/>
      <c r="U402" s="13"/>
      <c r="V402" s="13"/>
      <c r="Y402" s="13"/>
      <c r="Z402" s="13"/>
      <c r="AC402" s="13"/>
      <c r="AD402" s="13"/>
      <c r="AG402" s="13"/>
      <c r="AH402" s="13"/>
      <c r="AK402" s="13"/>
      <c r="AL402" s="13"/>
      <c r="AO402" s="13"/>
      <c r="AP402" s="13"/>
      <c r="AS402" s="13"/>
      <c r="AT402" s="13"/>
      <c r="AW402" s="13"/>
      <c r="AX402" s="13"/>
      <c r="BA402" s="13"/>
      <c r="BB402" s="13"/>
      <c r="BH402" s="16"/>
      <c r="CD402" s="16"/>
    </row>
    <row r="403" spans="12:82" x14ac:dyDescent="0.25">
      <c r="L403" s="14"/>
      <c r="P403" s="14"/>
      <c r="U403" s="13"/>
      <c r="V403" s="13"/>
      <c r="Y403" s="13"/>
      <c r="Z403" s="13"/>
      <c r="AC403" s="13"/>
      <c r="AD403" s="13"/>
      <c r="AG403" s="13"/>
      <c r="AH403" s="13"/>
      <c r="AK403" s="13"/>
      <c r="AL403" s="13"/>
      <c r="AO403" s="13"/>
      <c r="AP403" s="13"/>
      <c r="AS403" s="13"/>
      <c r="AT403" s="13"/>
      <c r="AW403" s="13"/>
      <c r="AX403" s="13"/>
      <c r="BA403" s="13"/>
      <c r="BB403" s="13"/>
      <c r="BH403" s="16"/>
      <c r="CD403" s="16"/>
    </row>
    <row r="404" spans="12:82" x14ac:dyDescent="0.25">
      <c r="L404" s="14"/>
      <c r="P404" s="14"/>
      <c r="U404" s="13"/>
      <c r="V404" s="13"/>
      <c r="Y404" s="13"/>
      <c r="Z404" s="13"/>
      <c r="AC404" s="13"/>
      <c r="AD404" s="13"/>
      <c r="AG404" s="13"/>
      <c r="AH404" s="13"/>
      <c r="AK404" s="13"/>
      <c r="AL404" s="13"/>
      <c r="AO404" s="13"/>
      <c r="AP404" s="13"/>
      <c r="AS404" s="13"/>
      <c r="AT404" s="13"/>
      <c r="AW404" s="13"/>
      <c r="AX404" s="13"/>
      <c r="BA404" s="13"/>
      <c r="BB404" s="13"/>
      <c r="BH404" s="16"/>
      <c r="CD404" s="16"/>
    </row>
    <row r="405" spans="12:82" x14ac:dyDescent="0.25">
      <c r="L405" s="14"/>
      <c r="P405" s="14"/>
      <c r="U405" s="13"/>
      <c r="V405" s="13"/>
      <c r="Y405" s="13"/>
      <c r="Z405" s="13"/>
      <c r="AC405" s="13"/>
      <c r="AD405" s="13"/>
      <c r="AG405" s="13"/>
      <c r="AH405" s="13"/>
      <c r="AK405" s="13"/>
      <c r="AL405" s="13"/>
      <c r="AO405" s="13"/>
      <c r="AP405" s="13"/>
      <c r="AS405" s="13"/>
      <c r="AT405" s="13"/>
      <c r="AW405" s="13"/>
      <c r="AX405" s="13"/>
      <c r="BA405" s="13"/>
      <c r="BB405" s="13"/>
      <c r="BH405" s="16"/>
      <c r="CD405" s="16"/>
    </row>
    <row r="406" spans="12:82" x14ac:dyDescent="0.25">
      <c r="L406" s="14"/>
      <c r="P406" s="14"/>
      <c r="U406" s="13"/>
      <c r="V406" s="13"/>
      <c r="Y406" s="13"/>
      <c r="Z406" s="13"/>
      <c r="AC406" s="13"/>
      <c r="AD406" s="13"/>
      <c r="AG406" s="13"/>
      <c r="AH406" s="13"/>
      <c r="AK406" s="13"/>
      <c r="AL406" s="13"/>
      <c r="AO406" s="13"/>
      <c r="AP406" s="13"/>
      <c r="AS406" s="13"/>
      <c r="AT406" s="13"/>
      <c r="AW406" s="13"/>
      <c r="AX406" s="13"/>
      <c r="BA406" s="13"/>
      <c r="BB406" s="13"/>
      <c r="BH406" s="16"/>
      <c r="CD406" s="16"/>
    </row>
    <row r="407" spans="12:82" x14ac:dyDescent="0.25">
      <c r="L407" s="14"/>
      <c r="P407" s="14"/>
      <c r="U407" s="13"/>
      <c r="V407" s="13"/>
      <c r="Y407" s="13"/>
      <c r="Z407" s="13"/>
      <c r="AC407" s="13"/>
      <c r="AD407" s="13"/>
      <c r="AG407" s="13"/>
      <c r="AH407" s="13"/>
      <c r="AK407" s="13"/>
      <c r="AL407" s="13"/>
      <c r="AO407" s="13"/>
      <c r="AP407" s="13"/>
      <c r="AS407" s="13"/>
      <c r="AT407" s="13"/>
      <c r="AW407" s="13"/>
      <c r="AX407" s="13"/>
      <c r="BA407" s="13"/>
      <c r="BB407" s="13"/>
      <c r="BH407" s="16"/>
      <c r="CD407" s="16"/>
    </row>
    <row r="408" spans="12:82" x14ac:dyDescent="0.25">
      <c r="L408" s="14"/>
      <c r="P408" s="14"/>
      <c r="U408" s="13"/>
      <c r="V408" s="13"/>
      <c r="Y408" s="13"/>
      <c r="Z408" s="13"/>
      <c r="AC408" s="13"/>
      <c r="AD408" s="13"/>
      <c r="AG408" s="13"/>
      <c r="AH408" s="13"/>
      <c r="AK408" s="13"/>
      <c r="AL408" s="13"/>
      <c r="AO408" s="13"/>
      <c r="AP408" s="13"/>
      <c r="AS408" s="13"/>
      <c r="AT408" s="13"/>
      <c r="AW408" s="13"/>
      <c r="AX408" s="13"/>
      <c r="BA408" s="13"/>
      <c r="BB408" s="13"/>
      <c r="BH408" s="16"/>
      <c r="CD408" s="16"/>
    </row>
    <row r="409" spans="12:82" x14ac:dyDescent="0.25">
      <c r="L409" s="14"/>
      <c r="P409" s="14"/>
      <c r="U409" s="13"/>
      <c r="V409" s="13"/>
      <c r="Y409" s="13"/>
      <c r="Z409" s="13"/>
      <c r="AC409" s="13"/>
      <c r="AD409" s="13"/>
      <c r="AG409" s="13"/>
      <c r="AH409" s="13"/>
      <c r="AK409" s="13"/>
      <c r="AL409" s="13"/>
      <c r="AO409" s="13"/>
      <c r="AP409" s="13"/>
      <c r="AS409" s="13"/>
      <c r="AT409" s="13"/>
      <c r="AW409" s="13"/>
      <c r="AX409" s="13"/>
      <c r="BA409" s="13"/>
      <c r="BB409" s="13"/>
      <c r="BH409" s="16"/>
      <c r="CD409" s="16"/>
    </row>
    <row r="410" spans="12:82" x14ac:dyDescent="0.25">
      <c r="L410" s="14"/>
      <c r="P410" s="14"/>
      <c r="U410" s="13"/>
      <c r="V410" s="13"/>
      <c r="Y410" s="13"/>
      <c r="Z410" s="13"/>
      <c r="AC410" s="13"/>
      <c r="AD410" s="13"/>
      <c r="AG410" s="13"/>
      <c r="AH410" s="13"/>
      <c r="AK410" s="13"/>
      <c r="AL410" s="13"/>
      <c r="AO410" s="13"/>
      <c r="AP410" s="13"/>
      <c r="AS410" s="13"/>
      <c r="AT410" s="13"/>
      <c r="AW410" s="13"/>
      <c r="AX410" s="13"/>
      <c r="BA410" s="13"/>
      <c r="BB410" s="13"/>
      <c r="BH410" s="16"/>
      <c r="CD410" s="16"/>
    </row>
    <row r="411" spans="12:82" x14ac:dyDescent="0.25">
      <c r="L411" s="14"/>
      <c r="P411" s="14"/>
      <c r="U411" s="13"/>
      <c r="V411" s="13"/>
      <c r="Y411" s="13"/>
      <c r="Z411" s="13"/>
      <c r="AC411" s="13"/>
      <c r="AD411" s="13"/>
      <c r="AG411" s="13"/>
      <c r="AH411" s="13"/>
      <c r="AK411" s="13"/>
      <c r="AL411" s="13"/>
      <c r="AO411" s="13"/>
      <c r="AP411" s="13"/>
      <c r="AS411" s="13"/>
      <c r="AT411" s="13"/>
      <c r="AW411" s="13"/>
      <c r="AX411" s="13"/>
      <c r="BA411" s="13"/>
      <c r="BB411" s="13"/>
      <c r="BH411" s="16"/>
      <c r="CD411" s="16"/>
    </row>
    <row r="412" spans="12:82" x14ac:dyDescent="0.25">
      <c r="L412" s="14"/>
      <c r="P412" s="14"/>
      <c r="U412" s="13"/>
      <c r="V412" s="13"/>
      <c r="Y412" s="13"/>
      <c r="Z412" s="13"/>
      <c r="AC412" s="13"/>
      <c r="AD412" s="13"/>
      <c r="AG412" s="13"/>
      <c r="AH412" s="13"/>
      <c r="AK412" s="13"/>
      <c r="AL412" s="13"/>
      <c r="AO412" s="13"/>
      <c r="AP412" s="13"/>
      <c r="AS412" s="13"/>
      <c r="AT412" s="13"/>
      <c r="AW412" s="13"/>
      <c r="AX412" s="13"/>
      <c r="BA412" s="13"/>
      <c r="BB412" s="13"/>
      <c r="BH412" s="16"/>
      <c r="CD412" s="16"/>
    </row>
    <row r="413" spans="12:82" x14ac:dyDescent="0.25">
      <c r="L413" s="14"/>
      <c r="P413" s="14"/>
      <c r="U413" s="13"/>
      <c r="V413" s="13"/>
      <c r="Y413" s="13"/>
      <c r="Z413" s="13"/>
      <c r="AC413" s="13"/>
      <c r="AD413" s="13"/>
      <c r="AG413" s="13"/>
      <c r="AH413" s="13"/>
      <c r="AK413" s="13"/>
      <c r="AL413" s="13"/>
      <c r="AO413" s="13"/>
      <c r="AP413" s="13"/>
      <c r="AS413" s="13"/>
      <c r="AT413" s="13"/>
      <c r="AW413" s="13"/>
      <c r="AX413" s="13"/>
      <c r="BA413" s="13"/>
      <c r="BB413" s="13"/>
      <c r="BH413" s="16"/>
      <c r="CD413" s="16"/>
    </row>
    <row r="414" spans="12:82" x14ac:dyDescent="0.25">
      <c r="L414" s="14"/>
      <c r="P414" s="14"/>
      <c r="U414" s="13"/>
      <c r="V414" s="13"/>
      <c r="Y414" s="13"/>
      <c r="Z414" s="13"/>
      <c r="AC414" s="13"/>
      <c r="AD414" s="13"/>
      <c r="AG414" s="13"/>
      <c r="AH414" s="13"/>
      <c r="AK414" s="13"/>
      <c r="AL414" s="13"/>
      <c r="AO414" s="13"/>
      <c r="AP414" s="13"/>
      <c r="AS414" s="13"/>
      <c r="AT414" s="13"/>
      <c r="AW414" s="13"/>
      <c r="AX414" s="13"/>
      <c r="BA414" s="13"/>
      <c r="BB414" s="13"/>
      <c r="BH414" s="16"/>
      <c r="CD414" s="16"/>
    </row>
    <row r="415" spans="12:82" x14ac:dyDescent="0.25">
      <c r="L415" s="14"/>
      <c r="P415" s="14"/>
      <c r="U415" s="13"/>
      <c r="V415" s="13"/>
      <c r="Y415" s="13"/>
      <c r="Z415" s="13"/>
      <c r="AC415" s="13"/>
      <c r="AD415" s="13"/>
      <c r="AG415" s="13"/>
      <c r="AH415" s="13"/>
      <c r="AK415" s="13"/>
      <c r="AL415" s="13"/>
      <c r="AO415" s="13"/>
      <c r="AP415" s="13"/>
      <c r="AS415" s="13"/>
      <c r="AT415" s="13"/>
      <c r="AW415" s="13"/>
      <c r="AX415" s="13"/>
      <c r="BA415" s="13"/>
      <c r="BB415" s="13"/>
      <c r="BH415" s="16"/>
      <c r="CD415" s="16"/>
    </row>
    <row r="416" spans="12:82" x14ac:dyDescent="0.25">
      <c r="L416" s="14"/>
      <c r="P416" s="14"/>
      <c r="U416" s="13"/>
      <c r="V416" s="13"/>
      <c r="Y416" s="13"/>
      <c r="Z416" s="13"/>
      <c r="AC416" s="13"/>
      <c r="AD416" s="13"/>
      <c r="AG416" s="13"/>
      <c r="AH416" s="13"/>
      <c r="AK416" s="13"/>
      <c r="AL416" s="13"/>
      <c r="AO416" s="13"/>
      <c r="AP416" s="13"/>
      <c r="AS416" s="13"/>
      <c r="AT416" s="13"/>
      <c r="AW416" s="13"/>
      <c r="AX416" s="13"/>
      <c r="BA416" s="13"/>
      <c r="BB416" s="13"/>
      <c r="BH416" s="16"/>
      <c r="CD416" s="16"/>
    </row>
    <row r="417" spans="12:82" x14ac:dyDescent="0.25">
      <c r="L417" s="14"/>
      <c r="P417" s="14"/>
      <c r="U417" s="13"/>
      <c r="V417" s="13"/>
      <c r="Y417" s="13"/>
      <c r="Z417" s="13"/>
      <c r="AC417" s="13"/>
      <c r="AD417" s="13"/>
      <c r="AG417" s="13"/>
      <c r="AH417" s="13"/>
      <c r="AK417" s="13"/>
      <c r="AL417" s="13"/>
      <c r="AO417" s="13"/>
      <c r="AP417" s="13"/>
      <c r="AS417" s="13"/>
      <c r="AT417" s="13"/>
      <c r="AW417" s="13"/>
      <c r="AX417" s="13"/>
      <c r="BA417" s="13"/>
      <c r="BB417" s="13"/>
      <c r="BH417" s="16"/>
      <c r="CD417" s="16"/>
    </row>
    <row r="418" spans="12:82" x14ac:dyDescent="0.25">
      <c r="L418" s="14"/>
      <c r="P418" s="14"/>
      <c r="U418" s="13"/>
      <c r="V418" s="13"/>
      <c r="Y418" s="13"/>
      <c r="Z418" s="13"/>
      <c r="AC418" s="13"/>
      <c r="AD418" s="13"/>
      <c r="AG418" s="13"/>
      <c r="AH418" s="13"/>
      <c r="AK418" s="13"/>
      <c r="AL418" s="13"/>
      <c r="AO418" s="13"/>
      <c r="AP418" s="13"/>
      <c r="AS418" s="13"/>
      <c r="AT418" s="13"/>
      <c r="AW418" s="13"/>
      <c r="AX418" s="13"/>
      <c r="BA418" s="13"/>
      <c r="BB418" s="13"/>
      <c r="BH418" s="16"/>
      <c r="CD418" s="16"/>
    </row>
    <row r="419" spans="12:82" x14ac:dyDescent="0.25">
      <c r="L419" s="14"/>
      <c r="P419" s="14"/>
      <c r="U419" s="13"/>
      <c r="V419" s="13"/>
      <c r="Y419" s="13"/>
      <c r="Z419" s="13"/>
      <c r="AC419" s="13"/>
      <c r="AD419" s="13"/>
      <c r="AG419" s="13"/>
      <c r="AH419" s="13"/>
      <c r="AK419" s="13"/>
      <c r="AL419" s="13"/>
      <c r="AO419" s="13"/>
      <c r="AP419" s="13"/>
      <c r="AS419" s="13"/>
      <c r="AT419" s="13"/>
      <c r="AW419" s="13"/>
      <c r="AX419" s="13"/>
      <c r="BA419" s="13"/>
      <c r="BB419" s="13"/>
      <c r="BH419" s="16"/>
      <c r="CD419" s="16"/>
    </row>
    <row r="420" spans="12:82" x14ac:dyDescent="0.25">
      <c r="L420" s="14"/>
      <c r="P420" s="14"/>
      <c r="U420" s="13"/>
      <c r="V420" s="13"/>
      <c r="Y420" s="13"/>
      <c r="Z420" s="13"/>
      <c r="AC420" s="13"/>
      <c r="AD420" s="13"/>
      <c r="AG420" s="13"/>
      <c r="AH420" s="13"/>
      <c r="AK420" s="13"/>
      <c r="AL420" s="13"/>
      <c r="AO420" s="13"/>
      <c r="AP420" s="13"/>
      <c r="AS420" s="13"/>
      <c r="AT420" s="13"/>
      <c r="AW420" s="13"/>
      <c r="AX420" s="13"/>
      <c r="BA420" s="13"/>
      <c r="BB420" s="13"/>
      <c r="BH420" s="16"/>
      <c r="CD420" s="16"/>
    </row>
    <row r="421" spans="12:82" x14ac:dyDescent="0.25">
      <c r="L421" s="14"/>
      <c r="P421" s="14"/>
      <c r="U421" s="13"/>
      <c r="V421" s="13"/>
      <c r="Y421" s="13"/>
      <c r="Z421" s="13"/>
      <c r="AC421" s="13"/>
      <c r="AD421" s="13"/>
      <c r="AG421" s="13"/>
      <c r="AH421" s="13"/>
      <c r="AK421" s="13"/>
      <c r="AL421" s="13"/>
      <c r="AO421" s="13"/>
      <c r="AP421" s="13"/>
      <c r="AS421" s="13"/>
      <c r="AT421" s="13"/>
      <c r="AW421" s="13"/>
      <c r="AX421" s="13"/>
      <c r="BA421" s="13"/>
      <c r="BB421" s="13"/>
      <c r="BH421" s="16"/>
      <c r="CD421" s="16"/>
    </row>
    <row r="422" spans="12:82" x14ac:dyDescent="0.25">
      <c r="L422" s="14"/>
      <c r="P422" s="14"/>
      <c r="U422" s="13"/>
      <c r="V422" s="13"/>
      <c r="Y422" s="13"/>
      <c r="Z422" s="13"/>
      <c r="AC422" s="13"/>
      <c r="AD422" s="13"/>
      <c r="AG422" s="13"/>
      <c r="AH422" s="13"/>
      <c r="AK422" s="13"/>
      <c r="AL422" s="13"/>
      <c r="AO422" s="13"/>
      <c r="AP422" s="13"/>
      <c r="AS422" s="13"/>
      <c r="AT422" s="13"/>
      <c r="AW422" s="13"/>
      <c r="AX422" s="13"/>
      <c r="BA422" s="13"/>
      <c r="BB422" s="13"/>
      <c r="BH422" s="16"/>
      <c r="CD422" s="16"/>
    </row>
    <row r="423" spans="12:82" x14ac:dyDescent="0.25">
      <c r="L423" s="14"/>
      <c r="P423" s="14"/>
      <c r="U423" s="13"/>
      <c r="V423" s="13"/>
      <c r="Y423" s="13"/>
      <c r="Z423" s="13"/>
      <c r="AC423" s="13"/>
      <c r="AD423" s="13"/>
      <c r="AG423" s="13"/>
      <c r="AH423" s="13"/>
      <c r="AK423" s="13"/>
      <c r="AL423" s="13"/>
      <c r="AO423" s="13"/>
      <c r="AP423" s="13"/>
      <c r="AS423" s="13"/>
      <c r="AT423" s="13"/>
      <c r="AW423" s="13"/>
      <c r="AX423" s="13"/>
      <c r="BA423" s="13"/>
      <c r="BB423" s="13"/>
      <c r="BH423" s="16"/>
      <c r="CD423" s="16"/>
    </row>
    <row r="424" spans="12:82" x14ac:dyDescent="0.25">
      <c r="L424" s="14"/>
      <c r="P424" s="14"/>
      <c r="U424" s="13"/>
      <c r="V424" s="13"/>
      <c r="Y424" s="13"/>
      <c r="Z424" s="13"/>
      <c r="AC424" s="13"/>
      <c r="AD424" s="13"/>
      <c r="AG424" s="13"/>
      <c r="AH424" s="13"/>
      <c r="AK424" s="13"/>
      <c r="AL424" s="13"/>
      <c r="AO424" s="13"/>
      <c r="AP424" s="13"/>
      <c r="AS424" s="13"/>
      <c r="AT424" s="13"/>
      <c r="AW424" s="13"/>
      <c r="AX424" s="13"/>
      <c r="BA424" s="13"/>
      <c r="BB424" s="13"/>
      <c r="BH424" s="16"/>
      <c r="CD424" s="16"/>
    </row>
    <row r="425" spans="12:82" x14ac:dyDescent="0.25">
      <c r="L425" s="14"/>
      <c r="P425" s="14"/>
      <c r="U425" s="13"/>
      <c r="V425" s="13"/>
      <c r="Y425" s="13"/>
      <c r="Z425" s="13"/>
      <c r="AC425" s="13"/>
      <c r="AD425" s="13"/>
      <c r="AG425" s="13"/>
      <c r="AH425" s="13"/>
      <c r="AK425" s="13"/>
      <c r="AL425" s="13"/>
      <c r="AO425" s="13"/>
      <c r="AP425" s="13"/>
      <c r="AS425" s="13"/>
      <c r="AT425" s="13"/>
      <c r="AW425" s="13"/>
      <c r="AX425" s="13"/>
      <c r="BA425" s="13"/>
      <c r="BB425" s="13"/>
      <c r="BH425" s="16"/>
      <c r="CD425" s="16"/>
    </row>
    <row r="426" spans="12:82" x14ac:dyDescent="0.25">
      <c r="L426" s="14"/>
      <c r="P426" s="14"/>
      <c r="U426" s="13"/>
      <c r="V426" s="13"/>
      <c r="Y426" s="13"/>
      <c r="Z426" s="13"/>
      <c r="AC426" s="13"/>
      <c r="AD426" s="13"/>
      <c r="AG426" s="13"/>
      <c r="AH426" s="13"/>
      <c r="AK426" s="13"/>
      <c r="AL426" s="13"/>
      <c r="AO426" s="13"/>
      <c r="AP426" s="13"/>
      <c r="AS426" s="13"/>
      <c r="AT426" s="13"/>
      <c r="AW426" s="13"/>
      <c r="AX426" s="13"/>
      <c r="BA426" s="13"/>
      <c r="BB426" s="13"/>
      <c r="BH426" s="16"/>
      <c r="CD426" s="16"/>
    </row>
    <row r="427" spans="12:82" x14ac:dyDescent="0.25">
      <c r="L427" s="14"/>
      <c r="P427" s="14"/>
      <c r="U427" s="13"/>
      <c r="V427" s="13"/>
      <c r="Y427" s="13"/>
      <c r="Z427" s="13"/>
      <c r="AC427" s="13"/>
      <c r="AD427" s="13"/>
      <c r="AG427" s="13"/>
      <c r="AH427" s="13"/>
      <c r="AK427" s="13"/>
      <c r="AL427" s="13"/>
      <c r="AO427" s="13"/>
      <c r="AP427" s="13"/>
      <c r="AS427" s="13"/>
      <c r="AT427" s="13"/>
      <c r="AW427" s="13"/>
      <c r="AX427" s="13"/>
      <c r="BA427" s="13"/>
      <c r="BB427" s="13"/>
      <c r="BH427" s="16"/>
      <c r="CD427" s="16"/>
    </row>
    <row r="428" spans="12:82" x14ac:dyDescent="0.25">
      <c r="L428" s="14"/>
      <c r="P428" s="14"/>
      <c r="U428" s="13"/>
      <c r="V428" s="13"/>
      <c r="Y428" s="13"/>
      <c r="Z428" s="13"/>
      <c r="AC428" s="13"/>
      <c r="AD428" s="13"/>
      <c r="AG428" s="13"/>
      <c r="AH428" s="13"/>
      <c r="AK428" s="13"/>
      <c r="AL428" s="13"/>
      <c r="AO428" s="13"/>
      <c r="AP428" s="13"/>
      <c r="AS428" s="13"/>
      <c r="AT428" s="13"/>
      <c r="AW428" s="13"/>
      <c r="AX428" s="13"/>
      <c r="BA428" s="13"/>
      <c r="BB428" s="13"/>
      <c r="BH428" s="16"/>
      <c r="CD428" s="16"/>
    </row>
    <row r="429" spans="12:82" x14ac:dyDescent="0.25">
      <c r="L429" s="14"/>
      <c r="P429" s="14"/>
      <c r="U429" s="13"/>
      <c r="V429" s="13"/>
      <c r="Y429" s="13"/>
      <c r="Z429" s="13"/>
      <c r="AC429" s="13"/>
      <c r="AD429" s="13"/>
      <c r="AG429" s="13"/>
      <c r="AH429" s="13"/>
      <c r="AK429" s="13"/>
      <c r="AL429" s="13"/>
      <c r="AO429" s="13"/>
      <c r="AP429" s="13"/>
      <c r="AS429" s="13"/>
      <c r="AT429" s="13"/>
      <c r="AW429" s="13"/>
      <c r="AX429" s="13"/>
      <c r="BA429" s="13"/>
      <c r="BB429" s="13"/>
      <c r="BH429" s="16"/>
      <c r="CD429" s="16"/>
    </row>
    <row r="430" spans="12:82" x14ac:dyDescent="0.25">
      <c r="L430" s="14"/>
      <c r="P430" s="14"/>
      <c r="U430" s="13"/>
      <c r="V430" s="13"/>
      <c r="Y430" s="13"/>
      <c r="Z430" s="13"/>
      <c r="AC430" s="13"/>
      <c r="AD430" s="13"/>
      <c r="AG430" s="13"/>
      <c r="AH430" s="13"/>
      <c r="AK430" s="13"/>
      <c r="AL430" s="13"/>
      <c r="AO430" s="13"/>
      <c r="AP430" s="13"/>
      <c r="AS430" s="13"/>
      <c r="AT430" s="13"/>
      <c r="AW430" s="13"/>
      <c r="AX430" s="13"/>
      <c r="BA430" s="13"/>
      <c r="BB430" s="13"/>
      <c r="BH430" s="16"/>
      <c r="CD430" s="16"/>
    </row>
    <row r="431" spans="12:82" x14ac:dyDescent="0.25">
      <c r="L431" s="14"/>
      <c r="P431" s="14"/>
      <c r="U431" s="13"/>
      <c r="V431" s="13"/>
      <c r="Y431" s="13"/>
      <c r="Z431" s="13"/>
      <c r="AC431" s="13"/>
      <c r="AD431" s="13"/>
      <c r="AG431" s="13"/>
      <c r="AH431" s="13"/>
      <c r="AK431" s="13"/>
      <c r="AL431" s="13"/>
      <c r="AO431" s="13"/>
      <c r="AP431" s="13"/>
      <c r="AS431" s="13"/>
      <c r="AT431" s="13"/>
      <c r="AW431" s="13"/>
      <c r="AX431" s="13"/>
      <c r="BA431" s="13"/>
      <c r="BB431" s="13"/>
      <c r="BH431" s="16"/>
      <c r="CD431" s="16"/>
    </row>
    <row r="432" spans="12:82" x14ac:dyDescent="0.25">
      <c r="L432" s="14"/>
      <c r="P432" s="14"/>
      <c r="U432" s="13"/>
      <c r="V432" s="13"/>
      <c r="Y432" s="13"/>
      <c r="Z432" s="13"/>
      <c r="AC432" s="13"/>
      <c r="AD432" s="13"/>
      <c r="AG432" s="13"/>
      <c r="AH432" s="13"/>
      <c r="AK432" s="13"/>
      <c r="AL432" s="13"/>
      <c r="AO432" s="13"/>
      <c r="AP432" s="13"/>
      <c r="AS432" s="13"/>
      <c r="AT432" s="13"/>
      <c r="AW432" s="13"/>
      <c r="AX432" s="13"/>
      <c r="BA432" s="13"/>
      <c r="BB432" s="13"/>
      <c r="BH432" s="16"/>
      <c r="CD432" s="16"/>
    </row>
    <row r="433" spans="12:82" x14ac:dyDescent="0.25">
      <c r="L433" s="14"/>
      <c r="P433" s="14"/>
      <c r="U433" s="13"/>
      <c r="V433" s="13"/>
      <c r="Y433" s="13"/>
      <c r="Z433" s="13"/>
      <c r="AC433" s="13"/>
      <c r="AD433" s="13"/>
      <c r="AG433" s="13"/>
      <c r="AH433" s="13"/>
      <c r="AK433" s="13"/>
      <c r="AL433" s="13"/>
      <c r="AO433" s="13"/>
      <c r="AP433" s="13"/>
      <c r="AS433" s="13"/>
      <c r="AT433" s="13"/>
      <c r="AW433" s="13"/>
      <c r="AX433" s="13"/>
      <c r="BA433" s="13"/>
      <c r="BB433" s="13"/>
      <c r="BH433" s="16"/>
      <c r="CD433" s="16"/>
    </row>
    <row r="434" spans="12:82" x14ac:dyDescent="0.25">
      <c r="L434" s="14"/>
      <c r="P434" s="14"/>
      <c r="U434" s="13"/>
      <c r="V434" s="13"/>
      <c r="Y434" s="13"/>
      <c r="Z434" s="13"/>
      <c r="AC434" s="13"/>
      <c r="AD434" s="13"/>
      <c r="AG434" s="13"/>
      <c r="AH434" s="13"/>
      <c r="AK434" s="13"/>
      <c r="AL434" s="13"/>
      <c r="AO434" s="13"/>
      <c r="AP434" s="13"/>
      <c r="AS434" s="13"/>
      <c r="AT434" s="13"/>
      <c r="AW434" s="13"/>
      <c r="AX434" s="13"/>
      <c r="BA434" s="13"/>
      <c r="BB434" s="13"/>
      <c r="BH434" s="16"/>
      <c r="CD434" s="16"/>
    </row>
    <row r="435" spans="12:82" x14ac:dyDescent="0.25">
      <c r="L435" s="14"/>
      <c r="P435" s="14"/>
      <c r="U435" s="13"/>
      <c r="V435" s="13"/>
      <c r="Y435" s="13"/>
      <c r="Z435" s="13"/>
      <c r="AC435" s="13"/>
      <c r="AD435" s="13"/>
      <c r="AG435" s="13"/>
      <c r="AH435" s="13"/>
      <c r="AK435" s="13"/>
      <c r="AL435" s="13"/>
      <c r="AO435" s="13"/>
      <c r="AP435" s="13"/>
      <c r="AS435" s="13"/>
      <c r="AT435" s="13"/>
      <c r="AW435" s="13"/>
      <c r="AX435" s="13"/>
      <c r="BA435" s="13"/>
      <c r="BB435" s="13"/>
      <c r="BH435" s="16"/>
      <c r="CD435" s="16"/>
    </row>
    <row r="436" spans="12:82" x14ac:dyDescent="0.25">
      <c r="L436" s="14"/>
      <c r="P436" s="14"/>
      <c r="U436" s="13"/>
      <c r="V436" s="13"/>
      <c r="Y436" s="13"/>
      <c r="Z436" s="13"/>
      <c r="AC436" s="13"/>
      <c r="AD436" s="13"/>
      <c r="AG436" s="13"/>
      <c r="AH436" s="13"/>
      <c r="AK436" s="13"/>
      <c r="AL436" s="13"/>
      <c r="AO436" s="13"/>
      <c r="AP436" s="13"/>
      <c r="AS436" s="13"/>
      <c r="AT436" s="13"/>
      <c r="AW436" s="13"/>
      <c r="AX436" s="13"/>
      <c r="BA436" s="13"/>
      <c r="BB436" s="13"/>
      <c r="BH436" s="16"/>
      <c r="CD436" s="16"/>
    </row>
    <row r="437" spans="12:82" x14ac:dyDescent="0.25">
      <c r="L437" s="14"/>
      <c r="P437" s="14"/>
      <c r="U437" s="13"/>
      <c r="V437" s="13"/>
      <c r="Y437" s="13"/>
      <c r="Z437" s="13"/>
      <c r="AC437" s="13"/>
      <c r="AD437" s="13"/>
      <c r="AG437" s="13"/>
      <c r="AH437" s="13"/>
      <c r="AK437" s="13"/>
      <c r="AL437" s="13"/>
      <c r="AO437" s="13"/>
      <c r="AP437" s="13"/>
      <c r="AS437" s="13"/>
      <c r="AT437" s="13"/>
      <c r="AW437" s="13"/>
      <c r="AX437" s="13"/>
      <c r="BA437" s="13"/>
      <c r="BB437" s="13"/>
      <c r="BH437" s="16"/>
      <c r="CD437" s="16"/>
    </row>
    <row r="438" spans="12:82" x14ac:dyDescent="0.25">
      <c r="L438" s="14"/>
      <c r="P438" s="14"/>
      <c r="U438" s="13"/>
      <c r="V438" s="13"/>
      <c r="Y438" s="13"/>
      <c r="Z438" s="13"/>
      <c r="AC438" s="13"/>
      <c r="AD438" s="13"/>
      <c r="AG438" s="13"/>
      <c r="AH438" s="13"/>
      <c r="AK438" s="13"/>
      <c r="AL438" s="13"/>
      <c r="AO438" s="13"/>
      <c r="AP438" s="13"/>
      <c r="AS438" s="13"/>
      <c r="AT438" s="13"/>
      <c r="AW438" s="13"/>
      <c r="AX438" s="13"/>
      <c r="BA438" s="13"/>
      <c r="BB438" s="13"/>
      <c r="BH438" s="16"/>
      <c r="CD438" s="16"/>
    </row>
    <row r="439" spans="12:82" x14ac:dyDescent="0.25">
      <c r="L439" s="14"/>
      <c r="P439" s="14"/>
      <c r="U439" s="13"/>
      <c r="V439" s="13"/>
      <c r="Y439" s="13"/>
      <c r="Z439" s="13"/>
      <c r="AC439" s="13"/>
      <c r="AD439" s="13"/>
      <c r="AG439" s="13"/>
      <c r="AH439" s="13"/>
      <c r="AK439" s="13"/>
      <c r="AL439" s="13"/>
      <c r="AO439" s="13"/>
      <c r="AP439" s="13"/>
      <c r="AS439" s="13"/>
      <c r="AT439" s="13"/>
      <c r="AW439" s="13"/>
      <c r="AX439" s="13"/>
      <c r="BA439" s="13"/>
      <c r="BB439" s="13"/>
      <c r="BH439" s="16"/>
      <c r="CD439" s="16"/>
    </row>
    <row r="440" spans="12:82" x14ac:dyDescent="0.25">
      <c r="L440" s="14"/>
      <c r="P440" s="14"/>
      <c r="U440" s="13"/>
      <c r="V440" s="13"/>
      <c r="Y440" s="13"/>
      <c r="Z440" s="13"/>
      <c r="AC440" s="13"/>
      <c r="AD440" s="13"/>
      <c r="AG440" s="13"/>
      <c r="AH440" s="13"/>
      <c r="AK440" s="13"/>
      <c r="AL440" s="13"/>
      <c r="AO440" s="13"/>
      <c r="AP440" s="13"/>
      <c r="AS440" s="13"/>
      <c r="AT440" s="13"/>
      <c r="AW440" s="13"/>
      <c r="AX440" s="13"/>
      <c r="BA440" s="13"/>
      <c r="BB440" s="13"/>
      <c r="BH440" s="16"/>
      <c r="CD440" s="16"/>
    </row>
    <row r="441" spans="12:82" x14ac:dyDescent="0.25">
      <c r="L441" s="14"/>
      <c r="P441" s="14"/>
      <c r="U441" s="13"/>
      <c r="V441" s="13"/>
      <c r="Y441" s="13"/>
      <c r="Z441" s="13"/>
      <c r="AC441" s="13"/>
      <c r="AD441" s="13"/>
      <c r="AG441" s="13"/>
      <c r="AH441" s="13"/>
      <c r="AK441" s="13"/>
      <c r="AL441" s="13"/>
      <c r="AO441" s="13"/>
      <c r="AP441" s="13"/>
      <c r="AS441" s="13"/>
      <c r="AT441" s="13"/>
      <c r="AW441" s="13"/>
      <c r="AX441" s="13"/>
      <c r="BA441" s="13"/>
      <c r="BB441" s="13"/>
      <c r="BH441" s="16"/>
      <c r="CD441" s="16"/>
    </row>
    <row r="442" spans="12:82" x14ac:dyDescent="0.25">
      <c r="L442" s="14"/>
      <c r="P442" s="14"/>
      <c r="U442" s="13"/>
      <c r="V442" s="13"/>
      <c r="Y442" s="13"/>
      <c r="Z442" s="13"/>
      <c r="AC442" s="13"/>
      <c r="AD442" s="13"/>
      <c r="AG442" s="13"/>
      <c r="AH442" s="13"/>
      <c r="AK442" s="13"/>
      <c r="AL442" s="13"/>
      <c r="AO442" s="13"/>
      <c r="AP442" s="13"/>
      <c r="AS442" s="13"/>
      <c r="AT442" s="13"/>
      <c r="AW442" s="13"/>
      <c r="AX442" s="13"/>
      <c r="BA442" s="13"/>
      <c r="BB442" s="13"/>
      <c r="BH442" s="16"/>
      <c r="CD442" s="16"/>
    </row>
    <row r="443" spans="12:82" x14ac:dyDescent="0.25">
      <c r="L443" s="14"/>
      <c r="P443" s="14"/>
      <c r="U443" s="13"/>
      <c r="V443" s="13"/>
      <c r="Y443" s="13"/>
      <c r="Z443" s="13"/>
      <c r="AC443" s="13"/>
      <c r="AD443" s="13"/>
      <c r="AG443" s="13"/>
      <c r="AH443" s="13"/>
      <c r="AK443" s="13"/>
      <c r="AL443" s="13"/>
      <c r="AO443" s="13"/>
      <c r="AP443" s="13"/>
      <c r="AS443" s="13"/>
      <c r="AT443" s="13"/>
      <c r="AW443" s="13"/>
      <c r="AX443" s="13"/>
      <c r="BA443" s="13"/>
      <c r="BB443" s="13"/>
      <c r="BH443" s="16"/>
      <c r="CD443" s="16"/>
    </row>
    <row r="444" spans="12:82" x14ac:dyDescent="0.25">
      <c r="L444" s="14"/>
      <c r="P444" s="14"/>
      <c r="U444" s="13"/>
      <c r="V444" s="13"/>
      <c r="Y444" s="13"/>
      <c r="Z444" s="13"/>
      <c r="AC444" s="13"/>
      <c r="AD444" s="13"/>
      <c r="AG444" s="13"/>
      <c r="AH444" s="13"/>
      <c r="AK444" s="13"/>
      <c r="AL444" s="13"/>
      <c r="AO444" s="13"/>
      <c r="AP444" s="13"/>
      <c r="AS444" s="13"/>
      <c r="AT444" s="13"/>
      <c r="AW444" s="13"/>
      <c r="AX444" s="13"/>
      <c r="BA444" s="13"/>
      <c r="BB444" s="13"/>
      <c r="BH444" s="16"/>
      <c r="CD444" s="16"/>
    </row>
    <row r="445" spans="12:82" x14ac:dyDescent="0.25">
      <c r="L445" s="14"/>
      <c r="P445" s="14"/>
      <c r="U445" s="13"/>
      <c r="V445" s="13"/>
      <c r="Y445" s="13"/>
      <c r="Z445" s="13"/>
      <c r="AC445" s="13"/>
      <c r="AD445" s="13"/>
      <c r="AG445" s="13"/>
      <c r="AH445" s="13"/>
      <c r="AK445" s="13"/>
      <c r="AL445" s="13"/>
      <c r="AO445" s="13"/>
      <c r="AP445" s="13"/>
      <c r="AS445" s="13"/>
      <c r="AT445" s="13"/>
      <c r="AW445" s="13"/>
      <c r="AX445" s="13"/>
      <c r="BA445" s="13"/>
      <c r="BB445" s="13"/>
      <c r="BH445" s="16"/>
      <c r="CD445" s="16"/>
    </row>
    <row r="446" spans="12:82" x14ac:dyDescent="0.25">
      <c r="L446" s="14"/>
      <c r="P446" s="14"/>
      <c r="U446" s="13"/>
      <c r="V446" s="13"/>
      <c r="Y446" s="13"/>
      <c r="Z446" s="13"/>
      <c r="AC446" s="13"/>
      <c r="AD446" s="13"/>
      <c r="AG446" s="13"/>
      <c r="AH446" s="13"/>
      <c r="AK446" s="13"/>
      <c r="AL446" s="13"/>
      <c r="AO446" s="13"/>
      <c r="AP446" s="13"/>
      <c r="AS446" s="13"/>
      <c r="AT446" s="13"/>
      <c r="AW446" s="13"/>
      <c r="AX446" s="13"/>
      <c r="BA446" s="13"/>
      <c r="BB446" s="13"/>
      <c r="BH446" s="16"/>
      <c r="CD446" s="16"/>
    </row>
    <row r="447" spans="12:82" x14ac:dyDescent="0.25">
      <c r="L447" s="14"/>
      <c r="P447" s="14"/>
      <c r="U447" s="13"/>
      <c r="V447" s="13"/>
      <c r="Y447" s="13"/>
      <c r="Z447" s="13"/>
      <c r="AC447" s="13"/>
      <c r="AD447" s="13"/>
      <c r="AG447" s="13"/>
      <c r="AH447" s="13"/>
      <c r="AK447" s="13"/>
      <c r="AL447" s="13"/>
      <c r="AO447" s="13"/>
      <c r="AP447" s="13"/>
      <c r="AS447" s="13"/>
      <c r="AT447" s="13"/>
      <c r="AW447" s="13"/>
      <c r="AX447" s="13"/>
      <c r="BA447" s="13"/>
      <c r="BB447" s="13"/>
      <c r="BH447" s="16"/>
      <c r="CD447" s="16"/>
    </row>
    <row r="448" spans="12:82" x14ac:dyDescent="0.25">
      <c r="L448" s="14"/>
      <c r="P448" s="14"/>
      <c r="U448" s="13"/>
      <c r="V448" s="13"/>
      <c r="Y448" s="13"/>
      <c r="Z448" s="13"/>
      <c r="AC448" s="13"/>
      <c r="AD448" s="13"/>
      <c r="AG448" s="13"/>
      <c r="AH448" s="13"/>
      <c r="AK448" s="13"/>
      <c r="AL448" s="13"/>
      <c r="AO448" s="13"/>
      <c r="AP448" s="13"/>
      <c r="AS448" s="13"/>
      <c r="AT448" s="13"/>
      <c r="AW448" s="13"/>
      <c r="AX448" s="13"/>
      <c r="BA448" s="13"/>
      <c r="BB448" s="13"/>
      <c r="BH448" s="16"/>
      <c r="CD448" s="16"/>
    </row>
    <row r="449" spans="12:82" x14ac:dyDescent="0.25">
      <c r="L449" s="14"/>
      <c r="P449" s="14"/>
      <c r="U449" s="13"/>
      <c r="V449" s="13"/>
      <c r="Y449" s="13"/>
      <c r="Z449" s="13"/>
      <c r="AC449" s="13"/>
      <c r="AD449" s="13"/>
      <c r="AG449" s="13"/>
      <c r="AH449" s="13"/>
      <c r="AK449" s="13"/>
      <c r="AL449" s="13"/>
      <c r="AO449" s="13"/>
      <c r="AP449" s="13"/>
      <c r="AS449" s="13"/>
      <c r="AT449" s="13"/>
      <c r="AW449" s="13"/>
      <c r="AX449" s="13"/>
      <c r="BA449" s="13"/>
      <c r="BB449" s="13"/>
      <c r="BH449" s="16"/>
      <c r="CD449" s="16"/>
    </row>
    <row r="450" spans="12:82" x14ac:dyDescent="0.25">
      <c r="L450" s="14"/>
      <c r="P450" s="14"/>
      <c r="U450" s="13"/>
      <c r="V450" s="13"/>
      <c r="Y450" s="13"/>
      <c r="Z450" s="13"/>
      <c r="AC450" s="13"/>
      <c r="AD450" s="13"/>
      <c r="AG450" s="13"/>
      <c r="AH450" s="13"/>
      <c r="AK450" s="13"/>
      <c r="AL450" s="13"/>
      <c r="AO450" s="13"/>
      <c r="AP450" s="13"/>
      <c r="AS450" s="13"/>
      <c r="AT450" s="13"/>
      <c r="AW450" s="13"/>
      <c r="AX450" s="13"/>
      <c r="BA450" s="13"/>
      <c r="BB450" s="13"/>
      <c r="BH450" s="16"/>
      <c r="CD450" s="16"/>
    </row>
    <row r="451" spans="12:82" x14ac:dyDescent="0.25">
      <c r="L451" s="14"/>
      <c r="P451" s="14"/>
      <c r="U451" s="13"/>
      <c r="V451" s="13"/>
      <c r="Y451" s="13"/>
      <c r="Z451" s="13"/>
      <c r="AC451" s="13"/>
      <c r="AD451" s="13"/>
      <c r="AG451" s="13"/>
      <c r="AH451" s="13"/>
      <c r="AK451" s="13"/>
      <c r="AL451" s="13"/>
      <c r="AO451" s="13"/>
      <c r="AP451" s="13"/>
      <c r="AS451" s="13"/>
      <c r="AT451" s="13"/>
      <c r="AW451" s="13"/>
      <c r="AX451" s="13"/>
      <c r="BA451" s="13"/>
      <c r="BB451" s="13"/>
      <c r="BH451" s="16"/>
      <c r="CD451" s="16"/>
    </row>
    <row r="452" spans="12:82" x14ac:dyDescent="0.25">
      <c r="L452" s="14"/>
      <c r="P452" s="14"/>
      <c r="U452" s="13"/>
      <c r="V452" s="13"/>
      <c r="Y452" s="13"/>
      <c r="Z452" s="13"/>
      <c r="AC452" s="13"/>
      <c r="AD452" s="13"/>
      <c r="AG452" s="13"/>
      <c r="AH452" s="13"/>
      <c r="AK452" s="13"/>
      <c r="AL452" s="13"/>
      <c r="AO452" s="13"/>
      <c r="AP452" s="13"/>
      <c r="AS452" s="13"/>
      <c r="AT452" s="13"/>
      <c r="AW452" s="13"/>
      <c r="AX452" s="13"/>
      <c r="BA452" s="13"/>
      <c r="BB452" s="13"/>
      <c r="BH452" s="16"/>
      <c r="CD452" s="16"/>
    </row>
    <row r="453" spans="12:82" x14ac:dyDescent="0.25">
      <c r="L453" s="14"/>
      <c r="P453" s="14"/>
      <c r="U453" s="13"/>
      <c r="V453" s="13"/>
      <c r="Y453" s="13"/>
      <c r="Z453" s="13"/>
      <c r="AC453" s="13"/>
      <c r="AD453" s="13"/>
      <c r="AG453" s="13"/>
      <c r="AH453" s="13"/>
      <c r="AK453" s="13"/>
      <c r="AL453" s="13"/>
      <c r="AO453" s="13"/>
      <c r="AP453" s="13"/>
      <c r="AS453" s="13"/>
      <c r="AT453" s="13"/>
      <c r="AW453" s="13"/>
      <c r="AX453" s="13"/>
      <c r="BA453" s="13"/>
      <c r="BB453" s="13"/>
      <c r="BH453" s="16"/>
      <c r="CD453" s="16"/>
    </row>
    <row r="454" spans="12:82" x14ac:dyDescent="0.25">
      <c r="L454" s="14"/>
      <c r="P454" s="14"/>
      <c r="U454" s="13"/>
      <c r="V454" s="13"/>
      <c r="Y454" s="13"/>
      <c r="Z454" s="13"/>
      <c r="AC454" s="13"/>
      <c r="AD454" s="13"/>
      <c r="AG454" s="13"/>
      <c r="AH454" s="13"/>
      <c r="AK454" s="13"/>
      <c r="AL454" s="13"/>
      <c r="AO454" s="13"/>
      <c r="AP454" s="13"/>
      <c r="AS454" s="13"/>
      <c r="AT454" s="13"/>
      <c r="AW454" s="13"/>
      <c r="AX454" s="13"/>
      <c r="BA454" s="13"/>
      <c r="BB454" s="13"/>
      <c r="BH454" s="16"/>
      <c r="CD454" s="16"/>
    </row>
    <row r="455" spans="12:82" x14ac:dyDescent="0.25">
      <c r="L455" s="14"/>
      <c r="P455" s="14"/>
      <c r="U455" s="13"/>
      <c r="V455" s="13"/>
      <c r="Y455" s="13"/>
      <c r="Z455" s="13"/>
      <c r="AC455" s="13"/>
      <c r="AD455" s="13"/>
      <c r="AG455" s="13"/>
      <c r="AH455" s="13"/>
      <c r="AK455" s="13"/>
      <c r="AL455" s="13"/>
      <c r="AO455" s="13"/>
      <c r="AP455" s="13"/>
      <c r="AS455" s="13"/>
      <c r="AT455" s="13"/>
      <c r="AW455" s="13"/>
      <c r="AX455" s="13"/>
      <c r="BA455" s="13"/>
      <c r="BB455" s="13"/>
      <c r="BH455" s="16"/>
      <c r="CD455" s="16"/>
    </row>
    <row r="456" spans="12:82" x14ac:dyDescent="0.25">
      <c r="L456" s="14"/>
      <c r="P456" s="14"/>
      <c r="U456" s="13"/>
      <c r="V456" s="13"/>
      <c r="Y456" s="13"/>
      <c r="Z456" s="13"/>
      <c r="AC456" s="13"/>
      <c r="AD456" s="13"/>
      <c r="AG456" s="13"/>
      <c r="AH456" s="13"/>
      <c r="AK456" s="13"/>
      <c r="AL456" s="13"/>
      <c r="AO456" s="13"/>
      <c r="AP456" s="13"/>
      <c r="AS456" s="13"/>
      <c r="AT456" s="13"/>
      <c r="AW456" s="13"/>
      <c r="AX456" s="13"/>
      <c r="BA456" s="13"/>
      <c r="BB456" s="13"/>
      <c r="BH456" s="16"/>
      <c r="CD456" s="16"/>
    </row>
    <row r="457" spans="12:82" x14ac:dyDescent="0.25">
      <c r="L457" s="14"/>
      <c r="P457" s="14"/>
      <c r="U457" s="13"/>
      <c r="V457" s="13"/>
      <c r="Y457" s="13"/>
      <c r="Z457" s="13"/>
      <c r="AC457" s="13"/>
      <c r="AD457" s="13"/>
      <c r="AG457" s="13"/>
      <c r="AH457" s="13"/>
      <c r="AK457" s="13"/>
      <c r="AL457" s="13"/>
      <c r="AO457" s="13"/>
      <c r="AP457" s="13"/>
      <c r="AS457" s="13"/>
      <c r="AT457" s="13"/>
      <c r="AW457" s="13"/>
      <c r="AX457" s="13"/>
      <c r="BA457" s="13"/>
      <c r="BB457" s="13"/>
      <c r="BH457" s="16"/>
      <c r="CD457" s="16"/>
    </row>
    <row r="458" spans="12:82" x14ac:dyDescent="0.25">
      <c r="L458" s="14"/>
      <c r="P458" s="14"/>
      <c r="U458" s="13"/>
      <c r="V458" s="13"/>
      <c r="Y458" s="13"/>
      <c r="Z458" s="13"/>
      <c r="AC458" s="13"/>
      <c r="AD458" s="13"/>
      <c r="AG458" s="13"/>
      <c r="AH458" s="13"/>
      <c r="AK458" s="13"/>
      <c r="AL458" s="13"/>
      <c r="AO458" s="13"/>
      <c r="AP458" s="13"/>
      <c r="AS458" s="13"/>
      <c r="AT458" s="13"/>
      <c r="AW458" s="13"/>
      <c r="AX458" s="13"/>
      <c r="BA458" s="13"/>
      <c r="BB458" s="13"/>
      <c r="BH458" s="16"/>
      <c r="CD458" s="16"/>
    </row>
    <row r="459" spans="12:82" x14ac:dyDescent="0.25">
      <c r="L459" s="14"/>
      <c r="P459" s="14"/>
      <c r="U459" s="13"/>
      <c r="V459" s="13"/>
      <c r="Y459" s="13"/>
      <c r="Z459" s="13"/>
      <c r="AC459" s="13"/>
      <c r="AD459" s="13"/>
      <c r="AG459" s="13"/>
      <c r="AH459" s="13"/>
      <c r="AK459" s="13"/>
      <c r="AL459" s="13"/>
      <c r="AO459" s="13"/>
      <c r="AP459" s="13"/>
      <c r="AS459" s="13"/>
      <c r="AT459" s="13"/>
      <c r="AW459" s="13"/>
      <c r="AX459" s="13"/>
      <c r="BA459" s="13"/>
      <c r="BB459" s="13"/>
      <c r="BH459" s="16"/>
      <c r="CD459" s="16"/>
    </row>
    <row r="460" spans="12:82" x14ac:dyDescent="0.25">
      <c r="L460" s="14"/>
      <c r="P460" s="14"/>
      <c r="U460" s="13"/>
      <c r="V460" s="13"/>
      <c r="Y460" s="13"/>
      <c r="Z460" s="13"/>
      <c r="AC460" s="13"/>
      <c r="AD460" s="13"/>
      <c r="AG460" s="13"/>
      <c r="AH460" s="13"/>
      <c r="AK460" s="13"/>
      <c r="AL460" s="13"/>
      <c r="AO460" s="13"/>
      <c r="AP460" s="13"/>
      <c r="AS460" s="13"/>
      <c r="AT460" s="13"/>
      <c r="AW460" s="13"/>
      <c r="AX460" s="13"/>
      <c r="BA460" s="13"/>
      <c r="BB460" s="13"/>
      <c r="BH460" s="16"/>
      <c r="CD460" s="16"/>
    </row>
    <row r="461" spans="12:82" x14ac:dyDescent="0.25">
      <c r="L461" s="14"/>
      <c r="P461" s="14"/>
      <c r="U461" s="13"/>
      <c r="V461" s="13"/>
      <c r="Y461" s="13"/>
      <c r="Z461" s="13"/>
      <c r="AC461" s="13"/>
      <c r="AD461" s="13"/>
      <c r="AG461" s="13"/>
      <c r="AH461" s="13"/>
      <c r="AK461" s="13"/>
      <c r="AL461" s="13"/>
      <c r="AO461" s="13"/>
      <c r="AP461" s="13"/>
      <c r="AS461" s="13"/>
      <c r="AT461" s="13"/>
      <c r="AW461" s="13"/>
      <c r="AX461" s="13"/>
      <c r="BA461" s="13"/>
      <c r="BB461" s="13"/>
      <c r="BH461" s="16"/>
      <c r="CD461" s="16"/>
    </row>
    <row r="462" spans="12:82" x14ac:dyDescent="0.25">
      <c r="L462" s="14"/>
      <c r="P462" s="14"/>
      <c r="U462" s="13"/>
      <c r="V462" s="13"/>
      <c r="Y462" s="13"/>
      <c r="Z462" s="13"/>
      <c r="AC462" s="13"/>
      <c r="AD462" s="13"/>
      <c r="AG462" s="13"/>
      <c r="AH462" s="13"/>
      <c r="AK462" s="13"/>
      <c r="AL462" s="13"/>
      <c r="AO462" s="13"/>
      <c r="AP462" s="13"/>
      <c r="AS462" s="13"/>
      <c r="AT462" s="13"/>
      <c r="AW462" s="13"/>
      <c r="AX462" s="13"/>
      <c r="BA462" s="13"/>
      <c r="BB462" s="13"/>
      <c r="BH462" s="16"/>
      <c r="CD462" s="16"/>
    </row>
    <row r="463" spans="12:82" x14ac:dyDescent="0.25">
      <c r="L463" s="14"/>
      <c r="P463" s="14"/>
      <c r="U463" s="13"/>
      <c r="V463" s="13"/>
      <c r="Y463" s="13"/>
      <c r="Z463" s="13"/>
      <c r="AC463" s="13"/>
      <c r="AD463" s="13"/>
      <c r="AG463" s="13"/>
      <c r="AH463" s="13"/>
      <c r="AK463" s="13"/>
      <c r="AL463" s="13"/>
      <c r="AO463" s="13"/>
      <c r="AP463" s="13"/>
      <c r="AS463" s="13"/>
      <c r="AT463" s="13"/>
      <c r="AW463" s="13"/>
      <c r="AX463" s="13"/>
      <c r="BA463" s="13"/>
      <c r="BB463" s="13"/>
      <c r="BH463" s="16"/>
      <c r="CD463" s="16"/>
    </row>
    <row r="464" spans="12:82" x14ac:dyDescent="0.25">
      <c r="L464" s="14"/>
      <c r="P464" s="14"/>
      <c r="U464" s="13"/>
      <c r="V464" s="13"/>
      <c r="Y464" s="13"/>
      <c r="Z464" s="13"/>
      <c r="AC464" s="13"/>
      <c r="AD464" s="13"/>
      <c r="AG464" s="13"/>
      <c r="AH464" s="13"/>
      <c r="AK464" s="13"/>
      <c r="AL464" s="13"/>
      <c r="AO464" s="13"/>
      <c r="AP464" s="13"/>
      <c r="AS464" s="13"/>
      <c r="AT464" s="13"/>
      <c r="AW464" s="13"/>
      <c r="AX464" s="13"/>
      <c r="BA464" s="13"/>
      <c r="BB464" s="13"/>
      <c r="BH464" s="16"/>
      <c r="CD464" s="16"/>
    </row>
    <row r="465" spans="12:82" x14ac:dyDescent="0.25">
      <c r="L465" s="14"/>
      <c r="P465" s="14"/>
      <c r="U465" s="13"/>
      <c r="V465" s="13"/>
      <c r="Y465" s="13"/>
      <c r="Z465" s="13"/>
      <c r="AC465" s="13"/>
      <c r="AD465" s="13"/>
      <c r="AG465" s="13"/>
      <c r="AH465" s="13"/>
      <c r="AK465" s="13"/>
      <c r="AL465" s="13"/>
      <c r="AO465" s="13"/>
      <c r="AP465" s="13"/>
      <c r="AS465" s="13"/>
      <c r="AT465" s="13"/>
      <c r="AW465" s="13"/>
      <c r="AX465" s="13"/>
      <c r="BA465" s="13"/>
      <c r="BB465" s="13"/>
      <c r="BH465" s="16"/>
      <c r="CD465" s="16"/>
    </row>
    <row r="466" spans="12:82" x14ac:dyDescent="0.25">
      <c r="L466" s="14"/>
      <c r="P466" s="14"/>
      <c r="U466" s="13"/>
      <c r="V466" s="13"/>
      <c r="Y466" s="13"/>
      <c r="Z466" s="13"/>
      <c r="AC466" s="13"/>
      <c r="AD466" s="13"/>
      <c r="AG466" s="13"/>
      <c r="AH466" s="13"/>
      <c r="AK466" s="13"/>
      <c r="AL466" s="13"/>
      <c r="AO466" s="13"/>
      <c r="AP466" s="13"/>
      <c r="AS466" s="13"/>
      <c r="AT466" s="13"/>
      <c r="AW466" s="13"/>
      <c r="AX466" s="13"/>
      <c r="BA466" s="13"/>
      <c r="BB466" s="13"/>
      <c r="BH466" s="16"/>
      <c r="CD466" s="16"/>
    </row>
    <row r="467" spans="12:82" x14ac:dyDescent="0.25">
      <c r="L467" s="14"/>
      <c r="P467" s="14"/>
      <c r="U467" s="13"/>
      <c r="V467" s="13"/>
      <c r="Y467" s="13"/>
      <c r="Z467" s="13"/>
      <c r="AC467" s="13"/>
      <c r="AD467" s="13"/>
      <c r="AG467" s="13"/>
      <c r="AH467" s="13"/>
      <c r="AK467" s="13"/>
      <c r="AL467" s="13"/>
      <c r="AO467" s="13"/>
      <c r="AP467" s="13"/>
      <c r="AS467" s="13"/>
      <c r="AT467" s="13"/>
      <c r="AW467" s="13"/>
      <c r="AX467" s="13"/>
      <c r="BA467" s="13"/>
      <c r="BB467" s="13"/>
      <c r="BH467" s="16"/>
      <c r="CD467" s="16"/>
    </row>
    <row r="468" spans="12:82" x14ac:dyDescent="0.25">
      <c r="L468" s="14"/>
      <c r="P468" s="14"/>
      <c r="U468" s="13"/>
      <c r="V468" s="13"/>
      <c r="Y468" s="13"/>
      <c r="Z468" s="13"/>
      <c r="AC468" s="13"/>
      <c r="AD468" s="13"/>
      <c r="AG468" s="13"/>
      <c r="AH468" s="13"/>
      <c r="AK468" s="13"/>
      <c r="AL468" s="13"/>
      <c r="AO468" s="13"/>
      <c r="AP468" s="13"/>
      <c r="AS468" s="13"/>
      <c r="AT468" s="13"/>
      <c r="AW468" s="13"/>
      <c r="AX468" s="13"/>
      <c r="BA468" s="13"/>
      <c r="BB468" s="13"/>
      <c r="BH468" s="16"/>
      <c r="CD468" s="16"/>
    </row>
    <row r="469" spans="12:82" x14ac:dyDescent="0.25">
      <c r="L469" s="14"/>
      <c r="P469" s="14"/>
      <c r="U469" s="13"/>
      <c r="V469" s="13"/>
      <c r="Y469" s="13"/>
      <c r="Z469" s="13"/>
      <c r="AC469" s="13"/>
      <c r="AD469" s="13"/>
      <c r="AG469" s="13"/>
      <c r="AH469" s="13"/>
      <c r="AK469" s="13"/>
      <c r="AL469" s="13"/>
      <c r="AO469" s="13"/>
      <c r="AP469" s="13"/>
      <c r="AS469" s="13"/>
      <c r="AT469" s="13"/>
      <c r="AW469" s="13"/>
      <c r="AX469" s="13"/>
      <c r="BA469" s="13"/>
      <c r="BB469" s="13"/>
      <c r="BH469" s="16"/>
      <c r="CD469" s="16"/>
    </row>
    <row r="470" spans="12:82" x14ac:dyDescent="0.25">
      <c r="L470" s="14"/>
      <c r="P470" s="14"/>
      <c r="U470" s="13"/>
      <c r="V470" s="13"/>
      <c r="Y470" s="13"/>
      <c r="Z470" s="13"/>
      <c r="AC470" s="13"/>
      <c r="AD470" s="13"/>
      <c r="AG470" s="13"/>
      <c r="AH470" s="13"/>
      <c r="AK470" s="13"/>
      <c r="AL470" s="13"/>
      <c r="AO470" s="13"/>
      <c r="AP470" s="13"/>
      <c r="AS470" s="13"/>
      <c r="AT470" s="13"/>
      <c r="AW470" s="13"/>
      <c r="AX470" s="13"/>
      <c r="BA470" s="13"/>
      <c r="BB470" s="13"/>
      <c r="BH470" s="16"/>
      <c r="CD470" s="16"/>
    </row>
    <row r="471" spans="12:82" x14ac:dyDescent="0.25">
      <c r="L471" s="14"/>
      <c r="P471" s="14"/>
      <c r="U471" s="13"/>
      <c r="V471" s="13"/>
      <c r="Y471" s="13"/>
      <c r="Z471" s="13"/>
      <c r="AC471" s="13"/>
      <c r="AD471" s="13"/>
      <c r="AG471" s="13"/>
      <c r="AH471" s="13"/>
      <c r="AK471" s="13"/>
      <c r="AL471" s="13"/>
      <c r="AO471" s="13"/>
      <c r="AP471" s="13"/>
      <c r="AS471" s="13"/>
      <c r="AT471" s="13"/>
      <c r="AW471" s="13"/>
      <c r="AX471" s="13"/>
      <c r="BA471" s="13"/>
      <c r="BB471" s="13"/>
      <c r="BH471" s="16"/>
      <c r="CD471" s="16"/>
    </row>
    <row r="472" spans="12:82" x14ac:dyDescent="0.25">
      <c r="L472" s="14"/>
      <c r="P472" s="14"/>
      <c r="U472" s="13"/>
      <c r="V472" s="13"/>
      <c r="Y472" s="13"/>
      <c r="Z472" s="13"/>
      <c r="AC472" s="13"/>
      <c r="AD472" s="13"/>
      <c r="AG472" s="13"/>
      <c r="AH472" s="13"/>
      <c r="AK472" s="13"/>
      <c r="AL472" s="13"/>
      <c r="AO472" s="13"/>
      <c r="AP472" s="13"/>
      <c r="AS472" s="13"/>
      <c r="AT472" s="13"/>
      <c r="AW472" s="13"/>
      <c r="AX472" s="13"/>
      <c r="BA472" s="13"/>
      <c r="BB472" s="13"/>
      <c r="BH472" s="16"/>
      <c r="CD472" s="16"/>
    </row>
    <row r="473" spans="12:82" x14ac:dyDescent="0.25">
      <c r="L473" s="14"/>
      <c r="P473" s="14"/>
      <c r="U473" s="13"/>
      <c r="V473" s="13"/>
      <c r="Y473" s="13"/>
      <c r="Z473" s="13"/>
      <c r="AC473" s="13"/>
      <c r="AD473" s="13"/>
      <c r="AG473" s="13"/>
      <c r="AH473" s="13"/>
      <c r="AK473" s="13"/>
      <c r="AL473" s="13"/>
      <c r="AO473" s="13"/>
      <c r="AP473" s="13"/>
      <c r="AS473" s="13"/>
      <c r="AT473" s="13"/>
      <c r="AW473" s="13"/>
      <c r="AX473" s="13"/>
      <c r="BA473" s="13"/>
      <c r="BB473" s="13"/>
      <c r="BH473" s="16"/>
      <c r="CD473" s="16"/>
    </row>
    <row r="474" spans="12:82" x14ac:dyDescent="0.25">
      <c r="L474" s="14"/>
      <c r="P474" s="14"/>
      <c r="U474" s="13"/>
      <c r="V474" s="13"/>
      <c r="Y474" s="13"/>
      <c r="Z474" s="13"/>
      <c r="AC474" s="13"/>
      <c r="AD474" s="13"/>
      <c r="AG474" s="13"/>
      <c r="AH474" s="13"/>
      <c r="AK474" s="13"/>
      <c r="AL474" s="13"/>
      <c r="AO474" s="13"/>
      <c r="AP474" s="13"/>
      <c r="AS474" s="13"/>
      <c r="AT474" s="13"/>
      <c r="AW474" s="13"/>
      <c r="AX474" s="13"/>
      <c r="BA474" s="13"/>
      <c r="BB474" s="13"/>
      <c r="BH474" s="16"/>
      <c r="CD474" s="16"/>
    </row>
    <row r="475" spans="12:82" x14ac:dyDescent="0.25">
      <c r="L475" s="14"/>
      <c r="P475" s="14"/>
      <c r="U475" s="13"/>
      <c r="V475" s="13"/>
      <c r="Y475" s="13"/>
      <c r="Z475" s="13"/>
      <c r="AC475" s="13"/>
      <c r="AD475" s="13"/>
      <c r="AG475" s="13"/>
      <c r="AH475" s="13"/>
      <c r="AK475" s="13"/>
      <c r="AL475" s="13"/>
      <c r="AO475" s="13"/>
      <c r="AP475" s="13"/>
      <c r="AS475" s="13"/>
      <c r="AT475" s="13"/>
      <c r="AW475" s="13"/>
      <c r="AX475" s="13"/>
      <c r="BA475" s="13"/>
      <c r="BB475" s="13"/>
      <c r="BH475" s="16"/>
      <c r="CD475" s="16"/>
    </row>
    <row r="476" spans="12:82" x14ac:dyDescent="0.25">
      <c r="L476" s="14"/>
      <c r="P476" s="14"/>
      <c r="U476" s="13"/>
      <c r="V476" s="13"/>
      <c r="Y476" s="13"/>
      <c r="Z476" s="13"/>
      <c r="AC476" s="13"/>
      <c r="AD476" s="13"/>
      <c r="AG476" s="13"/>
      <c r="AH476" s="13"/>
      <c r="AK476" s="13"/>
      <c r="AL476" s="13"/>
      <c r="AO476" s="13"/>
      <c r="AP476" s="13"/>
      <c r="AS476" s="13"/>
      <c r="AT476" s="13"/>
      <c r="AW476" s="13"/>
      <c r="AX476" s="13"/>
      <c r="BA476" s="13"/>
      <c r="BB476" s="13"/>
      <c r="BH476" s="16"/>
      <c r="CD476" s="16"/>
    </row>
    <row r="477" spans="12:82" x14ac:dyDescent="0.25">
      <c r="L477" s="14"/>
      <c r="P477" s="14"/>
      <c r="U477" s="13"/>
      <c r="V477" s="13"/>
      <c r="Y477" s="13"/>
      <c r="Z477" s="13"/>
      <c r="AC477" s="13"/>
      <c r="AD477" s="13"/>
      <c r="AG477" s="13"/>
      <c r="AH477" s="13"/>
      <c r="AK477" s="13"/>
      <c r="AL477" s="13"/>
      <c r="AO477" s="13"/>
      <c r="AP477" s="13"/>
      <c r="AS477" s="13"/>
      <c r="AT477" s="13"/>
      <c r="AW477" s="13"/>
      <c r="AX477" s="13"/>
      <c r="BA477" s="13"/>
      <c r="BB477" s="13"/>
      <c r="BH477" s="16"/>
      <c r="CD477" s="16"/>
    </row>
    <row r="478" spans="12:82" x14ac:dyDescent="0.25">
      <c r="L478" s="14"/>
      <c r="P478" s="14"/>
      <c r="U478" s="13"/>
      <c r="V478" s="13"/>
      <c r="Y478" s="13"/>
      <c r="Z478" s="13"/>
      <c r="AC478" s="13"/>
      <c r="AD478" s="13"/>
      <c r="AG478" s="13"/>
      <c r="AH478" s="13"/>
      <c r="AK478" s="13"/>
      <c r="AL478" s="13"/>
      <c r="AO478" s="13"/>
      <c r="AP478" s="13"/>
      <c r="AS478" s="13"/>
      <c r="AT478" s="13"/>
      <c r="AW478" s="13"/>
      <c r="AX478" s="13"/>
      <c r="BA478" s="13"/>
      <c r="BB478" s="13"/>
      <c r="BH478" s="16"/>
      <c r="CD478" s="16"/>
    </row>
    <row r="479" spans="12:82" x14ac:dyDescent="0.25">
      <c r="L479" s="14"/>
      <c r="P479" s="14"/>
      <c r="U479" s="13"/>
      <c r="V479" s="13"/>
      <c r="Y479" s="13"/>
      <c r="Z479" s="13"/>
      <c r="AC479" s="13"/>
      <c r="AD479" s="13"/>
      <c r="AG479" s="13"/>
      <c r="AH479" s="13"/>
      <c r="AK479" s="13"/>
      <c r="AL479" s="13"/>
      <c r="AO479" s="13"/>
      <c r="AP479" s="13"/>
      <c r="AS479" s="13"/>
      <c r="AT479" s="13"/>
      <c r="AW479" s="13"/>
      <c r="AX479" s="13"/>
      <c r="BA479" s="13"/>
      <c r="BB479" s="13"/>
      <c r="BH479" s="16"/>
      <c r="CD479" s="16"/>
    </row>
    <row r="480" spans="12:82" x14ac:dyDescent="0.25">
      <c r="L480" s="14"/>
      <c r="P480" s="14"/>
      <c r="U480" s="13"/>
      <c r="V480" s="13"/>
      <c r="Y480" s="13"/>
      <c r="Z480" s="13"/>
      <c r="AC480" s="13"/>
      <c r="AD480" s="13"/>
      <c r="AG480" s="13"/>
      <c r="AH480" s="13"/>
      <c r="AK480" s="13"/>
      <c r="AL480" s="13"/>
      <c r="AO480" s="13"/>
      <c r="AP480" s="13"/>
      <c r="AS480" s="13"/>
      <c r="AT480" s="13"/>
      <c r="AW480" s="13"/>
      <c r="AX480" s="13"/>
      <c r="BA480" s="13"/>
      <c r="BB480" s="13"/>
      <c r="BH480" s="16"/>
      <c r="CD480" s="16"/>
    </row>
    <row r="481" spans="12:82" x14ac:dyDescent="0.25">
      <c r="L481" s="14"/>
      <c r="P481" s="14"/>
      <c r="U481" s="13"/>
      <c r="V481" s="13"/>
      <c r="Y481" s="13"/>
      <c r="Z481" s="13"/>
      <c r="AC481" s="13"/>
      <c r="AD481" s="13"/>
      <c r="AG481" s="13"/>
      <c r="AH481" s="13"/>
      <c r="AK481" s="13"/>
      <c r="AL481" s="13"/>
      <c r="AO481" s="13"/>
      <c r="AP481" s="13"/>
      <c r="AS481" s="13"/>
      <c r="AT481" s="13"/>
      <c r="AW481" s="13"/>
      <c r="AX481" s="13"/>
      <c r="BA481" s="13"/>
      <c r="BB481" s="13"/>
      <c r="BH481" s="16"/>
      <c r="CD481" s="16"/>
    </row>
    <row r="482" spans="12:82" x14ac:dyDescent="0.25">
      <c r="L482" s="14"/>
      <c r="P482" s="14"/>
      <c r="U482" s="13"/>
      <c r="V482" s="13"/>
      <c r="Y482" s="13"/>
      <c r="Z482" s="13"/>
      <c r="AC482" s="13"/>
      <c r="AD482" s="13"/>
      <c r="AG482" s="13"/>
      <c r="AH482" s="13"/>
      <c r="AK482" s="13"/>
      <c r="AL482" s="13"/>
      <c r="AO482" s="13"/>
      <c r="AP482" s="13"/>
      <c r="AS482" s="13"/>
      <c r="AT482" s="13"/>
      <c r="AW482" s="13"/>
      <c r="AX482" s="13"/>
      <c r="BA482" s="13"/>
      <c r="BB482" s="13"/>
      <c r="BH482" s="16"/>
      <c r="CD482" s="16"/>
    </row>
    <row r="483" spans="12:82" x14ac:dyDescent="0.25">
      <c r="L483" s="14"/>
      <c r="P483" s="14"/>
      <c r="U483" s="13"/>
      <c r="V483" s="13"/>
      <c r="Y483" s="13"/>
      <c r="Z483" s="13"/>
      <c r="AC483" s="13"/>
      <c r="AD483" s="13"/>
      <c r="AG483" s="13"/>
      <c r="AH483" s="13"/>
      <c r="AK483" s="13"/>
      <c r="AL483" s="13"/>
      <c r="AO483" s="13"/>
      <c r="AP483" s="13"/>
      <c r="AS483" s="13"/>
      <c r="AT483" s="13"/>
      <c r="AW483" s="13"/>
      <c r="AX483" s="13"/>
      <c r="BA483" s="13"/>
      <c r="BB483" s="13"/>
      <c r="BH483" s="16"/>
      <c r="CD483" s="16"/>
    </row>
    <row r="484" spans="12:82" x14ac:dyDescent="0.25">
      <c r="L484" s="14"/>
      <c r="P484" s="14"/>
      <c r="U484" s="13"/>
      <c r="V484" s="13"/>
      <c r="Y484" s="13"/>
      <c r="Z484" s="13"/>
      <c r="AC484" s="13"/>
      <c r="AD484" s="13"/>
      <c r="AG484" s="13"/>
      <c r="AH484" s="13"/>
      <c r="AK484" s="13"/>
      <c r="AL484" s="13"/>
      <c r="AO484" s="13"/>
      <c r="AP484" s="13"/>
      <c r="AS484" s="13"/>
      <c r="AT484" s="13"/>
      <c r="AW484" s="13"/>
      <c r="AX484" s="13"/>
      <c r="BA484" s="13"/>
      <c r="BB484" s="13"/>
      <c r="BH484" s="16"/>
      <c r="CD484" s="16"/>
    </row>
    <row r="485" spans="12:82" x14ac:dyDescent="0.25">
      <c r="L485" s="14"/>
      <c r="P485" s="14"/>
      <c r="U485" s="13"/>
      <c r="V485" s="13"/>
      <c r="Y485" s="13"/>
      <c r="Z485" s="13"/>
      <c r="AC485" s="13"/>
      <c r="AD485" s="13"/>
      <c r="AG485" s="13"/>
      <c r="AH485" s="13"/>
      <c r="AK485" s="13"/>
      <c r="AL485" s="13"/>
      <c r="AO485" s="13"/>
      <c r="AP485" s="13"/>
      <c r="AS485" s="13"/>
      <c r="AT485" s="13"/>
      <c r="AW485" s="13"/>
      <c r="AX485" s="13"/>
      <c r="BA485" s="13"/>
      <c r="BB485" s="13"/>
      <c r="BH485" s="16"/>
      <c r="CD485" s="16"/>
    </row>
    <row r="486" spans="12:82" x14ac:dyDescent="0.25">
      <c r="L486" s="14"/>
      <c r="P486" s="14"/>
      <c r="U486" s="13"/>
      <c r="V486" s="13"/>
      <c r="Y486" s="13"/>
      <c r="Z486" s="13"/>
      <c r="AC486" s="13"/>
      <c r="AD486" s="13"/>
      <c r="AG486" s="13"/>
      <c r="AH486" s="13"/>
      <c r="AK486" s="13"/>
      <c r="AL486" s="13"/>
      <c r="AO486" s="13"/>
      <c r="AP486" s="13"/>
      <c r="AS486" s="13"/>
      <c r="AT486" s="13"/>
      <c r="AW486" s="13"/>
      <c r="AX486" s="13"/>
      <c r="BA486" s="13"/>
      <c r="BB486" s="13"/>
      <c r="BH486" s="16"/>
      <c r="CD486" s="16"/>
    </row>
    <row r="487" spans="12:82" x14ac:dyDescent="0.25">
      <c r="L487" s="14"/>
      <c r="P487" s="14"/>
      <c r="U487" s="13"/>
      <c r="V487" s="13"/>
      <c r="Y487" s="13"/>
      <c r="Z487" s="13"/>
      <c r="AC487" s="13"/>
      <c r="AD487" s="13"/>
      <c r="AG487" s="13"/>
      <c r="AH487" s="13"/>
      <c r="AK487" s="13"/>
      <c r="AL487" s="13"/>
      <c r="AO487" s="13"/>
      <c r="AP487" s="13"/>
      <c r="AS487" s="13"/>
      <c r="AT487" s="13"/>
      <c r="AW487" s="13"/>
      <c r="AX487" s="13"/>
      <c r="BA487" s="13"/>
      <c r="BB487" s="13"/>
      <c r="BH487" s="16"/>
      <c r="CD487" s="16"/>
    </row>
    <row r="488" spans="12:82" x14ac:dyDescent="0.25">
      <c r="L488" s="14"/>
      <c r="P488" s="14"/>
      <c r="U488" s="13"/>
      <c r="V488" s="13"/>
      <c r="Y488" s="13"/>
      <c r="Z488" s="13"/>
      <c r="AC488" s="13"/>
      <c r="AD488" s="13"/>
      <c r="AG488" s="13"/>
      <c r="AH488" s="13"/>
      <c r="AK488" s="13"/>
      <c r="AL488" s="13"/>
      <c r="AO488" s="13"/>
      <c r="AP488" s="13"/>
      <c r="AS488" s="13"/>
      <c r="AT488" s="13"/>
      <c r="AW488" s="13"/>
      <c r="AX488" s="13"/>
      <c r="BA488" s="13"/>
      <c r="BB488" s="13"/>
      <c r="BH488" s="16"/>
      <c r="CD488" s="16"/>
    </row>
    <row r="489" spans="12:82" x14ac:dyDescent="0.25">
      <c r="L489" s="14"/>
      <c r="P489" s="14"/>
      <c r="U489" s="13"/>
      <c r="V489" s="13"/>
      <c r="Y489" s="13"/>
      <c r="Z489" s="13"/>
      <c r="AC489" s="13"/>
      <c r="AD489" s="13"/>
      <c r="AG489" s="13"/>
      <c r="AH489" s="13"/>
      <c r="AK489" s="13"/>
      <c r="AL489" s="13"/>
      <c r="AO489" s="13"/>
      <c r="AP489" s="13"/>
      <c r="AS489" s="13"/>
      <c r="AT489" s="13"/>
      <c r="AW489" s="13"/>
      <c r="AX489" s="13"/>
      <c r="BA489" s="13"/>
      <c r="BB489" s="13"/>
      <c r="BH489" s="16"/>
      <c r="CD489" s="16"/>
    </row>
    <row r="490" spans="12:82" x14ac:dyDescent="0.25">
      <c r="L490" s="14"/>
      <c r="P490" s="14"/>
      <c r="U490" s="13"/>
      <c r="V490" s="13"/>
      <c r="Y490" s="13"/>
      <c r="Z490" s="13"/>
      <c r="AC490" s="13"/>
      <c r="AD490" s="13"/>
      <c r="AG490" s="13"/>
      <c r="AH490" s="13"/>
      <c r="AK490" s="13"/>
      <c r="AL490" s="13"/>
      <c r="AO490" s="13"/>
      <c r="AP490" s="13"/>
      <c r="AS490" s="13"/>
      <c r="AT490" s="13"/>
      <c r="AW490" s="13"/>
      <c r="AX490" s="13"/>
      <c r="BA490" s="13"/>
      <c r="BB490" s="13"/>
      <c r="BH490" s="16"/>
      <c r="CD490" s="16"/>
    </row>
    <row r="491" spans="12:82" x14ac:dyDescent="0.25">
      <c r="L491" s="14"/>
      <c r="P491" s="14"/>
      <c r="U491" s="13"/>
      <c r="V491" s="13"/>
      <c r="Y491" s="13"/>
      <c r="Z491" s="13"/>
      <c r="AC491" s="13"/>
      <c r="AD491" s="13"/>
      <c r="AG491" s="13"/>
      <c r="AH491" s="13"/>
      <c r="AK491" s="13"/>
      <c r="AL491" s="13"/>
      <c r="AO491" s="13"/>
      <c r="AP491" s="13"/>
      <c r="AS491" s="13"/>
      <c r="AT491" s="13"/>
      <c r="AW491" s="13"/>
      <c r="AX491" s="13"/>
      <c r="BA491" s="13"/>
      <c r="BB491" s="13"/>
      <c r="BH491" s="16"/>
      <c r="CD491" s="16"/>
    </row>
    <row r="492" spans="12:82" x14ac:dyDescent="0.25">
      <c r="L492" s="14"/>
      <c r="P492" s="14"/>
      <c r="U492" s="13"/>
      <c r="V492" s="13"/>
      <c r="Y492" s="13"/>
      <c r="Z492" s="13"/>
      <c r="AC492" s="13"/>
      <c r="AD492" s="13"/>
      <c r="AG492" s="13"/>
      <c r="AH492" s="13"/>
      <c r="AK492" s="13"/>
      <c r="AL492" s="13"/>
      <c r="AO492" s="13"/>
      <c r="AP492" s="13"/>
      <c r="AS492" s="13"/>
      <c r="AT492" s="13"/>
      <c r="AW492" s="13"/>
      <c r="AX492" s="13"/>
      <c r="BA492" s="13"/>
      <c r="BB492" s="13"/>
      <c r="BH492" s="16"/>
      <c r="CD492" s="16"/>
    </row>
    <row r="493" spans="12:82" x14ac:dyDescent="0.25">
      <c r="L493" s="14"/>
      <c r="P493" s="14"/>
      <c r="U493" s="13"/>
      <c r="V493" s="13"/>
      <c r="Y493" s="13"/>
      <c r="Z493" s="13"/>
      <c r="AC493" s="13"/>
      <c r="AD493" s="13"/>
      <c r="AG493" s="13"/>
      <c r="AH493" s="13"/>
      <c r="AK493" s="13"/>
      <c r="AL493" s="13"/>
      <c r="AO493" s="13"/>
      <c r="AP493" s="13"/>
      <c r="AS493" s="13"/>
      <c r="AT493" s="13"/>
      <c r="AW493" s="13"/>
      <c r="AX493" s="13"/>
      <c r="BA493" s="13"/>
      <c r="BB493" s="13"/>
      <c r="BH493" s="16"/>
      <c r="CD493" s="16"/>
    </row>
    <row r="494" spans="12:82" x14ac:dyDescent="0.25">
      <c r="L494" s="14"/>
      <c r="P494" s="14"/>
      <c r="U494" s="13"/>
      <c r="V494" s="13"/>
      <c r="Y494" s="13"/>
      <c r="Z494" s="13"/>
      <c r="AC494" s="13"/>
      <c r="AD494" s="13"/>
      <c r="AG494" s="13"/>
      <c r="AH494" s="13"/>
      <c r="AK494" s="13"/>
      <c r="AL494" s="13"/>
      <c r="AO494" s="13"/>
      <c r="AP494" s="13"/>
      <c r="AS494" s="13"/>
      <c r="AT494" s="13"/>
      <c r="AW494" s="13"/>
      <c r="AX494" s="13"/>
      <c r="BA494" s="13"/>
      <c r="BB494" s="13"/>
      <c r="BH494" s="16"/>
      <c r="CD494" s="16"/>
    </row>
    <row r="495" spans="12:82" x14ac:dyDescent="0.25">
      <c r="L495" s="14"/>
      <c r="P495" s="14"/>
      <c r="U495" s="13"/>
      <c r="V495" s="13"/>
      <c r="Y495" s="13"/>
      <c r="Z495" s="13"/>
      <c r="AC495" s="13"/>
      <c r="AD495" s="13"/>
      <c r="AG495" s="13"/>
      <c r="AH495" s="13"/>
      <c r="AK495" s="13"/>
      <c r="AL495" s="13"/>
      <c r="AO495" s="13"/>
      <c r="AP495" s="13"/>
      <c r="AS495" s="13"/>
      <c r="AT495" s="13"/>
      <c r="AW495" s="13"/>
      <c r="AX495" s="13"/>
      <c r="BA495" s="13"/>
      <c r="BB495" s="13"/>
      <c r="BH495" s="16"/>
      <c r="CD495" s="16"/>
    </row>
    <row r="496" spans="12:82" x14ac:dyDescent="0.25">
      <c r="L496" s="14"/>
      <c r="P496" s="14"/>
      <c r="U496" s="13"/>
      <c r="V496" s="13"/>
      <c r="Y496" s="13"/>
      <c r="Z496" s="13"/>
      <c r="AC496" s="13"/>
      <c r="AD496" s="13"/>
      <c r="AG496" s="13"/>
      <c r="AH496" s="13"/>
      <c r="AK496" s="13"/>
      <c r="AL496" s="13"/>
      <c r="AO496" s="13"/>
      <c r="AP496" s="13"/>
      <c r="AS496" s="13"/>
      <c r="AT496" s="13"/>
      <c r="AW496" s="13"/>
      <c r="AX496" s="13"/>
      <c r="BA496" s="13"/>
      <c r="BB496" s="13"/>
      <c r="BH496" s="16"/>
      <c r="CD496" s="16"/>
    </row>
    <row r="497" spans="12:82" x14ac:dyDescent="0.25">
      <c r="L497" s="14"/>
      <c r="P497" s="14"/>
      <c r="U497" s="13"/>
      <c r="V497" s="13"/>
      <c r="Y497" s="13"/>
      <c r="Z497" s="13"/>
      <c r="AC497" s="13"/>
      <c r="AD497" s="13"/>
      <c r="AG497" s="13"/>
      <c r="AH497" s="13"/>
      <c r="AK497" s="13"/>
      <c r="AL497" s="13"/>
      <c r="AO497" s="13"/>
      <c r="AP497" s="13"/>
      <c r="AS497" s="13"/>
      <c r="AT497" s="13"/>
      <c r="AW497" s="13"/>
      <c r="AX497" s="13"/>
      <c r="BA497" s="13"/>
      <c r="BB497" s="13"/>
      <c r="BH497" s="16"/>
      <c r="CD497" s="16"/>
    </row>
    <row r="498" spans="12:82" x14ac:dyDescent="0.25">
      <c r="L498" s="14"/>
      <c r="P498" s="14"/>
      <c r="U498" s="13"/>
      <c r="V498" s="13"/>
      <c r="Y498" s="13"/>
      <c r="Z498" s="13"/>
      <c r="AC498" s="13"/>
      <c r="AD498" s="13"/>
      <c r="AG498" s="13"/>
      <c r="AH498" s="13"/>
      <c r="AK498" s="13"/>
      <c r="AL498" s="13"/>
      <c r="AO498" s="13"/>
      <c r="AP498" s="13"/>
      <c r="AS498" s="13"/>
      <c r="AT498" s="13"/>
      <c r="AW498" s="13"/>
      <c r="AX498" s="13"/>
      <c r="BA498" s="13"/>
      <c r="BB498" s="13"/>
      <c r="BH498" s="16"/>
      <c r="CD498" s="16"/>
    </row>
    <row r="499" spans="12:82" x14ac:dyDescent="0.25">
      <c r="L499" s="14"/>
      <c r="P499" s="14"/>
      <c r="U499" s="13"/>
      <c r="V499" s="13"/>
      <c r="Y499" s="13"/>
      <c r="Z499" s="13"/>
      <c r="AC499" s="13"/>
      <c r="AD499" s="13"/>
      <c r="AG499" s="13"/>
      <c r="AH499" s="13"/>
      <c r="AK499" s="13"/>
      <c r="AL499" s="13"/>
      <c r="AO499" s="13"/>
      <c r="AP499" s="13"/>
      <c r="AS499" s="13"/>
      <c r="AT499" s="13"/>
      <c r="AW499" s="13"/>
      <c r="AX499" s="13"/>
      <c r="BA499" s="13"/>
      <c r="BB499" s="13"/>
      <c r="BH499" s="16"/>
      <c r="CD499" s="16"/>
    </row>
    <row r="500" spans="12:82" x14ac:dyDescent="0.25">
      <c r="L500" s="14"/>
      <c r="P500" s="14"/>
      <c r="U500" s="13"/>
      <c r="V500" s="13"/>
      <c r="Y500" s="13"/>
      <c r="Z500" s="13"/>
      <c r="AC500" s="13"/>
      <c r="AD500" s="13"/>
      <c r="AG500" s="13"/>
      <c r="AH500" s="13"/>
      <c r="AK500" s="13"/>
      <c r="AL500" s="13"/>
      <c r="AO500" s="13"/>
      <c r="AP500" s="13"/>
      <c r="AS500" s="13"/>
      <c r="AT500" s="13"/>
      <c r="AW500" s="13"/>
      <c r="AX500" s="13"/>
      <c r="BA500" s="13"/>
      <c r="BB500" s="13"/>
      <c r="BH500" s="16"/>
      <c r="CD500" s="16"/>
    </row>
    <row r="501" spans="12:82" x14ac:dyDescent="0.25">
      <c r="L501" s="14"/>
      <c r="P501" s="14"/>
      <c r="U501" s="13"/>
      <c r="V501" s="13"/>
      <c r="Y501" s="13"/>
      <c r="Z501" s="13"/>
      <c r="AC501" s="13"/>
      <c r="AD501" s="13"/>
      <c r="AG501" s="13"/>
      <c r="AH501" s="13"/>
      <c r="AK501" s="13"/>
      <c r="AL501" s="13"/>
      <c r="AO501" s="13"/>
      <c r="AP501" s="13"/>
      <c r="AS501" s="13"/>
      <c r="AT501" s="13"/>
      <c r="AW501" s="13"/>
      <c r="AX501" s="13"/>
      <c r="BA501" s="13"/>
      <c r="BB501" s="13"/>
      <c r="BH501" s="16"/>
      <c r="CD501" s="16"/>
    </row>
    <row r="502" spans="12:82" x14ac:dyDescent="0.25">
      <c r="L502" s="14"/>
      <c r="P502" s="14"/>
      <c r="U502" s="13"/>
      <c r="V502" s="13"/>
      <c r="Y502" s="13"/>
      <c r="Z502" s="13"/>
      <c r="AC502" s="13"/>
      <c r="AD502" s="13"/>
      <c r="AG502" s="13"/>
      <c r="AH502" s="13"/>
      <c r="AK502" s="13"/>
      <c r="AL502" s="13"/>
      <c r="AO502" s="13"/>
      <c r="AP502" s="13"/>
      <c r="AS502" s="13"/>
      <c r="AT502" s="13"/>
      <c r="AW502" s="13"/>
      <c r="AX502" s="13"/>
      <c r="BA502" s="13"/>
      <c r="BB502" s="13"/>
      <c r="BH502" s="16"/>
      <c r="CD502" s="16"/>
    </row>
    <row r="503" spans="12:82" x14ac:dyDescent="0.25">
      <c r="L503" s="14"/>
      <c r="P503" s="14"/>
      <c r="U503" s="13"/>
      <c r="V503" s="13"/>
      <c r="Y503" s="13"/>
      <c r="Z503" s="13"/>
      <c r="AC503" s="13"/>
      <c r="AD503" s="13"/>
      <c r="AG503" s="13"/>
      <c r="AH503" s="13"/>
      <c r="AK503" s="13"/>
      <c r="AL503" s="13"/>
      <c r="AO503" s="13"/>
      <c r="AP503" s="13"/>
      <c r="AS503" s="13"/>
      <c r="AT503" s="13"/>
      <c r="AW503" s="13"/>
      <c r="AX503" s="13"/>
      <c r="BA503" s="13"/>
      <c r="BB503" s="13"/>
      <c r="BH503" s="16"/>
      <c r="CD503" s="16"/>
    </row>
    <row r="504" spans="12:82" x14ac:dyDescent="0.25">
      <c r="L504" s="14"/>
      <c r="P504" s="14"/>
      <c r="U504" s="13"/>
      <c r="V504" s="13"/>
      <c r="Y504" s="13"/>
      <c r="Z504" s="13"/>
      <c r="AC504" s="13"/>
      <c r="AD504" s="13"/>
      <c r="AG504" s="13"/>
      <c r="AH504" s="13"/>
      <c r="AK504" s="13"/>
      <c r="AL504" s="13"/>
      <c r="AO504" s="13"/>
      <c r="AP504" s="13"/>
      <c r="AS504" s="13"/>
      <c r="AT504" s="13"/>
      <c r="AW504" s="13"/>
      <c r="AX504" s="13"/>
      <c r="BA504" s="13"/>
      <c r="BB504" s="13"/>
      <c r="BH504" s="16"/>
      <c r="CD504" s="16"/>
    </row>
    <row r="505" spans="12:82" x14ac:dyDescent="0.25">
      <c r="L505" s="14"/>
      <c r="P505" s="14"/>
      <c r="U505" s="13"/>
      <c r="V505" s="13"/>
      <c r="Y505" s="13"/>
      <c r="Z505" s="13"/>
      <c r="AC505" s="13"/>
      <c r="AD505" s="13"/>
      <c r="AG505" s="13"/>
      <c r="AH505" s="13"/>
      <c r="AK505" s="13"/>
      <c r="AL505" s="13"/>
      <c r="AO505" s="13"/>
      <c r="AP505" s="13"/>
      <c r="AS505" s="13"/>
      <c r="AT505" s="13"/>
      <c r="AW505" s="13"/>
      <c r="AX505" s="13"/>
      <c r="BA505" s="13"/>
      <c r="BB505" s="13"/>
      <c r="BH505" s="16"/>
      <c r="CD505" s="16"/>
    </row>
    <row r="506" spans="12:82" x14ac:dyDescent="0.25">
      <c r="L506" s="14"/>
      <c r="P506" s="14"/>
      <c r="U506" s="13"/>
      <c r="V506" s="13"/>
      <c r="Y506" s="13"/>
      <c r="Z506" s="13"/>
      <c r="AC506" s="13"/>
      <c r="AD506" s="13"/>
      <c r="AG506" s="13"/>
      <c r="AH506" s="13"/>
      <c r="AK506" s="13"/>
      <c r="AL506" s="13"/>
      <c r="AO506" s="13"/>
      <c r="AP506" s="13"/>
      <c r="AS506" s="13"/>
      <c r="AT506" s="13"/>
      <c r="AW506" s="13"/>
      <c r="AX506" s="13"/>
      <c r="BA506" s="13"/>
      <c r="BB506" s="13"/>
      <c r="BH506" s="16"/>
      <c r="CD506" s="16"/>
    </row>
    <row r="507" spans="12:82" x14ac:dyDescent="0.25">
      <c r="L507" s="14"/>
      <c r="P507" s="14"/>
      <c r="U507" s="13"/>
      <c r="V507" s="13"/>
      <c r="Y507" s="13"/>
      <c r="Z507" s="13"/>
      <c r="AC507" s="13"/>
      <c r="AD507" s="13"/>
      <c r="AG507" s="13"/>
      <c r="AH507" s="13"/>
      <c r="AK507" s="13"/>
      <c r="AL507" s="13"/>
      <c r="AO507" s="13"/>
      <c r="AP507" s="13"/>
      <c r="AS507" s="13"/>
      <c r="AT507" s="13"/>
      <c r="AW507" s="13"/>
      <c r="AX507" s="13"/>
      <c r="BA507" s="13"/>
      <c r="BB507" s="13"/>
      <c r="BH507" s="16"/>
      <c r="CD507" s="16"/>
    </row>
    <row r="508" spans="12:82" x14ac:dyDescent="0.25">
      <c r="L508" s="14"/>
      <c r="P508" s="14"/>
      <c r="U508" s="13"/>
      <c r="V508" s="13"/>
      <c r="Y508" s="13"/>
      <c r="Z508" s="13"/>
      <c r="AC508" s="13"/>
      <c r="AD508" s="13"/>
      <c r="AG508" s="13"/>
      <c r="AH508" s="13"/>
      <c r="AK508" s="13"/>
      <c r="AL508" s="13"/>
      <c r="AO508" s="13"/>
      <c r="AP508" s="13"/>
      <c r="AS508" s="13"/>
      <c r="AT508" s="13"/>
      <c r="AW508" s="13"/>
      <c r="AX508" s="13"/>
      <c r="BA508" s="13"/>
      <c r="BB508" s="13"/>
      <c r="BH508" s="16"/>
      <c r="CD508" s="16"/>
    </row>
    <row r="509" spans="12:82" x14ac:dyDescent="0.25">
      <c r="L509" s="14"/>
      <c r="P509" s="14"/>
      <c r="U509" s="13"/>
      <c r="V509" s="13"/>
      <c r="Y509" s="13"/>
      <c r="Z509" s="13"/>
      <c r="AC509" s="13"/>
      <c r="AD509" s="13"/>
      <c r="AG509" s="13"/>
      <c r="AH509" s="13"/>
      <c r="AK509" s="13"/>
      <c r="AL509" s="13"/>
      <c r="AO509" s="13"/>
      <c r="AP509" s="13"/>
      <c r="AS509" s="13"/>
      <c r="AT509" s="13"/>
      <c r="AW509" s="13"/>
      <c r="AX509" s="13"/>
      <c r="BA509" s="13"/>
      <c r="BB509" s="13"/>
      <c r="BH509" s="16"/>
      <c r="CD509" s="16"/>
    </row>
    <row r="510" spans="12:82" x14ac:dyDescent="0.25">
      <c r="L510" s="14"/>
      <c r="P510" s="14"/>
      <c r="U510" s="13"/>
      <c r="V510" s="13"/>
      <c r="Y510" s="13"/>
      <c r="Z510" s="13"/>
      <c r="AC510" s="13"/>
      <c r="AD510" s="13"/>
      <c r="AG510" s="13"/>
      <c r="AH510" s="13"/>
      <c r="AK510" s="13"/>
      <c r="AL510" s="13"/>
      <c r="AO510" s="13"/>
      <c r="AP510" s="13"/>
      <c r="AS510" s="13"/>
      <c r="AT510" s="13"/>
      <c r="AW510" s="13"/>
      <c r="AX510" s="13"/>
      <c r="BA510" s="13"/>
      <c r="BB510" s="13"/>
      <c r="BH510" s="16"/>
      <c r="CD510" s="16"/>
    </row>
    <row r="511" spans="12:82" x14ac:dyDescent="0.25">
      <c r="L511" s="14"/>
      <c r="P511" s="14"/>
      <c r="U511" s="13"/>
      <c r="V511" s="13"/>
      <c r="Y511" s="13"/>
      <c r="Z511" s="13"/>
      <c r="AC511" s="13"/>
      <c r="AD511" s="13"/>
      <c r="AG511" s="13"/>
      <c r="AH511" s="13"/>
      <c r="AK511" s="13"/>
      <c r="AL511" s="13"/>
      <c r="AO511" s="13"/>
      <c r="AP511" s="13"/>
      <c r="AS511" s="13"/>
      <c r="AT511" s="13"/>
      <c r="AW511" s="13"/>
      <c r="AX511" s="13"/>
      <c r="BA511" s="13"/>
      <c r="BB511" s="13"/>
      <c r="BH511" s="16"/>
      <c r="CD511" s="16"/>
    </row>
    <row r="512" spans="12:82" x14ac:dyDescent="0.25">
      <c r="L512" s="14"/>
      <c r="P512" s="14"/>
      <c r="U512" s="13"/>
      <c r="V512" s="13"/>
      <c r="Y512" s="13"/>
      <c r="Z512" s="13"/>
      <c r="AC512" s="13"/>
      <c r="AD512" s="13"/>
      <c r="AG512" s="13"/>
      <c r="AH512" s="13"/>
      <c r="AK512" s="13"/>
      <c r="AL512" s="13"/>
      <c r="AO512" s="13"/>
      <c r="AP512" s="13"/>
      <c r="AS512" s="13"/>
      <c r="AT512" s="13"/>
      <c r="AW512" s="13"/>
      <c r="AX512" s="13"/>
      <c r="BA512" s="13"/>
      <c r="BB512" s="13"/>
      <c r="BH512" s="16"/>
      <c r="CD512" s="16"/>
    </row>
    <row r="513" spans="1:82" x14ac:dyDescent="0.25">
      <c r="L513" s="14"/>
      <c r="P513" s="14"/>
      <c r="U513" s="13"/>
      <c r="V513" s="13"/>
      <c r="Y513" s="13"/>
      <c r="Z513" s="13"/>
      <c r="AC513" s="13"/>
      <c r="AD513" s="13"/>
      <c r="AG513" s="13"/>
      <c r="AH513" s="13"/>
      <c r="AK513" s="13"/>
      <c r="AL513" s="13"/>
      <c r="AO513" s="13"/>
      <c r="AP513" s="13"/>
      <c r="AS513" s="13"/>
      <c r="AT513" s="13"/>
      <c r="AW513" s="13"/>
      <c r="AX513" s="13"/>
      <c r="BA513" s="13"/>
      <c r="BB513" s="13"/>
      <c r="BH513" s="16"/>
      <c r="CD513" s="16"/>
    </row>
    <row r="514" spans="1:82" x14ac:dyDescent="0.25">
      <c r="L514" s="14"/>
      <c r="P514" s="14"/>
      <c r="U514" s="13"/>
      <c r="V514" s="13"/>
      <c r="Y514" s="13"/>
      <c r="Z514" s="13"/>
      <c r="AC514" s="13"/>
      <c r="AD514" s="13"/>
      <c r="AG514" s="13"/>
      <c r="AH514" s="13"/>
      <c r="AK514" s="13"/>
      <c r="AL514" s="13"/>
      <c r="AO514" s="13"/>
      <c r="AP514" s="13"/>
      <c r="AS514" s="13"/>
      <c r="AT514" s="13"/>
      <c r="AW514" s="13"/>
      <c r="AX514" s="13"/>
      <c r="BA514" s="13"/>
      <c r="BB514" s="13"/>
      <c r="BH514" s="16"/>
      <c r="CD514" s="16"/>
    </row>
    <row r="515" spans="1:82" x14ac:dyDescent="0.25">
      <c r="L515" s="14"/>
      <c r="P515" s="14"/>
      <c r="U515" s="13"/>
      <c r="V515" s="13"/>
      <c r="Y515" s="13"/>
      <c r="Z515" s="13"/>
      <c r="AC515" s="13"/>
      <c r="AD515" s="13"/>
      <c r="AG515" s="13"/>
      <c r="AH515" s="13"/>
      <c r="AK515" s="13"/>
      <c r="AL515" s="13"/>
      <c r="AO515" s="13"/>
      <c r="AP515" s="13"/>
      <c r="AS515" s="13"/>
      <c r="AT515" s="13"/>
      <c r="AW515" s="13"/>
      <c r="AX515" s="13"/>
      <c r="BA515" s="13"/>
      <c r="BB515" s="13"/>
      <c r="BH515" s="16"/>
      <c r="CD515" s="16"/>
    </row>
    <row r="516" spans="1:82" x14ac:dyDescent="0.25">
      <c r="L516" s="14"/>
      <c r="P516" s="14"/>
      <c r="U516" s="13"/>
      <c r="V516" s="13"/>
      <c r="Y516" s="13"/>
      <c r="Z516" s="13"/>
      <c r="AC516" s="13"/>
      <c r="AD516" s="13"/>
      <c r="AG516" s="13"/>
      <c r="AH516" s="13"/>
      <c r="AK516" s="13"/>
      <c r="AL516" s="13"/>
      <c r="AO516" s="13"/>
      <c r="AP516" s="13"/>
      <c r="AS516" s="13"/>
      <c r="AT516" s="13"/>
      <c r="AW516" s="13"/>
      <c r="AX516" s="13"/>
      <c r="BA516" s="13"/>
      <c r="BB516" s="13"/>
      <c r="BH516" s="16"/>
      <c r="CD516" s="16"/>
    </row>
    <row r="517" spans="1:82" x14ac:dyDescent="0.25">
      <c r="L517" s="14"/>
      <c r="P517" s="14"/>
      <c r="U517" s="13"/>
      <c r="V517" s="13"/>
      <c r="Y517" s="13"/>
      <c r="Z517" s="13"/>
      <c r="AC517" s="13"/>
      <c r="AD517" s="13"/>
      <c r="AG517" s="13"/>
      <c r="AH517" s="13"/>
      <c r="AK517" s="13"/>
      <c r="AL517" s="13"/>
      <c r="AO517" s="13"/>
      <c r="AP517" s="13"/>
      <c r="AS517" s="13"/>
      <c r="AT517" s="13"/>
      <c r="AW517" s="13"/>
      <c r="AX517" s="13"/>
      <c r="BA517" s="13"/>
      <c r="BB517" s="13"/>
      <c r="BH517" s="16"/>
      <c r="CD517" s="16"/>
    </row>
    <row r="518" spans="1:82" x14ac:dyDescent="0.25">
      <c r="A518" s="7"/>
      <c r="L518" s="14"/>
      <c r="P518" s="14"/>
      <c r="U518" s="13"/>
      <c r="V518" s="13"/>
      <c r="Y518" s="13"/>
      <c r="Z518" s="13"/>
      <c r="AC518" s="13"/>
      <c r="AD518" s="13"/>
      <c r="AG518" s="13"/>
      <c r="AH518" s="13"/>
      <c r="AK518" s="13"/>
      <c r="AL518" s="13"/>
      <c r="AO518" s="13"/>
      <c r="AP518" s="13"/>
      <c r="AS518" s="13"/>
      <c r="AT518" s="13"/>
      <c r="AW518" s="13"/>
      <c r="AX518" s="13"/>
      <c r="BA518" s="13"/>
      <c r="BB518" s="13"/>
      <c r="BH518" s="16"/>
      <c r="CD518" s="16"/>
    </row>
  </sheetData>
  <autoFilter ref="A1:BE518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H26"/>
  <sheetViews>
    <sheetView workbookViewId="0">
      <selection activeCell="B13" sqref="B13"/>
    </sheetView>
  </sheetViews>
  <sheetFormatPr baseColWidth="10" defaultRowHeight="15" x14ac:dyDescent="0.25"/>
  <cols>
    <col min="1" max="1" width="10.42578125" style="17" bestFit="1" customWidth="1"/>
    <col min="2" max="2" width="10.7109375" style="18" bestFit="1" customWidth="1"/>
    <col min="3" max="3" width="11.42578125" style="13"/>
    <col min="4" max="4" width="7.7109375" style="13" bestFit="1" customWidth="1"/>
    <col min="5" max="5" width="4" style="13" bestFit="1" customWidth="1"/>
    <col min="6" max="8" width="11.42578125" style="13"/>
    <col min="9" max="16384" width="11.42578125" style="15"/>
  </cols>
  <sheetData>
    <row r="1" spans="1:2" x14ac:dyDescent="0.25">
      <c r="A1" s="17" t="str">
        <f>'ALL VARS'!A1</f>
        <v>Date</v>
      </c>
      <c r="B1" s="18" t="str">
        <f>'ALL VARS'!B1</f>
        <v>Close price</v>
      </c>
    </row>
    <row r="2" spans="1:2" x14ac:dyDescent="0.25">
      <c r="A2" s="17">
        <f>'ALL VARS'!A2</f>
        <v>43913</v>
      </c>
      <c r="B2" s="18">
        <f>'ALL VARS'!B2</f>
        <v>133.22</v>
      </c>
    </row>
    <row r="3" spans="1:2" x14ac:dyDescent="0.25">
      <c r="A3" s="17">
        <f>'ALL VARS'!A3</f>
        <v>43910</v>
      </c>
      <c r="B3" s="18">
        <f>'ALL VARS'!B3</f>
        <v>146.4</v>
      </c>
    </row>
    <row r="4" spans="1:2" x14ac:dyDescent="0.25">
      <c r="A4" s="17">
        <f>'ALL VARS'!A4</f>
        <v>43909</v>
      </c>
      <c r="B4" s="18">
        <f>'ALL VARS'!B4</f>
        <v>152.87</v>
      </c>
    </row>
    <row r="5" spans="1:2" x14ac:dyDescent="0.25">
      <c r="A5" s="17">
        <f>'ALL VARS'!A5</f>
        <v>43908</v>
      </c>
      <c r="B5" s="18">
        <f>'ALL VARS'!B5</f>
        <v>144.76</v>
      </c>
    </row>
    <row r="6" spans="1:2" x14ac:dyDescent="0.25">
      <c r="A6" s="17">
        <f>'ALL VARS'!A6</f>
        <v>43907</v>
      </c>
      <c r="B6" s="18">
        <f>'ALL VARS'!B6</f>
        <v>152.41999999999999</v>
      </c>
    </row>
    <row r="7" spans="1:2" x14ac:dyDescent="0.25">
      <c r="A7" s="17">
        <f>'ALL VARS'!A7</f>
        <v>43906</v>
      </c>
      <c r="B7" s="18">
        <f>'ALL VARS'!B7</f>
        <v>143.80000000000001</v>
      </c>
    </row>
    <row r="8" spans="1:2" x14ac:dyDescent="0.25">
      <c r="A8" s="17">
        <f>'ALL VARS'!A8</f>
        <v>43903</v>
      </c>
      <c r="B8" s="18">
        <f>'ALL VARS'!B8</f>
        <v>159.78</v>
      </c>
    </row>
    <row r="9" spans="1:2" x14ac:dyDescent="0.25">
      <c r="A9" s="17">
        <f>'ALL VARS'!A9</f>
        <v>43902</v>
      </c>
      <c r="B9" s="18">
        <f>'ALL VARS'!B9</f>
        <v>144.07</v>
      </c>
    </row>
    <row r="10" spans="1:2" x14ac:dyDescent="0.25">
      <c r="A10" s="17">
        <f>'ALL VARS'!A10</f>
        <v>43901</v>
      </c>
      <c r="B10" s="18">
        <f>'ALL VARS'!B10</f>
        <v>165.07</v>
      </c>
    </row>
    <row r="11" spans="1:2" x14ac:dyDescent="0.25">
      <c r="A11" s="17">
        <f>'ALL VARS'!A11</f>
        <v>43900</v>
      </c>
      <c r="B11" s="18">
        <f>'ALL VARS'!B11</f>
        <v>170.2</v>
      </c>
    </row>
    <row r="13" spans="1:2" x14ac:dyDescent="0.25">
      <c r="B13" s="19">
        <f>(B2-'[1]SPTSX Communication Svcs_ret'!$G$123)/'[1]SPTSX Communication Svcs_ret'!$G$123</f>
        <v>-0.18980721279571858</v>
      </c>
    </row>
    <row r="16" spans="1:2" x14ac:dyDescent="0.25">
      <c r="A16" s="13"/>
    </row>
    <row r="17" spans="1:8" x14ac:dyDescent="0.25">
      <c r="A17" s="13"/>
    </row>
    <row r="18" spans="1:8" x14ac:dyDescent="0.25">
      <c r="A18" s="13"/>
    </row>
    <row r="19" spans="1:8" x14ac:dyDescent="0.25">
      <c r="A19" s="13"/>
    </row>
    <row r="20" spans="1:8" x14ac:dyDescent="0.25">
      <c r="A20" s="13"/>
      <c r="D20" s="17" t="s">
        <v>104</v>
      </c>
      <c r="E20" s="18">
        <f>MAX(B2:B11)</f>
        <v>170.2</v>
      </c>
      <c r="G20" s="19"/>
      <c r="H20" s="19"/>
    </row>
    <row r="21" spans="1:8" x14ac:dyDescent="0.25">
      <c r="D21" s="17" t="s">
        <v>31</v>
      </c>
      <c r="E21" s="18">
        <f>QUARTILE(B2:B11, 3)</f>
        <v>158.05250000000001</v>
      </c>
    </row>
    <row r="22" spans="1:8" x14ac:dyDescent="0.25">
      <c r="A22" s="13"/>
      <c r="D22" s="17" t="s">
        <v>32</v>
      </c>
      <c r="E22" s="18">
        <f>MEDIAN(B2:B11)</f>
        <v>149.41</v>
      </c>
    </row>
    <row r="23" spans="1:8" x14ac:dyDescent="0.25">
      <c r="A23" s="13"/>
      <c r="D23" s="17" t="s">
        <v>33</v>
      </c>
      <c r="E23" s="18">
        <f>QUARTILE(B2:B11, 1)</f>
        <v>144.24250000000001</v>
      </c>
    </row>
    <row r="24" spans="1:8" x14ac:dyDescent="0.25">
      <c r="A24" s="13"/>
      <c r="D24" s="17" t="s">
        <v>105</v>
      </c>
      <c r="E24" s="18">
        <f>MIN(B2:B11)</f>
        <v>133.22</v>
      </c>
    </row>
    <row r="25" spans="1:8" x14ac:dyDescent="0.25">
      <c r="A25" s="13"/>
    </row>
    <row r="26" spans="1:8" x14ac:dyDescent="0.25">
      <c r="A26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23"/>
  <sheetViews>
    <sheetView tabSelected="1"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9" style="13" bestFit="1" customWidth="1"/>
    <col min="7" max="7" width="11" style="13" bestFit="1" customWidth="1"/>
    <col min="8" max="8" width="11" style="13" customWidth="1"/>
    <col min="9" max="9" width="39" style="15" bestFit="1" customWidth="1"/>
    <col min="10" max="10" width="26.28515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VARS'!P1</f>
        <v>Sent_t_+_1</v>
      </c>
      <c r="F1" s="13" t="str">
        <f>'ALL VARS'!R1</f>
        <v>Sent_t_+_1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VARS'!P2</f>
        <v>-0.10538955245445754</v>
      </c>
      <c r="F2" s="13">
        <f>'ALL VARS'!R2</f>
        <v>-2.2121785245828569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VARS'!P3</f>
        <v>9.646422257646918E-2</v>
      </c>
      <c r="F3" s="13">
        <f>'ALL VARS'!R3</f>
        <v>1.7923526662823119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VARS'!P4</f>
        <v>-0.26341802316407364</v>
      </c>
      <c r="F4" s="13">
        <f>'ALL VARS'!R4</f>
        <v>-4.0414887513027109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VARS'!P5</f>
        <v>-1.0060927661305124E-2</v>
      </c>
      <c r="F5" s="13">
        <f>'ALL VARS'!R5</f>
        <v>-0.10962881461450596</v>
      </c>
      <c r="G5" s="13">
        <f>'ALL VARS'!J5</f>
        <v>56.111000699999998</v>
      </c>
      <c r="I5" s="15" t="s">
        <v>57</v>
      </c>
      <c r="J5" s="15">
        <v>0.83660162418892647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VARS'!P6</f>
        <v>-0.20595118422061204</v>
      </c>
      <c r="F6" s="13">
        <f>'ALL VARS'!R6</f>
        <v>-1.4390821050756857</v>
      </c>
      <c r="G6" s="13">
        <f>'ALL VARS'!J6</f>
        <v>52.202000299999995</v>
      </c>
      <c r="I6" s="15" t="s">
        <v>58</v>
      </c>
      <c r="J6" s="15">
        <v>0.69990227759554979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VARS'!P7</f>
        <v>-0.11883065734918301</v>
      </c>
      <c r="F7" s="13">
        <f>'ALL VARS'!R7</f>
        <v>-0.24484948644121413</v>
      </c>
      <c r="G7" s="13">
        <f>'ALL VARS'!J7</f>
        <v>47.274999899999997</v>
      </c>
      <c r="I7" s="15" t="s">
        <v>58</v>
      </c>
      <c r="J7" s="15">
        <v>0.25982409967198966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VARS'!P8</f>
        <v>3.1907220238021443E-2</v>
      </c>
      <c r="F8" s="13">
        <f>'ALL VARS'!R8</f>
        <v>9.2049390444236615E-3</v>
      </c>
      <c r="G8" s="13">
        <f>'ALL VARS'!J8</f>
        <v>45.502999800000012</v>
      </c>
      <c r="I8" s="15" t="s">
        <v>59</v>
      </c>
      <c r="J8" s="15">
        <v>6.1967813574133418E-2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VARS'!P9</f>
        <v>-0.35427594827488063</v>
      </c>
      <c r="F9" s="13">
        <f>'ALL VARS'!R9</f>
        <v>1.18417065684739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VARS'!P10</f>
        <v>-6.778317345306277E-2</v>
      </c>
      <c r="F10" s="13">
        <f>'ALL VARS'!R10</f>
        <v>0.40510678781203519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VARS'!P11</f>
        <v>-5.6557500781491396E-2</v>
      </c>
      <c r="F11" s="13">
        <f>'ALL VARS'!R11</f>
        <v>0.44802078053062933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4.4779275012063871E-2</v>
      </c>
      <c r="L13" s="15">
        <v>8.9558550024127735E-3</v>
      </c>
      <c r="M13" s="15">
        <v>2.3322478824156878</v>
      </c>
      <c r="N13" s="15">
        <v>0.21612293527889267</v>
      </c>
    </row>
    <row r="14" spans="1:14" x14ac:dyDescent="0.25">
      <c r="I14" s="15" t="s">
        <v>63</v>
      </c>
      <c r="J14" s="15">
        <v>5</v>
      </c>
      <c r="K14" s="15">
        <v>1.920004959579277E-2</v>
      </c>
      <c r="L14" s="15">
        <v>3.8400099191585541E-3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-1.1497499731928524</v>
      </c>
      <c r="K19" s="15">
        <v>0.4641141251518261</v>
      </c>
      <c r="L19" s="15">
        <v>-2.4773001097881555</v>
      </c>
      <c r="M19" s="15">
        <v>5.6026240448478717E-2</v>
      </c>
      <c r="N19" s="15">
        <v>-2.3427933129703762</v>
      </c>
      <c r="O19" s="15">
        <v>4.3293366584671089E-2</v>
      </c>
      <c r="P19" s="15">
        <v>-2.3427933129703762</v>
      </c>
      <c r="Q19" s="15">
        <v>4.3293366584671089E-2</v>
      </c>
    </row>
    <row r="20" spans="9:17" x14ac:dyDescent="0.25">
      <c r="I20" s="15" t="s">
        <v>54</v>
      </c>
      <c r="J20" s="15">
        <v>-0.41729417145329806</v>
      </c>
      <c r="K20" s="15">
        <v>0.43833123542123698</v>
      </c>
      <c r="L20" s="15">
        <v>-0.95200646846962145</v>
      </c>
      <c r="M20" s="15">
        <v>0.38481241316035192</v>
      </c>
      <c r="N20" s="15">
        <v>-1.5440604832191551</v>
      </c>
      <c r="O20" s="15">
        <v>0.70947214031255901</v>
      </c>
      <c r="P20" s="15">
        <v>-1.5440604832191551</v>
      </c>
      <c r="Q20" s="15">
        <v>0.70947214031255901</v>
      </c>
    </row>
    <row r="21" spans="9:17" x14ac:dyDescent="0.25">
      <c r="I21" s="15" t="s">
        <v>5</v>
      </c>
      <c r="J21" s="15">
        <v>2.8325808961340211E-3</v>
      </c>
      <c r="K21" s="15">
        <v>0.20069123206434031</v>
      </c>
      <c r="L21" s="15">
        <v>1.4114123805996238E-2</v>
      </c>
      <c r="M21" s="15">
        <v>0.98928479527307256</v>
      </c>
      <c r="N21" s="15">
        <v>-0.51306065481993157</v>
      </c>
      <c r="O21" s="15">
        <v>0.51872581661219963</v>
      </c>
      <c r="P21" s="15">
        <v>-0.51306065481993157</v>
      </c>
      <c r="Q21" s="15">
        <v>0.51872581661219963</v>
      </c>
    </row>
    <row r="22" spans="9:17" x14ac:dyDescent="0.25">
      <c r="I22" s="15" t="s">
        <v>18</v>
      </c>
      <c r="J22" s="15">
        <v>-1.6826261559352598E-2</v>
      </c>
      <c r="K22" s="15">
        <v>1.5084354478699062E-2</v>
      </c>
      <c r="L22" s="15">
        <v>-1.1154777344375804</v>
      </c>
      <c r="M22" s="15">
        <v>0.31536766154976265</v>
      </c>
      <c r="N22" s="15">
        <v>-5.5601829184595705E-2</v>
      </c>
      <c r="O22" s="15">
        <v>2.1949306065890507E-2</v>
      </c>
      <c r="P22" s="15">
        <v>-5.5601829184595705E-2</v>
      </c>
      <c r="Q22" s="15">
        <v>2.1949306065890507E-2</v>
      </c>
    </row>
    <row r="23" spans="9:17" ht="15.75" thickBot="1" x14ac:dyDescent="0.3">
      <c r="I23" s="21" t="s">
        <v>3</v>
      </c>
      <c r="J23" s="21">
        <v>-9.2995613085837439E-4</v>
      </c>
      <c r="K23" s="21">
        <v>4.7922130510832825E-4</v>
      </c>
      <c r="L23" s="21">
        <v>-1.9405567343216457</v>
      </c>
      <c r="M23" s="21">
        <v>0.10999238246675269</v>
      </c>
      <c r="N23" s="21">
        <v>-2.1618337130197714E-3</v>
      </c>
      <c r="O23" s="21">
        <v>3.0192145130302254E-4</v>
      </c>
      <c r="P23" s="21">
        <v>-2.1618337130197714E-3</v>
      </c>
      <c r="Q23" s="21">
        <v>3.0192145130302254E-4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VARS'!T1</f>
        <v>Sent_t_+_1_k, k=0</v>
      </c>
      <c r="F1" s="13" t="str">
        <f>'ALL VARS'!V1</f>
        <v>Sent_t_+_1_k,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VARS'!T2</f>
        <v>-4.9289412116588667E-3</v>
      </c>
      <c r="F2" s="13">
        <f>'ALL VARS'!V2</f>
        <v>-0.1034608995239354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VARS'!T3</f>
        <v>1.6987292566922114E-2</v>
      </c>
      <c r="F3" s="13">
        <f>'ALL VARS'!V3</f>
        <v>0.31563224490929176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VARS'!T4</f>
        <v>-5.5165897223910382E-3</v>
      </c>
      <c r="F4" s="13">
        <f>'ALL VARS'!V4</f>
        <v>-8.4638230295687192E-2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VARS'!T5</f>
        <v>-1.7128678152920237E-4</v>
      </c>
      <c r="F5" s="13">
        <f>'ALL VARS'!V5</f>
        <v>-1.8664249908486466E-3</v>
      </c>
      <c r="G5" s="13">
        <f>'ALL VARS'!J5</f>
        <v>56.111000699999998</v>
      </c>
      <c r="I5" s="15" t="s">
        <v>57</v>
      </c>
      <c r="J5" s="15">
        <v>0.88437791028368351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VARS'!T6</f>
        <v>-3.4952245618801718E-2</v>
      </c>
      <c r="F6" s="13">
        <f>'ALL VARS'!V6</f>
        <v>-0.2442285116862831</v>
      </c>
      <c r="G6" s="13">
        <f>'ALL VARS'!J6</f>
        <v>52.202000299999995</v>
      </c>
      <c r="I6" s="15" t="s">
        <v>58</v>
      </c>
      <c r="J6" s="15">
        <v>0.78212428819773494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VARS'!T7</f>
        <v>-1.5805663897263415E-3</v>
      </c>
      <c r="F7" s="13">
        <f>'ALL VARS'!V7</f>
        <v>-3.2567426406936335E-3</v>
      </c>
      <c r="G7" s="13">
        <f>'ALL VARS'!J7</f>
        <v>47.274999899999997</v>
      </c>
      <c r="I7" s="15" t="s">
        <v>58</v>
      </c>
      <c r="J7" s="15">
        <v>0.40782371875592283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VARS'!T8</f>
        <v>5.8939209202283022E-4</v>
      </c>
      <c r="F8" s="13">
        <f>'ALL VARS'!V8</f>
        <v>1.7003418786919422E-4</v>
      </c>
      <c r="G8" s="13">
        <f>'ALL VARS'!J8</f>
        <v>45.502999800000012</v>
      </c>
      <c r="I8" s="15" t="s">
        <v>59</v>
      </c>
      <c r="J8" s="15">
        <v>5.2800645620228799E-2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VARS'!T9</f>
        <v>-5.525452737428084E-3</v>
      </c>
      <c r="F9" s="13">
        <f>'ALL VARS'!V9</f>
        <v>1.8468877239113866E-2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VARS'!T10</f>
        <v>-7.0630842905598122E-3</v>
      </c>
      <c r="F10" s="13">
        <f>'ALL VARS'!V10</f>
        <v>4.2212591167270663E-2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VARS'!T11</f>
        <v>-7.1279300234385438E-3</v>
      </c>
      <c r="F11" s="13">
        <f>'ALL VARS'!V11</f>
        <v>5.6463965496044564E-2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5.0039783718291708E-2</v>
      </c>
      <c r="L13" s="15">
        <v>1.0007956743658342E-2</v>
      </c>
      <c r="M13" s="15">
        <v>3.5897727274325963</v>
      </c>
      <c r="N13" s="15">
        <v>0.11975073771846972</v>
      </c>
    </row>
    <row r="14" spans="1:14" x14ac:dyDescent="0.25">
      <c r="I14" s="15" t="s">
        <v>63</v>
      </c>
      <c r="J14" s="15">
        <v>5</v>
      </c>
      <c r="K14" s="15">
        <v>1.3939540889564932E-2</v>
      </c>
      <c r="L14" s="15">
        <v>2.7879081779129864E-3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-0.99610409451655102</v>
      </c>
      <c r="K19" s="15">
        <v>0.30836379937631597</v>
      </c>
      <c r="L19" s="15">
        <v>-3.2302886931969006</v>
      </c>
      <c r="M19" s="15">
        <v>2.3198378022852822E-2</v>
      </c>
      <c r="N19" s="15">
        <v>-1.7887784759611098</v>
      </c>
      <c r="O19" s="15">
        <v>-0.20342971307199231</v>
      </c>
      <c r="P19" s="15">
        <v>-1.7887784759611098</v>
      </c>
      <c r="Q19" s="15">
        <v>-0.20342971307199231</v>
      </c>
    </row>
    <row r="20" spans="9:17" x14ac:dyDescent="0.25">
      <c r="I20" s="15" t="s">
        <v>54</v>
      </c>
      <c r="J20" s="15">
        <v>-0.30945766198785818</v>
      </c>
      <c r="K20" s="15">
        <v>0.34845527823711264</v>
      </c>
      <c r="L20" s="15">
        <v>-0.88808430038267971</v>
      </c>
      <c r="M20" s="15">
        <v>0.41516901603457534</v>
      </c>
      <c r="N20" s="15">
        <v>-1.2051904707557781</v>
      </c>
      <c r="O20" s="15">
        <v>0.58627514678006176</v>
      </c>
      <c r="P20" s="15">
        <v>-1.2051904707557781</v>
      </c>
      <c r="Q20" s="15">
        <v>0.58627514678006176</v>
      </c>
    </row>
    <row r="21" spans="9:17" x14ac:dyDescent="0.25">
      <c r="I21" s="15" t="s">
        <v>8</v>
      </c>
      <c r="J21" s="15">
        <v>3.4661996384530496</v>
      </c>
      <c r="K21" s="15">
        <v>2.593189626723531</v>
      </c>
      <c r="L21" s="15">
        <v>1.3366549066573885</v>
      </c>
      <c r="M21" s="15">
        <v>0.23892859237447256</v>
      </c>
      <c r="N21" s="15">
        <v>-3.1998065123629753</v>
      </c>
      <c r="O21" s="15">
        <v>10.132205789269074</v>
      </c>
      <c r="P21" s="15">
        <v>-3.1998065123629753</v>
      </c>
      <c r="Q21" s="15">
        <v>10.132205789269074</v>
      </c>
    </row>
    <row r="22" spans="9:17" x14ac:dyDescent="0.25">
      <c r="I22" s="15" t="s">
        <v>78</v>
      </c>
      <c r="J22" s="15">
        <v>-0.46389869334361261</v>
      </c>
      <c r="K22" s="15">
        <v>0.23413497638569944</v>
      </c>
      <c r="L22" s="15">
        <v>-1.9813301733245301</v>
      </c>
      <c r="M22" s="15">
        <v>0.10440042085019892</v>
      </c>
      <c r="N22" s="15">
        <v>-1.0657618107278291</v>
      </c>
      <c r="O22" s="15">
        <v>0.13796442404060388</v>
      </c>
      <c r="P22" s="15">
        <v>-1.0657618107278291</v>
      </c>
      <c r="Q22" s="15">
        <v>0.13796442404060388</v>
      </c>
    </row>
    <row r="23" spans="9:17" ht="15.75" thickBot="1" x14ac:dyDescent="0.3">
      <c r="I23" s="21" t="s">
        <v>3</v>
      </c>
      <c r="J23" s="21">
        <v>-3.8945365198513239E-4</v>
      </c>
      <c r="K23" s="21">
        <v>4.2322313840974517E-4</v>
      </c>
      <c r="L23" s="21">
        <v>-0.92020878973795917</v>
      </c>
      <c r="M23" s="21">
        <v>0.39968414564840393</v>
      </c>
      <c r="N23" s="21">
        <v>-1.4773833640022173E-3</v>
      </c>
      <c r="O23" s="21">
        <v>6.9847606003195246E-4</v>
      </c>
      <c r="P23" s="21">
        <v>-1.4773833640022173E-3</v>
      </c>
      <c r="Q23" s="21">
        <v>6.9847606003195246E-4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VARS'!X1</f>
        <v>Sent_t_+_1_k, k=1</v>
      </c>
      <c r="F1" s="13" t="str">
        <f>'ALL VARS'!Z1</f>
        <v>Sent_t_+_1_k,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VARS'!X2</f>
        <v>-5.1828275443348854E-3</v>
      </c>
      <c r="F2" s="13">
        <f>'ALL VARS'!Z2</f>
        <v>-0.1087900984791515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VARS'!X3</f>
        <v>1.0154784757221319E-2</v>
      </c>
      <c r="F3" s="13">
        <f>'ALL VARS'!Z3</f>
        <v>0.1886808917233572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VARS'!X4</f>
        <v>-5.5161054726054672E-3</v>
      </c>
      <c r="F4" s="13">
        <f>'ALL VARS'!Z4</f>
        <v>-8.4630800697523406E-2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VARS'!X5</f>
        <v>-1.712852538570524E-4</v>
      </c>
      <c r="F5" s="13">
        <f>'ALL VARS'!Z5</f>
        <v>-1.8664083445817654E-3</v>
      </c>
      <c r="G5" s="13">
        <f>'ALL VARS'!J5</f>
        <v>56.111000699999998</v>
      </c>
      <c r="I5" s="15" t="s">
        <v>57</v>
      </c>
      <c r="J5" s="15">
        <v>0.84487103465905866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VARS'!X6</f>
        <v>-4.0604122122646939E-3</v>
      </c>
      <c r="F6" s="13">
        <f>'ALL VARS'!Z6</f>
        <v>-2.8372094950625155E-2</v>
      </c>
      <c r="G6" s="13">
        <f>'ALL VARS'!J6</f>
        <v>52.202000299999995</v>
      </c>
      <c r="I6" s="15" t="s">
        <v>58</v>
      </c>
      <c r="J6" s="15">
        <v>0.71380706520586834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VARS'!X7</f>
        <v>-9.1976094424414557E-3</v>
      </c>
      <c r="F7" s="13">
        <f>'ALL VARS'!Z7</f>
        <v>-1.8951590428815678E-2</v>
      </c>
      <c r="G7" s="13">
        <f>'ALL VARS'!J7</f>
        <v>47.274999899999997</v>
      </c>
      <c r="I7" s="15" t="s">
        <v>58</v>
      </c>
      <c r="J7" s="15">
        <v>0.284852717370563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VARS'!X8</f>
        <v>5.8937331608311489E-4</v>
      </c>
      <c r="F8" s="13">
        <f>'ALL VARS'!Z8</f>
        <v>1.700287711835885E-4</v>
      </c>
      <c r="G8" s="13">
        <f>'ALL VARS'!J8</f>
        <v>45.502999800000012</v>
      </c>
      <c r="I8" s="15" t="s">
        <v>59</v>
      </c>
      <c r="J8" s="15">
        <v>6.0515172767941265E-2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VARS'!X9</f>
        <v>-3.6524204180966004E-2</v>
      </c>
      <c r="F9" s="13">
        <f>'ALL VARS'!Z9</f>
        <v>0.12208249266259698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VARS'!X10</f>
        <v>-1.038061216449215E-3</v>
      </c>
      <c r="F10" s="13">
        <f>'ALL VARS'!Z10</f>
        <v>6.2039828400656544E-3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VARS'!X11</f>
        <v>-8.8192819373451511E-4</v>
      </c>
      <c r="F11" s="13">
        <f>'ALL VARS'!Z11</f>
        <v>6.9862025773637154E-3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4.5668893932187746E-2</v>
      </c>
      <c r="L13" s="15">
        <v>9.1337787864375491E-3</v>
      </c>
      <c r="M13" s="15">
        <v>2.494146355217798</v>
      </c>
      <c r="N13" s="15">
        <v>0.19832071538931043</v>
      </c>
    </row>
    <row r="14" spans="1:14" x14ac:dyDescent="0.25">
      <c r="I14" s="15" t="s">
        <v>63</v>
      </c>
      <c r="J14" s="15">
        <v>5</v>
      </c>
      <c r="K14" s="15">
        <v>1.8310430675668898E-2</v>
      </c>
      <c r="L14" s="15">
        <v>3.6620861351337798E-3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-0.84502341830581851</v>
      </c>
      <c r="K19" s="15">
        <v>0.5434016527542237</v>
      </c>
      <c r="L19" s="15">
        <v>-1.5550622896025972</v>
      </c>
      <c r="M19" s="15">
        <v>0.18065141850892955</v>
      </c>
      <c r="N19" s="15">
        <v>-2.2418818363305784</v>
      </c>
      <c r="O19" s="15">
        <v>0.55183499971894134</v>
      </c>
      <c r="P19" s="15">
        <v>-2.2418818363305784</v>
      </c>
      <c r="Q19" s="15">
        <v>0.55183499971894134</v>
      </c>
    </row>
    <row r="20" spans="9:17" x14ac:dyDescent="0.25">
      <c r="I20" s="15" t="s">
        <v>54</v>
      </c>
      <c r="J20" s="15">
        <v>-0.20079183029497805</v>
      </c>
      <c r="K20" s="15">
        <v>0.48972063808255684</v>
      </c>
      <c r="L20" s="15">
        <v>-0.41001300472276331</v>
      </c>
      <c r="M20" s="15">
        <v>0.69877277662212678</v>
      </c>
      <c r="N20" s="15">
        <v>-1.4596588070862244</v>
      </c>
      <c r="O20" s="15">
        <v>1.0580751464962683</v>
      </c>
      <c r="P20" s="15">
        <v>-1.4596588070862244</v>
      </c>
      <c r="Q20" s="15">
        <v>1.0580751464962683</v>
      </c>
    </row>
    <row r="21" spans="9:17" x14ac:dyDescent="0.25">
      <c r="I21" s="15" t="s">
        <v>9</v>
      </c>
      <c r="J21" s="15">
        <v>-1.6412580974192603</v>
      </c>
      <c r="K21" s="15">
        <v>2.5168590213814723</v>
      </c>
      <c r="L21" s="15">
        <v>-0.65210569343625546</v>
      </c>
      <c r="M21" s="15">
        <v>0.54311746945037265</v>
      </c>
      <c r="N21" s="15">
        <v>-8.1110501806398645</v>
      </c>
      <c r="O21" s="15">
        <v>4.8285339858013447</v>
      </c>
      <c r="P21" s="15">
        <v>-8.1110501806398645</v>
      </c>
      <c r="Q21" s="15">
        <v>4.8285339858013447</v>
      </c>
    </row>
    <row r="22" spans="9:17" x14ac:dyDescent="0.25">
      <c r="I22" s="15" t="s">
        <v>79</v>
      </c>
      <c r="J22" s="15">
        <v>-0.30168015066001957</v>
      </c>
      <c r="K22" s="15">
        <v>0.23930646212384629</v>
      </c>
      <c r="L22" s="15">
        <v>-1.2606435613255338</v>
      </c>
      <c r="M22" s="15">
        <v>0.26306391778737176</v>
      </c>
      <c r="N22" s="15">
        <v>-0.91683699534596874</v>
      </c>
      <c r="O22" s="15">
        <v>0.31347669402592954</v>
      </c>
      <c r="P22" s="15">
        <v>-0.91683699534596874</v>
      </c>
      <c r="Q22" s="15">
        <v>0.31347669402592954</v>
      </c>
    </row>
    <row r="23" spans="9:17" ht="15.75" thickBot="1" x14ac:dyDescent="0.3">
      <c r="I23" s="21" t="s">
        <v>3</v>
      </c>
      <c r="J23" s="21">
        <v>-6.9223886374697777E-4</v>
      </c>
      <c r="K23" s="21">
        <v>4.2372149624208367E-4</v>
      </c>
      <c r="L23" s="21">
        <v>-1.6337119307996657</v>
      </c>
      <c r="M23" s="21">
        <v>0.16324738536282138</v>
      </c>
      <c r="N23" s="21">
        <v>-1.7814496453555191E-3</v>
      </c>
      <c r="O23" s="21">
        <v>3.9697191786156353E-4</v>
      </c>
      <c r="P23" s="21">
        <v>-1.7814496453555191E-3</v>
      </c>
      <c r="Q23" s="21">
        <v>3.9697191786156353E-4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VARS'!AB1</f>
        <v>Sent_t_+_1_k, k=2</v>
      </c>
      <c r="F1" s="13" t="str">
        <f>'ALL VARS'!AD1</f>
        <v>Sent_t_+_1_k,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VARS'!AB2</f>
        <v>-8.3667689322941517E-3</v>
      </c>
      <c r="F2" s="13">
        <f>'ALL VARS'!AD2</f>
        <v>-0.17562259371171016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VARS'!AB3</f>
        <v>1.7143712440832329E-3</v>
      </c>
      <c r="F3" s="13">
        <f>'ALL VARS'!AD3</f>
        <v>3.1853860304471619E-2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VARS'!AB4</f>
        <v>-5.516151605443196E-3</v>
      </c>
      <c r="F4" s="13">
        <f>'ALL VARS'!AD4</f>
        <v>-8.463150849018887E-2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VARS'!AB5</f>
        <v>-1.7174013778191975E-3</v>
      </c>
      <c r="F5" s="13">
        <f>'ALL VARS'!AD5</f>
        <v>-1.8713649834871619E-2</v>
      </c>
      <c r="G5" s="13">
        <f>'ALL VARS'!J5</f>
        <v>56.111000699999998</v>
      </c>
      <c r="I5" s="15" t="s">
        <v>57</v>
      </c>
      <c r="J5" s="15">
        <v>0.84581908157943597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VARS'!AB6</f>
        <v>-4.060510748992348E-3</v>
      </c>
      <c r="F6" s="13">
        <f>'ALL VARS'!AD6</f>
        <v>-2.8372783475150987E-2</v>
      </c>
      <c r="G6" s="13">
        <f>'ALL VARS'!J6</f>
        <v>52.202000299999995</v>
      </c>
      <c r="I6" s="15" t="s">
        <v>58</v>
      </c>
      <c r="J6" s="15">
        <v>0.71540991876388049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VARS'!AB7</f>
        <v>-1.7032330551087344E-2</v>
      </c>
      <c r="F7" s="13">
        <f>'ALL VARS'!AD7</f>
        <v>-3.5094961867257649E-2</v>
      </c>
      <c r="G7" s="13">
        <f>'ALL VARS'!J7</f>
        <v>47.274999899999997</v>
      </c>
      <c r="I7" s="15" t="s">
        <v>58</v>
      </c>
      <c r="J7" s="15">
        <v>0.28773785377498484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VARS'!AB8</f>
        <v>7.6543061057000065E-3</v>
      </c>
      <c r="F8" s="13">
        <f>'ALL VARS'!AD8</f>
        <v>2.2081967844497338E-3</v>
      </c>
      <c r="G8" s="13">
        <f>'ALL VARS'!J8</f>
        <v>45.502999800000012</v>
      </c>
      <c r="I8" s="15" t="s">
        <v>59</v>
      </c>
      <c r="J8" s="15">
        <v>6.0345474043348071E-2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VARS'!AB9</f>
        <v>-3.5048006093452558E-2</v>
      </c>
      <c r="F9" s="13">
        <f>'ALL VARS'!AD9</f>
        <v>0.11714828680572255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VARS'!AB10</f>
        <v>-1.2657981316277959E-2</v>
      </c>
      <c r="F10" s="13">
        <f>'ALL VARS'!AD10</f>
        <v>7.5650547031011289E-2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VARS'!AB11</f>
        <v>-8.6372160473580078E-3</v>
      </c>
      <c r="F11" s="13">
        <f>'ALL VARS'!AD11</f>
        <v>6.8419789093922739E-2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4.5771443420274664E-2</v>
      </c>
      <c r="L13" s="15">
        <v>9.1542886840549325E-3</v>
      </c>
      <c r="M13" s="15">
        <v>2.513825905866049</v>
      </c>
      <c r="N13" s="15">
        <v>0.19630474381146729</v>
      </c>
    </row>
    <row r="14" spans="1:14" x14ac:dyDescent="0.25">
      <c r="I14" s="15" t="s">
        <v>63</v>
      </c>
      <c r="J14" s="15">
        <v>5</v>
      </c>
      <c r="K14" s="15">
        <v>1.820788118758198E-2</v>
      </c>
      <c r="L14" s="15">
        <v>3.641576237516396E-3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-0.82684837011629675</v>
      </c>
      <c r="K19" s="15">
        <v>0.5913641822600666</v>
      </c>
      <c r="L19" s="15">
        <v>-1.3982050230980514</v>
      </c>
      <c r="M19" s="15">
        <v>0.22090967597055247</v>
      </c>
      <c r="N19" s="15">
        <v>-2.3469983952799471</v>
      </c>
      <c r="O19" s="15">
        <v>0.69330165504735364</v>
      </c>
      <c r="P19" s="15">
        <v>-2.3469983952799471</v>
      </c>
      <c r="Q19" s="15">
        <v>0.69330165504735364</v>
      </c>
    </row>
    <row r="20" spans="9:17" x14ac:dyDescent="0.25">
      <c r="I20" s="15" t="s">
        <v>54</v>
      </c>
      <c r="J20" s="15">
        <v>-0.33669302341470342</v>
      </c>
      <c r="K20" s="15">
        <v>0.43325874298692063</v>
      </c>
      <c r="L20" s="15">
        <v>-0.77711766667076265</v>
      </c>
      <c r="M20" s="15">
        <v>0.47223603186185847</v>
      </c>
      <c r="N20" s="15">
        <v>-1.4504200782675043</v>
      </c>
      <c r="O20" s="15">
        <v>0.77703403143809746</v>
      </c>
      <c r="P20" s="15">
        <v>-1.4504200782675043</v>
      </c>
      <c r="Q20" s="15">
        <v>0.77703403143809746</v>
      </c>
    </row>
    <row r="21" spans="9:17" x14ac:dyDescent="0.25">
      <c r="I21" s="15" t="s">
        <v>10</v>
      </c>
      <c r="J21" s="15">
        <v>-1.7170467414648698</v>
      </c>
      <c r="K21" s="15">
        <v>3.0867922886299501</v>
      </c>
      <c r="L21" s="15">
        <v>-0.55625600329167868</v>
      </c>
      <c r="M21" s="15">
        <v>0.60201027931876383</v>
      </c>
      <c r="N21" s="15">
        <v>-9.6518989289992696</v>
      </c>
      <c r="O21" s="15">
        <v>6.2178054460695291</v>
      </c>
      <c r="P21" s="15">
        <v>-9.6518989289992696</v>
      </c>
      <c r="Q21" s="15">
        <v>6.2178054460695291</v>
      </c>
    </row>
    <row r="22" spans="9:17" x14ac:dyDescent="0.25">
      <c r="I22" s="15" t="s">
        <v>80</v>
      </c>
      <c r="J22" s="15">
        <v>-0.40689712816016305</v>
      </c>
      <c r="K22" s="15">
        <v>0.29800448785847922</v>
      </c>
      <c r="L22" s="15">
        <v>-1.3654060416479243</v>
      </c>
      <c r="M22" s="15">
        <v>0.23034672524119701</v>
      </c>
      <c r="N22" s="15">
        <v>-1.1729420515872726</v>
      </c>
      <c r="O22" s="15">
        <v>0.35914779526694646</v>
      </c>
      <c r="P22" s="15">
        <v>-1.1729420515872726</v>
      </c>
      <c r="Q22" s="15">
        <v>0.35914779526694646</v>
      </c>
    </row>
    <row r="23" spans="9:17" ht="15.75" thickBot="1" x14ac:dyDescent="0.3">
      <c r="I23" s="21" t="s">
        <v>3</v>
      </c>
      <c r="J23" s="21">
        <v>-9.8626480393177243E-4</v>
      </c>
      <c r="K23" s="21">
        <v>4.9716109496186051E-4</v>
      </c>
      <c r="L23" s="21">
        <v>-1.983793208934487</v>
      </c>
      <c r="M23" s="21">
        <v>0.10407224244628233</v>
      </c>
      <c r="N23" s="21">
        <v>-2.2642580840257923E-3</v>
      </c>
      <c r="O23" s="21">
        <v>2.9172847616224721E-4</v>
      </c>
      <c r="P23" s="21">
        <v>-2.2642580840257923E-3</v>
      </c>
      <c r="Q23" s="21">
        <v>2.9172847616224721E-4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VARS'!AF1</f>
        <v>Sent_t_+_1_k, k=3</v>
      </c>
      <c r="F1" s="13" t="str">
        <f>'ALL VARS'!AH1</f>
        <v>Sent_t_+_1_k,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VARS'!AF2</f>
        <v>-9.3807704476391168E-3</v>
      </c>
      <c r="F2" s="13">
        <f>'ALL VARS'!AH2</f>
        <v>-0.1969069840891145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VARS'!AF3</f>
        <v>1.7143029900145183E-3</v>
      </c>
      <c r="F3" s="13">
        <f>'ALL VARS'!AH3</f>
        <v>3.1852592110328988E-2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VARS'!AF4</f>
        <v>-5.5164068520862823E-3</v>
      </c>
      <c r="F4" s="13">
        <f>'ALL VARS'!AH4</f>
        <v>-8.4635424609611723E-2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VARS'!AF5</f>
        <v>-5.4721930099223639E-4</v>
      </c>
      <c r="F5" s="13">
        <f>'ALL VARS'!AH5</f>
        <v>-5.9627705636614492E-3</v>
      </c>
      <c r="G5" s="13">
        <f>'ALL VARS'!J5</f>
        <v>56.111000699999998</v>
      </c>
      <c r="I5" s="15" t="s">
        <v>57</v>
      </c>
      <c r="J5" s="15">
        <v>0.82467712286695904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VARS'!AF6</f>
        <v>-4.0604921100579018E-3</v>
      </c>
      <c r="F6" s="13">
        <f>'ALL VARS'!AH6</f>
        <v>-2.8372653235758962E-2</v>
      </c>
      <c r="G6" s="13">
        <f>'ALL VARS'!J6</f>
        <v>52.202000299999995</v>
      </c>
      <c r="I6" s="15" t="s">
        <v>58</v>
      </c>
      <c r="J6" s="15">
        <v>0.68009235698012549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VARS'!AF7</f>
        <v>-9.8072255318507311E-3</v>
      </c>
      <c r="F7" s="13">
        <f>'ALL VARS'!AH7</f>
        <v>-2.0207698824981076E-2</v>
      </c>
      <c r="G7" s="13">
        <f>'ALL VARS'!J7</f>
        <v>47.274999899999997</v>
      </c>
      <c r="I7" s="15" t="s">
        <v>58</v>
      </c>
      <c r="J7" s="15">
        <v>0.2241662425642259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VARS'!AF8</f>
        <v>5.8939635393362661E-4</v>
      </c>
      <c r="F8" s="13">
        <f>'ALL VARS'!AH8</f>
        <v>1.7003541739118958E-4</v>
      </c>
      <c r="G8" s="13">
        <f>'ALL VARS'!J8</f>
        <v>45.502999800000012</v>
      </c>
      <c r="I8" s="15" t="s">
        <v>59</v>
      </c>
      <c r="J8" s="15">
        <v>6.3980426596425374E-2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VARS'!AF9</f>
        <v>-4.9581884882146952E-2</v>
      </c>
      <c r="F9" s="13">
        <f>'ALL VARS'!AH9</f>
        <v>0.1657279120259901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VARS'!AF10</f>
        <v>-6.4605697194624629E-3</v>
      </c>
      <c r="F10" s="13">
        <f>'ALL VARS'!AH10</f>
        <v>3.8611657040511151E-2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VARS'!AF11</f>
        <v>-1.075683497610363E-2</v>
      </c>
      <c r="F11" s="13">
        <f>'ALL VARS'!AH11</f>
        <v>8.5210370604109992E-2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4.3511849670553771E-2</v>
      </c>
      <c r="L13" s="15">
        <v>8.7023699341107538E-3</v>
      </c>
      <c r="M13" s="15">
        <v>2.1259021840183867</v>
      </c>
      <c r="N13" s="15">
        <v>0.24240924204804098</v>
      </c>
    </row>
    <row r="14" spans="1:14" x14ac:dyDescent="0.25">
      <c r="I14" s="15" t="s">
        <v>63</v>
      </c>
      <c r="J14" s="15">
        <v>5</v>
      </c>
      <c r="K14" s="15">
        <v>2.0467474937302874E-2</v>
      </c>
      <c r="L14" s="15">
        <v>4.0934949874605747E-3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-0.5306682715696871</v>
      </c>
      <c r="K19" s="15">
        <v>0.84716429631917278</v>
      </c>
      <c r="L19" s="15">
        <v>-0.62640537836093546</v>
      </c>
      <c r="M19" s="15">
        <v>0.55853237972725345</v>
      </c>
      <c r="N19" s="15">
        <v>-2.7083734234873735</v>
      </c>
      <c r="O19" s="15">
        <v>1.6470368803479993</v>
      </c>
      <c r="P19" s="15">
        <v>-2.7083734234873735</v>
      </c>
      <c r="Q19" s="15">
        <v>1.6470368803479993</v>
      </c>
    </row>
    <row r="20" spans="9:17" x14ac:dyDescent="0.25">
      <c r="I20" s="15" t="s">
        <v>54</v>
      </c>
      <c r="J20" s="15">
        <v>-3.3751652300109986E-2</v>
      </c>
      <c r="K20" s="15">
        <v>0.71410639256167852</v>
      </c>
      <c r="L20" s="15">
        <v>-4.7264178911820623E-2</v>
      </c>
      <c r="M20" s="15">
        <v>0.96413242649357833</v>
      </c>
      <c r="N20" s="15">
        <v>-1.8694205737309366</v>
      </c>
      <c r="O20" s="15">
        <v>1.8019172691307166</v>
      </c>
      <c r="P20" s="15">
        <v>-1.8694205737309366</v>
      </c>
      <c r="Q20" s="15">
        <v>1.8019172691307166</v>
      </c>
    </row>
    <row r="21" spans="9:17" x14ac:dyDescent="0.25">
      <c r="I21" s="15" t="s">
        <v>11</v>
      </c>
      <c r="J21" s="15">
        <v>-2.9175137191270211</v>
      </c>
      <c r="K21" s="15">
        <v>3.8527621323993331</v>
      </c>
      <c r="L21" s="15">
        <v>-0.75725249025693686</v>
      </c>
      <c r="M21" s="15">
        <v>0.48303699075445267</v>
      </c>
      <c r="N21" s="15">
        <v>-12.821354073700181</v>
      </c>
      <c r="O21" s="15">
        <v>6.9863266354461402</v>
      </c>
      <c r="P21" s="15">
        <v>-12.821354073700181</v>
      </c>
      <c r="Q21" s="15">
        <v>6.9863266354461402</v>
      </c>
    </row>
    <row r="22" spans="9:17" x14ac:dyDescent="0.25">
      <c r="I22" s="15" t="s">
        <v>81</v>
      </c>
      <c r="J22" s="15">
        <v>-0.4048577262816323</v>
      </c>
      <c r="K22" s="15">
        <v>0.37635845823306291</v>
      </c>
      <c r="L22" s="15">
        <v>-1.0757237347138908</v>
      </c>
      <c r="M22" s="15">
        <v>0.33119555654334565</v>
      </c>
      <c r="N22" s="15">
        <v>-1.3723179427036327</v>
      </c>
      <c r="O22" s="15">
        <v>0.56260249014036801</v>
      </c>
      <c r="P22" s="15">
        <v>-1.3723179427036327</v>
      </c>
      <c r="Q22" s="15">
        <v>0.56260249014036801</v>
      </c>
    </row>
    <row r="23" spans="9:17" ht="15.75" thickBot="1" x14ac:dyDescent="0.3">
      <c r="I23" s="21" t="s">
        <v>3</v>
      </c>
      <c r="J23" s="21">
        <v>-9.9547376555467974E-4</v>
      </c>
      <c r="K23" s="21">
        <v>5.1785402936336275E-4</v>
      </c>
      <c r="L23" s="21">
        <v>-1.9223057253768812</v>
      </c>
      <c r="M23" s="21">
        <v>0.11259532371851032</v>
      </c>
      <c r="N23" s="21">
        <v>-2.3266599269472152E-3</v>
      </c>
      <c r="O23" s="21">
        <v>3.357123958378555E-4</v>
      </c>
      <c r="P23" s="21">
        <v>-2.3266599269472152E-3</v>
      </c>
      <c r="Q23" s="21">
        <v>3.357123958378555E-4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VARS'!AJ1</f>
        <v>Sent_t_+_1_k, k=4</v>
      </c>
      <c r="F1" s="13" t="str">
        <f>'ALL VARS'!AL1</f>
        <v>Sent_t_+_1_k,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VARS'!AJ2</f>
        <v>-9.8532850188015626E-3</v>
      </c>
      <c r="F2" s="13">
        <f>'ALL VARS'!AL2</f>
        <v>-0.2068252972665971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VARS'!AJ3</f>
        <v>1.0154696726914058E-2</v>
      </c>
      <c r="F3" s="13">
        <f>'ALL VARS'!AL3</f>
        <v>0.18867925607698263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VARS'!AJ4</f>
        <v>-3.1125739688332953E-2</v>
      </c>
      <c r="F4" s="13">
        <f>'ALL VARS'!AL4</f>
        <v>-0.47754639305003521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VARS'!AJ5</f>
        <v>-5.5334374741527613E-4</v>
      </c>
      <c r="F5" s="13">
        <f>'ALL VARS'!AL5</f>
        <v>-6.0295055431912395E-3</v>
      </c>
      <c r="G5" s="13">
        <f>'ALL VARS'!J5</f>
        <v>56.111000699999998</v>
      </c>
      <c r="I5" s="15" t="s">
        <v>57</v>
      </c>
      <c r="J5" s="15">
        <v>0.84452774062455294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VARS'!AJ6</f>
        <v>-3.9365741618549478E-2</v>
      </c>
      <c r="F6" s="13">
        <f>'ALL VARS'!AL6</f>
        <v>-0.27506777652516168</v>
      </c>
      <c r="G6" s="13">
        <f>'ALL VARS'!J6</f>
        <v>52.202000299999995</v>
      </c>
      <c r="I6" s="15" t="s">
        <v>58</v>
      </c>
      <c r="J6" s="15">
        <v>0.71322710468441208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VARS'!AJ7</f>
        <v>-9.959607717572691E-3</v>
      </c>
      <c r="F7" s="13">
        <f>'ALL VARS'!AL7</f>
        <v>-2.0521680929844594E-2</v>
      </c>
      <c r="G7" s="13">
        <f>'ALL VARS'!J7</f>
        <v>47.274999899999997</v>
      </c>
      <c r="I7" s="15" t="s">
        <v>58</v>
      </c>
      <c r="J7" s="15">
        <v>0.28380878843194174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VARS'!AJ8</f>
        <v>5.8933216228532193E-4</v>
      </c>
      <c r="F8" s="13">
        <f>'ALL VARS'!AL8</f>
        <v>1.7001689869211779E-4</v>
      </c>
      <c r="G8" s="13">
        <f>'ALL VARS'!J8</f>
        <v>45.502999800000012</v>
      </c>
      <c r="I8" s="15" t="s">
        <v>59</v>
      </c>
      <c r="J8" s="15">
        <v>6.0576457734223606E-2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VARS'!AJ9</f>
        <v>-5.525438084170599E-3</v>
      </c>
      <c r="F9" s="13">
        <f>'ALL VARS'!AL9</f>
        <v>1.846882826046424E-2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VARS'!AJ10</f>
        <v>-7.0631411514768148E-3</v>
      </c>
      <c r="F10" s="13">
        <f>'ALL VARS'!AL10</f>
        <v>4.221293099708779E-2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VARS'!AJ11</f>
        <v>-5.8305820508956366E-3</v>
      </c>
      <c r="F11" s="13">
        <f>'ALL VARS'!AL11</f>
        <v>4.6187011188531829E-2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4.5631788449725749E-2</v>
      </c>
      <c r="L13" s="15">
        <v>9.1263576899451495E-3</v>
      </c>
      <c r="M13" s="15">
        <v>2.4870799030693589</v>
      </c>
      <c r="N13" s="15">
        <v>0.19905202928850671</v>
      </c>
    </row>
    <row r="14" spans="1:14" x14ac:dyDescent="0.25">
      <c r="I14" s="15" t="s">
        <v>63</v>
      </c>
      <c r="J14" s="15">
        <v>5</v>
      </c>
      <c r="K14" s="15">
        <v>1.8347536158130895E-2</v>
      </c>
      <c r="L14" s="15">
        <v>3.669507231626179E-3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-1.1020516133782283</v>
      </c>
      <c r="K19" s="15">
        <v>0.35351076441842916</v>
      </c>
      <c r="L19" s="15">
        <v>-3.1174485314223612</v>
      </c>
      <c r="M19" s="15">
        <v>2.6328050088422036E-2</v>
      </c>
      <c r="N19" s="15">
        <v>-2.010779963094151</v>
      </c>
      <c r="O19" s="15">
        <v>-0.19332326366230579</v>
      </c>
      <c r="P19" s="15">
        <v>-2.010779963094151</v>
      </c>
      <c r="Q19" s="15">
        <v>-0.19332326366230579</v>
      </c>
    </row>
    <row r="20" spans="9:17" x14ac:dyDescent="0.25">
      <c r="I20" s="15" t="s">
        <v>54</v>
      </c>
      <c r="J20" s="15">
        <v>-0.3697554493858331</v>
      </c>
      <c r="K20" s="15">
        <v>0.3693423069245852</v>
      </c>
      <c r="L20" s="15">
        <v>-1.0011185895942656</v>
      </c>
      <c r="M20" s="15">
        <v>0.36272627941687241</v>
      </c>
      <c r="N20" s="15">
        <v>-1.3191800746981845</v>
      </c>
      <c r="O20" s="15">
        <v>0.57966917592651845</v>
      </c>
      <c r="P20" s="15">
        <v>-1.3191800746981845</v>
      </c>
      <c r="Q20" s="15">
        <v>0.57966917592651845</v>
      </c>
    </row>
    <row r="21" spans="9:17" x14ac:dyDescent="0.25">
      <c r="I21" s="15" t="s">
        <v>12</v>
      </c>
      <c r="J21" s="15">
        <v>1.4305945106349283</v>
      </c>
      <c r="K21" s="15">
        <v>2.5884721834266151</v>
      </c>
      <c r="L21" s="15">
        <v>0.55267911310567364</v>
      </c>
      <c r="M21" s="15">
        <v>0.60428079998365203</v>
      </c>
      <c r="N21" s="15">
        <v>-5.2232850661314005</v>
      </c>
      <c r="O21" s="15">
        <v>8.0844740874012579</v>
      </c>
      <c r="P21" s="15">
        <v>-5.2232850661314005</v>
      </c>
      <c r="Q21" s="15">
        <v>8.0844740874012579</v>
      </c>
    </row>
    <row r="22" spans="9:17" x14ac:dyDescent="0.25">
      <c r="I22" s="15" t="s">
        <v>82</v>
      </c>
      <c r="J22" s="15">
        <v>-0.23989139205474647</v>
      </c>
      <c r="K22" s="15">
        <v>0.20195389684601531</v>
      </c>
      <c r="L22" s="15">
        <v>-1.1878522563872957</v>
      </c>
      <c r="M22" s="15">
        <v>0.28823674751305539</v>
      </c>
      <c r="N22" s="15">
        <v>-0.75903041092308343</v>
      </c>
      <c r="O22" s="15">
        <v>0.27924762681359055</v>
      </c>
      <c r="P22" s="15">
        <v>-0.75903041092308343</v>
      </c>
      <c r="Q22" s="15">
        <v>0.27924762681359055</v>
      </c>
    </row>
    <row r="23" spans="9:17" ht="15.75" thickBot="1" x14ac:dyDescent="0.3">
      <c r="I23" s="21" t="s">
        <v>3</v>
      </c>
      <c r="J23" s="21">
        <v>-8.274781937316055E-4</v>
      </c>
      <c r="K23" s="21">
        <v>5.1476081133848865E-4</v>
      </c>
      <c r="L23" s="21">
        <v>-1.6075003681418258</v>
      </c>
      <c r="M23" s="21">
        <v>0.16885568624523975</v>
      </c>
      <c r="N23" s="21">
        <v>-2.1507129850557366E-3</v>
      </c>
      <c r="O23" s="21">
        <v>4.9575659759252546E-4</v>
      </c>
      <c r="P23" s="21">
        <v>-2.1507129850557366E-3</v>
      </c>
      <c r="Q23" s="21">
        <v>4.9575659759252546E-4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VARS'!AN1</f>
        <v>Sent_t_+_1_k, k=5</v>
      </c>
      <c r="F1" s="13" t="str">
        <f>'ALL VARS'!AP1</f>
        <v>Sent_t_+_1_k,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VARS'!AN2</f>
        <v>-4.2560109412060169E-3</v>
      </c>
      <c r="F2" s="13">
        <f>'ALL VARS'!AP2</f>
        <v>-8.9335762276760725E-2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VARS'!AN3</f>
        <v>1.7143928043252482E-3</v>
      </c>
      <c r="F3" s="13">
        <f>'ALL VARS'!AP3</f>
        <v>3.1854260904364821E-2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VARS'!AN4</f>
        <v>-5.5163963680913706E-3</v>
      </c>
      <c r="F4" s="13">
        <f>'ALL VARS'!AP4</f>
        <v>-8.4635263759010093E-2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VARS'!AN5</f>
        <v>-8.5723562444324324E-4</v>
      </c>
      <c r="F5" s="13">
        <f>'ALL VARS'!AP5</f>
        <v>-9.3408608546587633E-3</v>
      </c>
      <c r="G5" s="13">
        <f>'ALL VARS'!J5</f>
        <v>56.111000699999998</v>
      </c>
      <c r="I5" s="15" t="s">
        <v>57</v>
      </c>
      <c r="J5" s="15">
        <v>0.88151542888521739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VARS'!AN6</f>
        <v>-4.0604791192614649E-3</v>
      </c>
      <c r="F6" s="13">
        <f>'ALL VARS'!AP6</f>
        <v>-2.8372562462682063E-2</v>
      </c>
      <c r="G6" s="13">
        <f>'ALL VARS'!J6</f>
        <v>52.202000299999995</v>
      </c>
      <c r="I6" s="15" t="s">
        <v>58</v>
      </c>
      <c r="J6" s="15">
        <v>0.77706945136268879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VARS'!AN7</f>
        <v>-1.679730846981399E-2</v>
      </c>
      <c r="F7" s="13">
        <f>'ALL VARS'!AP7</f>
        <v>-3.4610701010793395E-2</v>
      </c>
      <c r="G7" s="13">
        <f>'ALL VARS'!J7</f>
        <v>47.274999899999997</v>
      </c>
      <c r="I7" s="15" t="s">
        <v>58</v>
      </c>
      <c r="J7" s="15">
        <v>0.39872501245283976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VARS'!AN8</f>
        <v>5.8935239406168196E-4</v>
      </c>
      <c r="F8" s="13">
        <f>'ALL VARS'!AP8</f>
        <v>1.7002273537318135E-4</v>
      </c>
      <c r="G8" s="13">
        <f>'ALL VARS'!J8</f>
        <v>45.502999800000012</v>
      </c>
      <c r="I8" s="15" t="s">
        <v>59</v>
      </c>
      <c r="J8" s="15">
        <v>5.3409635715428928E-2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VARS'!AN9</f>
        <v>-5.5255973379661205E-3</v>
      </c>
      <c r="F9" s="13">
        <f>'ALL VARS'!AP9</f>
        <v>1.8469360567759066E-2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VARS'!AN10</f>
        <v>-6.9688562062328492E-3</v>
      </c>
      <c r="F10" s="13">
        <f>'ALL VARS'!AP10</f>
        <v>4.1649436115378462E-2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VARS'!AN11</f>
        <v>-8.8197054343203802E-4</v>
      </c>
      <c r="F11" s="13">
        <f>'ALL VARS'!AP11</f>
        <v>6.9865380508955599E-3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4.9716378671582538E-2</v>
      </c>
      <c r="L13" s="15">
        <v>9.9432757343165083E-3</v>
      </c>
      <c r="M13" s="15">
        <v>3.4857019646370406</v>
      </c>
      <c r="N13" s="15">
        <v>0.12501112408991324</v>
      </c>
    </row>
    <row r="14" spans="1:14" x14ac:dyDescent="0.25">
      <c r="I14" s="15" t="s">
        <v>63</v>
      </c>
      <c r="J14" s="15">
        <v>5</v>
      </c>
      <c r="K14" s="15">
        <v>1.4262945936274106E-2</v>
      </c>
      <c r="L14" s="15">
        <v>2.852589187254821E-3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-1.0429253917785908</v>
      </c>
      <c r="K19" s="15">
        <v>0.31747090737716321</v>
      </c>
      <c r="L19" s="15">
        <v>-3.2851053987746028</v>
      </c>
      <c r="M19" s="15">
        <v>2.1831106827223733E-2</v>
      </c>
      <c r="N19" s="15">
        <v>-1.8590103396253057</v>
      </c>
      <c r="O19" s="15">
        <v>-0.22684044393187597</v>
      </c>
      <c r="P19" s="15">
        <v>-1.8590103396253057</v>
      </c>
      <c r="Q19" s="15">
        <v>-0.22684044393187597</v>
      </c>
    </row>
    <row r="20" spans="9:17" x14ac:dyDescent="0.25">
      <c r="I20" s="15" t="s">
        <v>54</v>
      </c>
      <c r="J20" s="15">
        <v>-0.33114743427118198</v>
      </c>
      <c r="K20" s="15">
        <v>0.33015593782564678</v>
      </c>
      <c r="L20" s="15">
        <v>-1.0030031155946038</v>
      </c>
      <c r="M20" s="15">
        <v>0.36190000056180421</v>
      </c>
      <c r="N20" s="15">
        <v>-1.1798402909732622</v>
      </c>
      <c r="O20" s="15">
        <v>0.51754542243089818</v>
      </c>
      <c r="P20" s="15">
        <v>-1.1798402909732622</v>
      </c>
      <c r="Q20" s="15">
        <v>0.51754542243089818</v>
      </c>
    </row>
    <row r="21" spans="9:17" x14ac:dyDescent="0.25">
      <c r="I21" s="15" t="s">
        <v>13</v>
      </c>
      <c r="J21" s="15">
        <v>1.0825058806600205</v>
      </c>
      <c r="K21" s="15">
        <v>3.8416281518866389</v>
      </c>
      <c r="L21" s="15">
        <v>0.28178309765050985</v>
      </c>
      <c r="M21" s="15">
        <v>0.78940030000697159</v>
      </c>
      <c r="N21" s="15">
        <v>-8.7927136658488791</v>
      </c>
      <c r="O21" s="15">
        <v>10.957725427168921</v>
      </c>
      <c r="P21" s="15">
        <v>-8.7927136658488791</v>
      </c>
      <c r="Q21" s="15">
        <v>10.957725427168921</v>
      </c>
    </row>
    <row r="22" spans="9:17" x14ac:dyDescent="0.25">
      <c r="I22" s="15" t="s">
        <v>83</v>
      </c>
      <c r="J22" s="15">
        <v>-0.8646984272578242</v>
      </c>
      <c r="K22" s="15">
        <v>0.44639967415032789</v>
      </c>
      <c r="L22" s="15">
        <v>-1.937049862107721</v>
      </c>
      <c r="M22" s="15">
        <v>0.11048764652540888</v>
      </c>
      <c r="N22" s="15">
        <v>-2.012205321062627</v>
      </c>
      <c r="O22" s="15">
        <v>0.28280846654697855</v>
      </c>
      <c r="P22" s="15">
        <v>-2.012205321062627</v>
      </c>
      <c r="Q22" s="15">
        <v>0.28280846654697855</v>
      </c>
    </row>
    <row r="23" spans="9:17" ht="15.75" thickBot="1" x14ac:dyDescent="0.3">
      <c r="I23" s="21" t="s">
        <v>3</v>
      </c>
      <c r="J23" s="21">
        <v>-9.3059662603042607E-4</v>
      </c>
      <c r="K23" s="21">
        <v>4.6188317064170347E-4</v>
      </c>
      <c r="L23" s="21">
        <v>-2.0147879056462044</v>
      </c>
      <c r="M23" s="21">
        <v>0.10003323978548456</v>
      </c>
      <c r="N23" s="21">
        <v>-2.1179051146680977E-3</v>
      </c>
      <c r="O23" s="21">
        <v>2.5671186260724547E-4</v>
      </c>
      <c r="P23" s="21">
        <v>-2.1179051146680977E-3</v>
      </c>
      <c r="Q23" s="21">
        <v>2.5671186260724547E-4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VARS'!AR1</f>
        <v>Sent_t_+_1_k, k=6</v>
      </c>
      <c r="F1" s="13" t="str">
        <f>'ALL VARS'!AT1</f>
        <v>Sent_t_+_1_k,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VARS'!AR2</f>
        <v>-1.2885692442079022E-2</v>
      </c>
      <c r="F2" s="13">
        <f>'ALL VARS'!AT2</f>
        <v>-0.270477020073361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VARS'!AR3</f>
        <v>1.7143413319869408E-3</v>
      </c>
      <c r="F3" s="13">
        <f>'ALL VARS'!AT3</f>
        <v>3.1853304523021139E-2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VARS'!AR4</f>
        <v>-7.6246349875825695E-2</v>
      </c>
      <c r="F4" s="13">
        <f>'ALL VARS'!AT4</f>
        <v>-1.1698089661811242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VARS'!AR5</f>
        <v>-9.7158339352527024E-4</v>
      </c>
      <c r="F5" s="13">
        <f>'ALL VARS'!AT5</f>
        <v>-1.058685036976971E-2</v>
      </c>
      <c r="G5" s="13">
        <f>'ALL VARS'!J5</f>
        <v>56.111000699999998</v>
      </c>
      <c r="I5" s="15" t="s">
        <v>57</v>
      </c>
      <c r="J5" s="15">
        <v>0.80279629004202169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VARS'!AR6</f>
        <v>-4.0606005889795901E-3</v>
      </c>
      <c r="F6" s="13">
        <f>'ALL VARS'!AT6</f>
        <v>-2.8373411231278969E-2</v>
      </c>
      <c r="G6" s="13">
        <f>'ALL VARS'!J6</f>
        <v>52.202000299999995</v>
      </c>
      <c r="I6" s="15" t="s">
        <v>58</v>
      </c>
      <c r="J6" s="15">
        <v>0.64448188330523382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VARS'!AR7</f>
        <v>-3.8836145563617909E-3</v>
      </c>
      <c r="F7" s="13">
        <f>'ALL VARS'!AT7</f>
        <v>-8.0021523979842378E-3</v>
      </c>
      <c r="G7" s="13">
        <f>'ALL VARS'!J7</f>
        <v>47.274999899999997</v>
      </c>
      <c r="I7" s="15" t="s">
        <v>58</v>
      </c>
      <c r="J7" s="15">
        <v>0.16006738994942094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VARS'!AR8</f>
        <v>4.3877431272858454E-3</v>
      </c>
      <c r="F8" s="13">
        <f>'ALL VARS'!AT8</f>
        <v>1.2658234634030144E-3</v>
      </c>
      <c r="G8" s="13">
        <f>'ALL VARS'!J8</f>
        <v>45.502999800000012</v>
      </c>
      <c r="I8" s="15" t="s">
        <v>59</v>
      </c>
      <c r="J8" s="15">
        <v>6.7447474366336801E-2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VARS'!AR9</f>
        <v>-3.0278119662312395E-2</v>
      </c>
      <c r="F9" s="13">
        <f>'ALL VARS'!AT9</f>
        <v>0.10120489698274712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VARS'!AR10</f>
        <v>-1.0381495994451876E-3</v>
      </c>
      <c r="F10" s="13">
        <f>'ALL VARS'!AT10</f>
        <v>6.2045110618908026E-3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VARS'!AR11</f>
        <v>-5.594898761534059E-3</v>
      </c>
      <c r="F11" s="13">
        <f>'ALL VARS'!AT11</f>
        <v>4.4320043769555013E-2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4.1233515615868341E-2</v>
      </c>
      <c r="L13" s="15">
        <v>8.2467031231736685E-3</v>
      </c>
      <c r="M13" s="15">
        <v>1.8127961784253055</v>
      </c>
      <c r="N13" s="15">
        <v>0.29210744459136101</v>
      </c>
    </row>
    <row r="14" spans="1:14" x14ac:dyDescent="0.25">
      <c r="I14" s="15" t="s">
        <v>63</v>
      </c>
      <c r="J14" s="15">
        <v>5</v>
      </c>
      <c r="K14" s="15">
        <v>2.27458089919883E-2</v>
      </c>
      <c r="L14" s="15">
        <v>4.54916179839766E-3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-1.1836965225777039</v>
      </c>
      <c r="K19" s="15">
        <v>0.52827813953928193</v>
      </c>
      <c r="L19" s="15">
        <v>-2.2406691361675888</v>
      </c>
      <c r="M19" s="15">
        <v>7.5151505765451529E-2</v>
      </c>
      <c r="N19" s="15">
        <v>-2.5416787122411284</v>
      </c>
      <c r="O19" s="15">
        <v>0.17428566708572091</v>
      </c>
      <c r="P19" s="15">
        <v>-2.5416787122411284</v>
      </c>
      <c r="Q19" s="15">
        <v>0.17428566708572091</v>
      </c>
    </row>
    <row r="20" spans="9:17" x14ac:dyDescent="0.25">
      <c r="I20" s="15" t="s">
        <v>54</v>
      </c>
      <c r="J20" s="15">
        <v>-0.51827532096809525</v>
      </c>
      <c r="K20" s="15">
        <v>0.46981637342762456</v>
      </c>
      <c r="L20" s="15">
        <v>-1.1031444417037455</v>
      </c>
      <c r="M20" s="15">
        <v>0.32020683151878321</v>
      </c>
      <c r="N20" s="15">
        <v>-1.725976756585675</v>
      </c>
      <c r="O20" s="15">
        <v>0.68942611464948444</v>
      </c>
      <c r="P20" s="15">
        <v>-1.725976756585675</v>
      </c>
      <c r="Q20" s="15">
        <v>0.68942611464948444</v>
      </c>
    </row>
    <row r="21" spans="9:17" x14ac:dyDescent="0.25">
      <c r="I21" s="15" t="s">
        <v>14</v>
      </c>
      <c r="J21" s="15">
        <v>0.24938478056065824</v>
      </c>
      <c r="K21" s="15">
        <v>2.4409676672179383</v>
      </c>
      <c r="L21" s="15">
        <v>0.10216635964084332</v>
      </c>
      <c r="M21" s="15">
        <v>0.9225954545526216</v>
      </c>
      <c r="N21" s="15">
        <v>-6.0253223661653239</v>
      </c>
      <c r="O21" s="15">
        <v>6.5240919272866398</v>
      </c>
      <c r="P21" s="15">
        <v>-6.0253223661653239</v>
      </c>
      <c r="Q21" s="15">
        <v>6.5240919272866398</v>
      </c>
    </row>
    <row r="22" spans="9:17" x14ac:dyDescent="0.25">
      <c r="I22" s="15" t="s">
        <v>84</v>
      </c>
      <c r="J22" s="15">
        <v>-6.4245805317526591E-2</v>
      </c>
      <c r="K22" s="15">
        <v>0.16527697717775697</v>
      </c>
      <c r="L22" s="15">
        <v>-0.38871599913416627</v>
      </c>
      <c r="M22" s="15">
        <v>0.71348791651742993</v>
      </c>
      <c r="N22" s="15">
        <v>-0.48910380069954645</v>
      </c>
      <c r="O22" s="15">
        <v>0.36061219006449324</v>
      </c>
      <c r="P22" s="15">
        <v>-0.48910380069954645</v>
      </c>
      <c r="Q22" s="15">
        <v>0.36061219006449324</v>
      </c>
    </row>
    <row r="23" spans="9:17" ht="15.75" thickBot="1" x14ac:dyDescent="0.3">
      <c r="I23" s="21" t="s">
        <v>3</v>
      </c>
      <c r="J23" s="21">
        <v>-9.2746760380083948E-4</v>
      </c>
      <c r="K23" s="21">
        <v>5.3329033151056126E-4</v>
      </c>
      <c r="L23" s="21">
        <v>-1.7391419813926852</v>
      </c>
      <c r="M23" s="21">
        <v>0.14250246275136855</v>
      </c>
      <c r="N23" s="21">
        <v>-2.2983340431023572E-3</v>
      </c>
      <c r="O23" s="21">
        <v>4.433988355006781E-4</v>
      </c>
      <c r="P23" s="21">
        <v>-2.2983340431023572E-3</v>
      </c>
      <c r="Q23" s="21">
        <v>4.433988355006781E-4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VARS'!AV1</f>
        <v>Sent_t_+_1_k, k=7</v>
      </c>
      <c r="F1" s="13" t="str">
        <f>'ALL VARS'!AX1</f>
        <v>Sent_t_+_1_k,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VARS'!AV2</f>
        <v>-2.6128404033923809E-2</v>
      </c>
      <c r="F2" s="13">
        <f>'ALL VARS'!AX2</f>
        <v>-0.54844804764161048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VARS'!AV3</f>
        <v>1.9058173496233594E-2</v>
      </c>
      <c r="F3" s="13">
        <f>'ALL VARS'!AX3</f>
        <v>0.35411023038481088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VARS'!AV4</f>
        <v>-3.0603370549948609E-2</v>
      </c>
      <c r="F4" s="13">
        <f>'ALL VARS'!AX4</f>
        <v>-0.46953194904407947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VARS'!AV5</f>
        <v>-3.015089558501223E-3</v>
      </c>
      <c r="F5" s="13">
        <f>'ALL VARS'!AX5</f>
        <v>-3.2853898306648276E-2</v>
      </c>
      <c r="G5" s="13">
        <f>'ALL VARS'!J5</f>
        <v>56.111000699999998</v>
      </c>
      <c r="I5" s="15" t="s">
        <v>57</v>
      </c>
      <c r="J5" s="15">
        <v>0.83233063061436541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VARS'!AV6</f>
        <v>-7.2317028773303788E-2</v>
      </c>
      <c r="F6" s="13">
        <f>'ALL VARS'!AX6</f>
        <v>-0.50531460838033571</v>
      </c>
      <c r="G6" s="13">
        <f>'ALL VARS'!J6</f>
        <v>52.202000299999995</v>
      </c>
      <c r="I6" s="15" t="s">
        <v>58</v>
      </c>
      <c r="J6" s="15">
        <v>0.69277427865890717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VARS'!AV7</f>
        <v>-2.5701972528234453E-2</v>
      </c>
      <c r="F7" s="13">
        <f>'ALL VARS'!AX7</f>
        <v>-5.2958680145748317E-2</v>
      </c>
      <c r="G7" s="13">
        <f>'ALL VARS'!J7</f>
        <v>47.274999899999997</v>
      </c>
      <c r="I7" s="15" t="s">
        <v>58</v>
      </c>
      <c r="J7" s="15">
        <v>0.24699370158603298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VARS'!AV8</f>
        <v>8.2946416497291942E-3</v>
      </c>
      <c r="F8" s="13">
        <f>'ALL VARS'!AX8</f>
        <v>2.3929276888280098E-3</v>
      </c>
      <c r="G8" s="13">
        <f>'ALL VARS'!J8</f>
        <v>45.502999800000012</v>
      </c>
      <c r="I8" s="15" t="s">
        <v>59</v>
      </c>
      <c r="J8" s="15">
        <v>6.2699432459257062E-2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VARS'!AV9</f>
        <v>-0.10358093703118552</v>
      </c>
      <c r="F9" s="13">
        <f>'ALL VARS'!AX9</f>
        <v>0.34622024678321622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VARS'!AV10</f>
        <v>-1.8066301679662718E-2</v>
      </c>
      <c r="F10" s="13">
        <f>'ALL VARS'!AX10</f>
        <v>0.10797342567856184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VARS'!AV11</f>
        <v>-9.2237513304407378E-3</v>
      </c>
      <c r="F11" s="13">
        <f>'ALL VARS'!AX11</f>
        <v>7.3066033919179832E-2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4.4323230454291956E-2</v>
      </c>
      <c r="L13" s="15">
        <v>8.8646460908583906E-3</v>
      </c>
      <c r="M13" s="15">
        <v>2.2549358030142428</v>
      </c>
      <c r="N13" s="15">
        <v>0.22546010753125256</v>
      </c>
    </row>
    <row r="14" spans="1:14" x14ac:dyDescent="0.25">
      <c r="I14" s="15" t="s">
        <v>63</v>
      </c>
      <c r="J14" s="15">
        <v>5</v>
      </c>
      <c r="K14" s="15">
        <v>1.9656094153564691E-2</v>
      </c>
      <c r="L14" s="15">
        <v>3.9312188307129379E-3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-1.0906179218738681</v>
      </c>
      <c r="K19" s="15">
        <v>0.48680560533023387</v>
      </c>
      <c r="L19" s="15">
        <v>-2.2403561296999173</v>
      </c>
      <c r="M19" s="15">
        <v>7.518103399630742E-2</v>
      </c>
      <c r="N19" s="15">
        <v>-2.3419915684217081</v>
      </c>
      <c r="O19" s="15">
        <v>0.16075572467397192</v>
      </c>
      <c r="P19" s="15">
        <v>-2.3419915684217081</v>
      </c>
      <c r="Q19" s="15">
        <v>0.16075572467397192</v>
      </c>
    </row>
    <row r="20" spans="9:17" x14ac:dyDescent="0.25">
      <c r="I20" s="15" t="s">
        <v>54</v>
      </c>
      <c r="J20" s="15">
        <v>-0.35543607677381373</v>
      </c>
      <c r="K20" s="15">
        <v>0.48193277125126355</v>
      </c>
      <c r="L20" s="15">
        <v>-0.73752211506799836</v>
      </c>
      <c r="M20" s="15">
        <v>0.49393919499612149</v>
      </c>
      <c r="N20" s="15">
        <v>-1.594283704550183</v>
      </c>
      <c r="O20" s="15">
        <v>0.88341155100255564</v>
      </c>
      <c r="P20" s="15">
        <v>-1.594283704550183</v>
      </c>
      <c r="Q20" s="15">
        <v>0.88341155100255564</v>
      </c>
    </row>
    <row r="21" spans="9:17" x14ac:dyDescent="0.25">
      <c r="I21" s="15" t="s">
        <v>15</v>
      </c>
      <c r="J21" s="15">
        <v>-6.7918459480760071E-2</v>
      </c>
      <c r="K21" s="15">
        <v>0.74675031309452911</v>
      </c>
      <c r="L21" s="15">
        <v>-9.0952033483998634E-2</v>
      </c>
      <c r="M21" s="15">
        <v>0.9310620162981913</v>
      </c>
      <c r="N21" s="15">
        <v>-1.9875012500772877</v>
      </c>
      <c r="O21" s="15">
        <v>1.8516643311157677</v>
      </c>
      <c r="P21" s="15">
        <v>-1.9875012500772877</v>
      </c>
      <c r="Q21" s="15">
        <v>1.8516643311157677</v>
      </c>
    </row>
    <row r="22" spans="9:17" x14ac:dyDescent="0.25">
      <c r="I22" s="15" t="s">
        <v>85</v>
      </c>
      <c r="J22" s="15">
        <v>-8.3103155804330336E-2</v>
      </c>
      <c r="K22" s="15">
        <v>7.0605668388955739E-2</v>
      </c>
      <c r="L22" s="15">
        <v>-1.1770040239053876</v>
      </c>
      <c r="M22" s="15">
        <v>0.29216748354332028</v>
      </c>
      <c r="N22" s="15">
        <v>-0.2646008044579411</v>
      </c>
      <c r="O22" s="15">
        <v>9.8394492849280452E-2</v>
      </c>
      <c r="P22" s="15">
        <v>-0.2646008044579411</v>
      </c>
      <c r="Q22" s="15">
        <v>9.8394492849280452E-2</v>
      </c>
    </row>
    <row r="23" spans="9:17" ht="15.75" thickBot="1" x14ac:dyDescent="0.3">
      <c r="I23" s="21" t="s">
        <v>3</v>
      </c>
      <c r="J23" s="21">
        <v>-9.0771324962804891E-4</v>
      </c>
      <c r="K23" s="21">
        <v>4.7520524223734653E-4</v>
      </c>
      <c r="L23" s="21">
        <v>-1.9101499077627631</v>
      </c>
      <c r="M23" s="21">
        <v>0.11436427271364337</v>
      </c>
      <c r="N23" s="21">
        <v>-2.1292672135225267E-3</v>
      </c>
      <c r="O23" s="21">
        <v>3.1384071426642901E-4</v>
      </c>
      <c r="P23" s="21">
        <v>-2.1292672135225267E-3</v>
      </c>
      <c r="Q23" s="21">
        <v>3.1384071426642901E-4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VARS'!AZ1</f>
        <v>Sent_t_+_1_k, k=8</v>
      </c>
      <c r="F1" s="13" t="str">
        <f>'ALL VARS'!BB1</f>
        <v>Sent_t_+_1_k,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VARS'!AZ2</f>
        <v>-1.6409397541994872E-2</v>
      </c>
      <c r="F2" s="13">
        <f>'ALL VARS'!BB2</f>
        <v>-0.34444132267693689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VARS'!AZ3</f>
        <v>2.3097021275098609E-2</v>
      </c>
      <c r="F3" s="13">
        <f>'ALL VARS'!BB3</f>
        <v>0.42915400715312069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VARS'!AZ4</f>
        <v>-6.7954531489377079E-2</v>
      </c>
      <c r="F4" s="13">
        <f>'ALL VARS'!BB4</f>
        <v>-1.0425918140130506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VARS'!AZ5</f>
        <v>-1.0849323223291307E-3</v>
      </c>
      <c r="F5" s="13">
        <f>'ALL VARS'!BB5</f>
        <v>-1.1821956030094005E-2</v>
      </c>
      <c r="G5" s="13">
        <f>'ALL VARS'!J5</f>
        <v>56.111000699999998</v>
      </c>
      <c r="I5" s="15" t="s">
        <v>57</v>
      </c>
      <c r="J5" s="15">
        <v>0.83090722952294482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VARS'!AZ6</f>
        <v>-3.4953074805319354E-2</v>
      </c>
      <c r="F6" s="13">
        <f>'ALL VARS'!BB6</f>
        <v>-0.24423430561984952</v>
      </c>
      <c r="G6" s="13">
        <f>'ALL VARS'!J6</f>
        <v>52.202000299999995</v>
      </c>
      <c r="I6" s="15" t="s">
        <v>58</v>
      </c>
      <c r="J6" s="15">
        <v>0.69040682407349563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VARS'!AZ7</f>
        <v>-1.5672602084948424E-2</v>
      </c>
      <c r="F7" s="13">
        <f>'ALL VARS'!BB7</f>
        <v>-3.229325375539132E-2</v>
      </c>
      <c r="G7" s="13">
        <f>'ALL VARS'!J7</f>
        <v>47.274999899999997</v>
      </c>
      <c r="I7" s="15" t="s">
        <v>58</v>
      </c>
      <c r="J7" s="15">
        <v>0.24273228333229219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VARS'!AZ8</f>
        <v>8.0343301318900329E-3</v>
      </c>
      <c r="F8" s="13">
        <f>'ALL VARS'!BB8</f>
        <v>2.3178302144508602E-3</v>
      </c>
      <c r="G8" s="13">
        <f>'ALL VARS'!J8</f>
        <v>45.502999800000012</v>
      </c>
      <c r="I8" s="15" t="s">
        <v>59</v>
      </c>
      <c r="J8" s="15">
        <v>6.2940547024917234E-2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VARS'!AZ9</f>
        <v>-4.763828043313912E-2</v>
      </c>
      <c r="F9" s="13">
        <f>'ALL VARS'!BB9</f>
        <v>0.15923139605238146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VARS'!AZ10</f>
        <v>-6.3888336911695591E-3</v>
      </c>
      <c r="F10" s="13">
        <f>'ALL VARS'!BB10</f>
        <v>3.8182925977745918E-2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VARS'!AZ11</f>
        <v>-5.1236744586598592E-3</v>
      </c>
      <c r="F11" s="13">
        <f>'ALL VARS'!BB11</f>
        <v>4.0587235971092504E-2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4.4171762308877552E-2</v>
      </c>
      <c r="L13" s="15">
        <v>8.8343524617755104E-3</v>
      </c>
      <c r="M13" s="15">
        <v>2.2300453555132438</v>
      </c>
      <c r="N13" s="15">
        <v>0.22859191133386367</v>
      </c>
    </row>
    <row r="14" spans="1:14" x14ac:dyDescent="0.25">
      <c r="I14" s="15" t="s">
        <v>63</v>
      </c>
      <c r="J14" s="15">
        <v>5</v>
      </c>
      <c r="K14" s="15">
        <v>1.9807562298979092E-2</v>
      </c>
      <c r="L14" s="15">
        <v>3.9615124597958181E-3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-1.1949943938238363</v>
      </c>
      <c r="K19" s="15">
        <v>0.46630207410194163</v>
      </c>
      <c r="L19" s="15">
        <v>-2.562704436014561</v>
      </c>
      <c r="M19" s="15">
        <v>5.0480476237657855E-2</v>
      </c>
      <c r="N19" s="15">
        <v>-2.3936620354298261</v>
      </c>
      <c r="O19" s="15">
        <v>3.6732477821537213E-3</v>
      </c>
      <c r="P19" s="15">
        <v>-2.3936620354298261</v>
      </c>
      <c r="Q19" s="15">
        <v>3.6732477821537213E-3</v>
      </c>
    </row>
    <row r="20" spans="9:17" x14ac:dyDescent="0.25">
      <c r="I20" s="15" t="s">
        <v>54</v>
      </c>
      <c r="J20" s="15">
        <v>-0.45486377850376203</v>
      </c>
      <c r="K20" s="15">
        <v>0.42643829227806807</v>
      </c>
      <c r="L20" s="15">
        <v>-1.066657912153814</v>
      </c>
      <c r="M20" s="15">
        <v>0.33489892418788209</v>
      </c>
      <c r="N20" s="15">
        <v>-1.5510583066535335</v>
      </c>
      <c r="O20" s="15">
        <v>0.64133074964600956</v>
      </c>
      <c r="P20" s="15">
        <v>-1.5510583066535335</v>
      </c>
      <c r="Q20" s="15">
        <v>0.64133074964600956</v>
      </c>
    </row>
    <row r="21" spans="9:17" x14ac:dyDescent="0.25">
      <c r="I21" s="15" t="s">
        <v>16</v>
      </c>
      <c r="J21" s="15">
        <v>0.21379099767901319</v>
      </c>
      <c r="K21" s="15">
        <v>1.3907922296659279</v>
      </c>
      <c r="L21" s="15">
        <v>0.15371886117768027</v>
      </c>
      <c r="M21" s="15">
        <v>0.88384301142965227</v>
      </c>
      <c r="N21" s="15">
        <v>-3.361354245044351</v>
      </c>
      <c r="O21" s="15">
        <v>3.7889362404023772</v>
      </c>
      <c r="P21" s="15">
        <v>-3.361354245044351</v>
      </c>
      <c r="Q21" s="15">
        <v>3.7889362404023772</v>
      </c>
    </row>
    <row r="22" spans="9:17" x14ac:dyDescent="0.25">
      <c r="I22" s="15" t="s">
        <v>86</v>
      </c>
      <c r="J22" s="15">
        <v>-8.1115178837984372E-2</v>
      </c>
      <c r="K22" s="15">
        <v>9.7875232334294099E-2</v>
      </c>
      <c r="L22" s="15">
        <v>-0.82876103487483377</v>
      </c>
      <c r="M22" s="15">
        <v>0.44498652042132603</v>
      </c>
      <c r="N22" s="15">
        <v>-0.33271147323520489</v>
      </c>
      <c r="O22" s="15">
        <v>0.17048111555923617</v>
      </c>
      <c r="P22" s="15">
        <v>-0.33271147323520489</v>
      </c>
      <c r="Q22" s="15">
        <v>0.17048111555923617</v>
      </c>
    </row>
    <row r="23" spans="9:17" ht="15.75" thickBot="1" x14ac:dyDescent="0.3">
      <c r="I23" s="21" t="s">
        <v>3</v>
      </c>
      <c r="J23" s="21">
        <v>-9.0781907120349506E-4</v>
      </c>
      <c r="K23" s="21">
        <v>4.7489600051739352E-4</v>
      </c>
      <c r="L23" s="21">
        <v>-1.9116165859776393</v>
      </c>
      <c r="M23" s="21">
        <v>0.11414932227646621</v>
      </c>
      <c r="N23" s="21">
        <v>-2.1285781039498408E-3</v>
      </c>
      <c r="O23" s="21">
        <v>3.129399615428508E-4</v>
      </c>
      <c r="P23" s="21">
        <v>-2.1285781039498408E-3</v>
      </c>
      <c r="Q23" s="21">
        <v>3.129399615428508E-4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VARS'!BD1</f>
        <v>Sent_t_+_1_k, k=9</v>
      </c>
      <c r="F1" s="13" t="str">
        <f>'ALL VARS'!BF1</f>
        <v>Sent_t_+_1_k,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VARS'!BD2</f>
        <v>-7.9974543405251439E-3</v>
      </c>
      <c r="F2" s="13">
        <f>'ALL VARS'!BF2</f>
        <v>-0.16787049884367725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VARS'!BD3</f>
        <v>1.0154845383669462E-2</v>
      </c>
      <c r="F3" s="13">
        <f>'ALL VARS'!BF3</f>
        <v>0.18868201819256075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VARS'!BD4</f>
        <v>-2.9906381539971726E-2</v>
      </c>
      <c r="F4" s="13">
        <f>'ALL VARS'!BF4</f>
        <v>-0.45883840116239694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VARS'!BD5</f>
        <v>-9.7155030089328301E-4</v>
      </c>
      <c r="F5" s="13">
        <f>'ALL VARS'!BF5</f>
        <v>-1.0586489776180394E-2</v>
      </c>
      <c r="G5" s="13">
        <f>'ALL VARS'!J5</f>
        <v>56.111000699999998</v>
      </c>
      <c r="I5" s="15" t="s">
        <v>57</v>
      </c>
      <c r="J5" s="15">
        <v>0.82591092895363227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VARS'!BD6</f>
        <v>-4.0605986250814904E-3</v>
      </c>
      <c r="F6" s="13">
        <f>'ALL VARS'!BF6</f>
        <v>-2.8373397508558114E-2</v>
      </c>
      <c r="G6" s="13">
        <f>'ALL VARS'!J6</f>
        <v>52.202000299999995</v>
      </c>
      <c r="I6" s="15" t="s">
        <v>58</v>
      </c>
      <c r="J6" s="15">
        <v>0.68212886256505179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VARS'!BD7</f>
        <v>-9.1978200771456776E-3</v>
      </c>
      <c r="F7" s="13">
        <f>'ALL VARS'!BF7</f>
        <v>-1.8952024439703997E-2</v>
      </c>
      <c r="G7" s="13">
        <f>'ALL VARS'!J7</f>
        <v>47.274999899999997</v>
      </c>
      <c r="I7" s="15" t="s">
        <v>58</v>
      </c>
      <c r="J7" s="15">
        <v>0.22783195261709324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VARS'!BD8</f>
        <v>5.8935290502975829E-4</v>
      </c>
      <c r="F8" s="13">
        <f>'ALL VARS'!BF8</f>
        <v>1.7002288278276329E-4</v>
      </c>
      <c r="G8" s="13">
        <f>'ALL VARS'!J8</f>
        <v>45.502999800000012</v>
      </c>
      <c r="I8" s="15" t="s">
        <v>59</v>
      </c>
      <c r="J8" s="15">
        <v>6.3776454409788519E-2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VARS'!BD9</f>
        <v>-3.5048027832112895E-2</v>
      </c>
      <c r="F9" s="13">
        <f>'ALL VARS'!BF9</f>
        <v>0.1171483594673972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VARS'!BD10</f>
        <v>-1.0381945823261345E-3</v>
      </c>
      <c r="F10" s="13">
        <f>'ALL VARS'!BF10</f>
        <v>6.2047799025112477E-3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VARS'!BD11</f>
        <v>-2.4987143958943078E-3</v>
      </c>
      <c r="F11" s="13">
        <f>'ALL VARS'!BF11</f>
        <v>1.9793589859933122E-2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4.3642143922437482E-2</v>
      </c>
      <c r="L13" s="15">
        <v>8.7284287844874957E-3</v>
      </c>
      <c r="M13" s="15">
        <v>2.1459289071334711</v>
      </c>
      <c r="N13" s="15">
        <v>0.23965923105400216</v>
      </c>
    </row>
    <row r="14" spans="1:14" x14ac:dyDescent="0.25">
      <c r="I14" s="15" t="s">
        <v>63</v>
      </c>
      <c r="J14" s="15">
        <v>5</v>
      </c>
      <c r="K14" s="15">
        <v>2.0337180685419166E-2</v>
      </c>
      <c r="L14" s="15">
        <v>4.0674361370838328E-3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-1.1066738630494861</v>
      </c>
      <c r="K19" s="15">
        <v>0.51233767837232114</v>
      </c>
      <c r="L19" s="15">
        <v>-2.1600477766252721</v>
      </c>
      <c r="M19" s="15">
        <v>8.3181963835434483E-2</v>
      </c>
      <c r="N19" s="15">
        <v>-2.4236797927854554</v>
      </c>
      <c r="O19" s="15">
        <v>0.21033206668648319</v>
      </c>
      <c r="P19" s="15">
        <v>-2.4236797927854554</v>
      </c>
      <c r="Q19" s="15">
        <v>0.21033206668648319</v>
      </c>
    </row>
    <row r="20" spans="9:17" x14ac:dyDescent="0.25">
      <c r="I20" s="15" t="s">
        <v>54</v>
      </c>
      <c r="J20" s="15">
        <v>-0.42206671898251863</v>
      </c>
      <c r="K20" s="15">
        <v>0.45430075621544935</v>
      </c>
      <c r="L20" s="15">
        <v>-0.92904692146793622</v>
      </c>
      <c r="M20" s="15">
        <v>0.39550518795947182</v>
      </c>
      <c r="N20" s="15">
        <v>-1.5898839908257945</v>
      </c>
      <c r="O20" s="15">
        <v>0.74575055286075709</v>
      </c>
      <c r="P20" s="15">
        <v>-1.5898839908257945</v>
      </c>
      <c r="Q20" s="15">
        <v>0.74575055286075709</v>
      </c>
    </row>
    <row r="21" spans="9:17" x14ac:dyDescent="0.25">
      <c r="I21" s="15" t="s">
        <v>17</v>
      </c>
      <c r="J21" s="15">
        <v>-0.34921092634651957</v>
      </c>
      <c r="K21" s="15">
        <v>2.2477287665572208</v>
      </c>
      <c r="L21" s="15">
        <v>-0.15536168399953146</v>
      </c>
      <c r="M21" s="15">
        <v>0.88261346179179923</v>
      </c>
      <c r="N21" s="15">
        <v>-6.1271816650957307</v>
      </c>
      <c r="O21" s="15">
        <v>5.4287598124026912</v>
      </c>
      <c r="P21" s="15">
        <v>-6.1271816650957307</v>
      </c>
      <c r="Q21" s="15">
        <v>5.4287598124026912</v>
      </c>
    </row>
    <row r="22" spans="9:17" x14ac:dyDescent="0.25">
      <c r="I22" s="15" t="s">
        <v>87</v>
      </c>
      <c r="J22" s="15">
        <v>-0.12710437591027532</v>
      </c>
      <c r="K22" s="15">
        <v>0.16730299589633071</v>
      </c>
      <c r="L22" s="15">
        <v>-0.75972564166774115</v>
      </c>
      <c r="M22" s="15">
        <v>0.4816826794493424</v>
      </c>
      <c r="N22" s="15">
        <v>-0.55717041820891999</v>
      </c>
      <c r="O22" s="15">
        <v>0.30296166638836941</v>
      </c>
      <c r="P22" s="15">
        <v>-0.55717041820891999</v>
      </c>
      <c r="Q22" s="15">
        <v>0.30296166638836941</v>
      </c>
    </row>
    <row r="23" spans="9:17" ht="15.75" thickBot="1" x14ac:dyDescent="0.3">
      <c r="I23" s="21" t="s">
        <v>3</v>
      </c>
      <c r="J23" s="21">
        <v>-9.0592504535592206E-4</v>
      </c>
      <c r="K23" s="21">
        <v>4.7016789684678332E-4</v>
      </c>
      <c r="L23" s="21">
        <v>-1.926811786665098</v>
      </c>
      <c r="M23" s="21">
        <v>0.1119467998888016</v>
      </c>
      <c r="N23" s="21">
        <v>-2.114530100689592E-3</v>
      </c>
      <c r="O23" s="21">
        <v>3.0268000997774784E-4</v>
      </c>
      <c r="P23" s="21">
        <v>-2.114530100689592E-3</v>
      </c>
      <c r="Q23" s="21">
        <v>3.0268000997774784E-4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4.85546875" style="13" bestFit="1" customWidth="1"/>
    <col min="7" max="7" width="11" style="13" bestFit="1" customWidth="1"/>
    <col min="8" max="8" width="11" style="13" customWidth="1"/>
    <col min="9" max="9" width="35.425781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VARS'!M1</f>
        <v>Sent_t</v>
      </c>
      <c r="F1" s="13" t="str">
        <f>'ALL VARS'!Q1</f>
        <v>Sent_t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VARS'!M2</f>
        <v>9.646422257646918E-2</v>
      </c>
      <c r="F2" s="13">
        <f>'ALL VARS'!Q2</f>
        <v>2.0248314619844479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VARS'!M3</f>
        <v>-0.26341802316407364</v>
      </c>
      <c r="F3" s="13">
        <f>'ALL VARS'!Q3</f>
        <v>-4.8944363366497843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VARS'!M4</f>
        <v>-1.0060927661305124E-2</v>
      </c>
      <c r="F4" s="13">
        <f>'ALL VARS'!Q4</f>
        <v>-0.15435969597839019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VARS'!M5</f>
        <v>-0.20595118422061204</v>
      </c>
      <c r="F5" s="13">
        <f>'ALL VARS'!Q5</f>
        <v>-2.2441453665745326</v>
      </c>
      <c r="G5" s="13">
        <f>'ALL VARS'!J5</f>
        <v>56.111000699999998</v>
      </c>
      <c r="I5" s="15" t="s">
        <v>57</v>
      </c>
      <c r="J5" s="15">
        <v>0.78936572228360857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VARS'!M6</f>
        <v>-0.11883065734918301</v>
      </c>
      <c r="F6" s="13">
        <f>'ALL VARS'!Q6</f>
        <v>-0.83032818273290143</v>
      </c>
      <c r="G6" s="13">
        <f>'ALL VARS'!J6</f>
        <v>52.202000299999995</v>
      </c>
      <c r="I6" s="15" t="s">
        <v>58</v>
      </c>
      <c r="J6" s="15">
        <v>0.62309824351632304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VARS'!M7</f>
        <v>3.1907220238021443E-2</v>
      </c>
      <c r="F7" s="13">
        <f>'ALL VARS'!Q7</f>
        <v>6.574453649691922E-2</v>
      </c>
      <c r="G7" s="13">
        <f>'ALL VARS'!J7</f>
        <v>47.274999899999997</v>
      </c>
      <c r="I7" s="15" t="s">
        <v>58</v>
      </c>
      <c r="J7" s="15">
        <v>0.12157683832938151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VARS'!M8</f>
        <v>-0.35427594827488063</v>
      </c>
      <c r="F8" s="13">
        <f>'ALL VARS'!Q8</f>
        <v>-0.10220534676629936</v>
      </c>
      <c r="G8" s="13">
        <f>'ALL VARS'!J8</f>
        <v>45.502999800000012</v>
      </c>
      <c r="I8" s="15" t="s">
        <v>59</v>
      </c>
      <c r="J8" s="15">
        <v>6.9446266743922971E-2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VARS'!M9</f>
        <v>-6.778317345306277E-2</v>
      </c>
      <c r="F9" s="13">
        <f>'ALL VARS'!Q9</f>
        <v>0.22656588860171603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VARS'!M10</f>
        <v>-5.6557500781491396E-2</v>
      </c>
      <c r="F10" s="13">
        <f>'ALL VARS'!Q10</f>
        <v>0.3380164471663783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VARS'!M11</f>
        <v>4.3987865692802837E-2</v>
      </c>
      <c r="F11" s="13">
        <f>'ALL VARS'!Q11</f>
        <v>-0.34845029658763405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3.986540478451614E-2</v>
      </c>
      <c r="L13" s="15">
        <v>7.9730809569032272E-3</v>
      </c>
      <c r="M13" s="15">
        <v>1.6532113018775714</v>
      </c>
      <c r="N13" s="15">
        <v>0.32325996768588522</v>
      </c>
    </row>
    <row r="14" spans="1:14" x14ac:dyDescent="0.25">
      <c r="I14" s="15" t="s">
        <v>63</v>
      </c>
      <c r="J14" s="15">
        <v>5</v>
      </c>
      <c r="K14" s="15">
        <v>2.4113919823340508E-2</v>
      </c>
      <c r="L14" s="15">
        <v>4.8227839646681012E-3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-0.95872923063313753</v>
      </c>
      <c r="K19" s="15">
        <v>0.4655206410053237</v>
      </c>
      <c r="L19" s="15">
        <v>-2.0594773812020368</v>
      </c>
      <c r="M19" s="15">
        <v>9.4496029389415079E-2</v>
      </c>
      <c r="N19" s="15">
        <v>-2.1553881345151966</v>
      </c>
      <c r="O19" s="15">
        <v>0.23792967324892145</v>
      </c>
      <c r="P19" s="15">
        <v>-2.1553881345151966</v>
      </c>
      <c r="Q19" s="15">
        <v>0.23792967324892145</v>
      </c>
    </row>
    <row r="20" spans="9:17" x14ac:dyDescent="0.25">
      <c r="I20" s="15" t="s">
        <v>54</v>
      </c>
      <c r="J20" s="15">
        <v>-0.41360044242762478</v>
      </c>
      <c r="K20" s="15">
        <v>0.51255747589603484</v>
      </c>
      <c r="L20" s="15">
        <v>-0.80693475732566988</v>
      </c>
      <c r="M20" s="15">
        <v>0.45635656961603699</v>
      </c>
      <c r="N20" s="15">
        <v>-1.7311713796855703</v>
      </c>
      <c r="O20" s="15">
        <v>0.90397049483032088</v>
      </c>
      <c r="P20" s="15">
        <v>-1.7311713796855703</v>
      </c>
      <c r="Q20" s="15">
        <v>0.90397049483032088</v>
      </c>
    </row>
    <row r="21" spans="9:17" x14ac:dyDescent="0.25">
      <c r="I21" s="15" t="s">
        <v>19</v>
      </c>
      <c r="J21" s="15">
        <v>8.0844666948839683E-2</v>
      </c>
      <c r="K21" s="15">
        <v>0.22896094532091224</v>
      </c>
      <c r="L21" s="15">
        <v>0.35309369829657017</v>
      </c>
      <c r="M21" s="15">
        <v>0.73841671812795595</v>
      </c>
      <c r="N21" s="15">
        <v>-0.5077181801632169</v>
      </c>
      <c r="O21" s="15">
        <v>0.66940751406089616</v>
      </c>
      <c r="P21" s="15">
        <v>-0.5077181801632169</v>
      </c>
      <c r="Q21" s="15">
        <v>0.66940751406089616</v>
      </c>
    </row>
    <row r="22" spans="9:17" x14ac:dyDescent="0.25">
      <c r="I22" s="15" t="s">
        <v>30</v>
      </c>
      <c r="J22" s="15">
        <v>1.1129965206910599E-3</v>
      </c>
      <c r="K22" s="15">
        <v>2.0085747509918192E-2</v>
      </c>
      <c r="L22" s="15">
        <v>5.5412252899299394E-2</v>
      </c>
      <c r="M22" s="15">
        <v>0.95795609234483869</v>
      </c>
      <c r="N22" s="15">
        <v>-5.0519061183481991E-2</v>
      </c>
      <c r="O22" s="15">
        <v>5.2745054224864106E-2</v>
      </c>
      <c r="P22" s="15">
        <v>-5.0519061183481991E-2</v>
      </c>
      <c r="Q22" s="15">
        <v>5.2745054224864106E-2</v>
      </c>
    </row>
    <row r="23" spans="9:17" ht="15.75" thickBot="1" x14ac:dyDescent="0.3">
      <c r="I23" s="21" t="s">
        <v>3</v>
      </c>
      <c r="J23" s="21">
        <v>-5.3046743545828062E-4</v>
      </c>
      <c r="K23" s="21">
        <v>6.4489277208591006E-4</v>
      </c>
      <c r="L23" s="21">
        <v>-0.82256687998297773</v>
      </c>
      <c r="M23" s="21">
        <v>0.44819143303764181</v>
      </c>
      <c r="N23" s="21">
        <v>-2.188217081315471E-3</v>
      </c>
      <c r="O23" s="21">
        <v>1.12728221039891E-3</v>
      </c>
      <c r="P23" s="21">
        <v>-2.188217081315471E-3</v>
      </c>
      <c r="Q23" s="21">
        <v>1.12728221039891E-3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VARS'!S1</f>
        <v>Sent_t_k, k=0</v>
      </c>
      <c r="F1" s="13" t="str">
        <f>'ALL VARS'!U1</f>
        <v>Sent_t_k,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VARS'!S2</f>
        <v>1.6987292566922114E-2</v>
      </c>
      <c r="F2" s="13">
        <f>'ALL VARS'!U2</f>
        <v>0.35657162339303267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VARS'!S3</f>
        <v>-5.5165897223910382E-3</v>
      </c>
      <c r="F3" s="13">
        <f>'ALL VARS'!U3</f>
        <v>-0.10250094836844835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VARS'!S4</f>
        <v>-1.7128678152920237E-4</v>
      </c>
      <c r="F4" s="13">
        <f>'ALL VARS'!U4</f>
        <v>-2.6279659701414449E-3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VARS'!S5</f>
        <v>-3.4952245618801718E-2</v>
      </c>
      <c r="F5" s="13">
        <f>'ALL VARS'!U5</f>
        <v>-0.38085685379107737</v>
      </c>
      <c r="G5" s="13">
        <f>'ALL VARS'!J5</f>
        <v>56.111000699999998</v>
      </c>
      <c r="I5" s="15" t="s">
        <v>57</v>
      </c>
      <c r="J5" s="15">
        <v>0.81679967721320601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VARS'!S6</f>
        <v>-1.5805663897263415E-3</v>
      </c>
      <c r="F6" s="13">
        <f>'ALL VARS'!U6</f>
        <v>-1.104419387510187E-2</v>
      </c>
      <c r="G6" s="13">
        <f>'ALL VARS'!J6</f>
        <v>52.202000299999995</v>
      </c>
      <c r="I6" s="15" t="s">
        <v>58</v>
      </c>
      <c r="J6" s="15">
        <v>0.66716171269559754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VARS'!S7</f>
        <v>5.8939209202283022E-4</v>
      </c>
      <c r="F7" s="13">
        <f>'ALL VARS'!U7</f>
        <v>1.2144370338728499E-3</v>
      </c>
      <c r="G7" s="13">
        <f>'ALL VARS'!J7</f>
        <v>47.274999899999997</v>
      </c>
      <c r="I7" s="15" t="s">
        <v>58</v>
      </c>
      <c r="J7" s="15">
        <v>0.20089108285207563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VARS'!S8</f>
        <v>-5.525452737428084E-3</v>
      </c>
      <c r="F8" s="13">
        <f>'ALL VARS'!U8</f>
        <v>-1.5940422030328292E-3</v>
      </c>
      <c r="G8" s="13">
        <f>'ALL VARS'!J8</f>
        <v>45.502999800000012</v>
      </c>
      <c r="I8" s="15" t="s">
        <v>59</v>
      </c>
      <c r="J8" s="15">
        <v>6.5260660164254261E-2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VARS'!S9</f>
        <v>-7.0630842905598122E-3</v>
      </c>
      <c r="F9" s="13">
        <f>'ALL VARS'!U9</f>
        <v>2.3608425027010854E-2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VARS'!S10</f>
        <v>-7.1279300234385438E-3</v>
      </c>
      <c r="F10" s="13">
        <f>'ALL VARS'!U10</f>
        <v>4.2600142313249552E-2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VARS'!S11</f>
        <v>6.1216103774278897E-3</v>
      </c>
      <c r="F11" s="13">
        <f>'ALL VARS'!U11</f>
        <v>-4.8492394846010776E-2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4.2684555782485228E-2</v>
      </c>
      <c r="L13" s="15">
        <v>8.5369111564970457E-3</v>
      </c>
      <c r="M13" s="15">
        <v>2.004462041007423</v>
      </c>
      <c r="N13" s="15">
        <v>0.26011218371087963</v>
      </c>
    </row>
    <row r="14" spans="1:14" x14ac:dyDescent="0.25">
      <c r="I14" s="15" t="s">
        <v>63</v>
      </c>
      <c r="J14" s="15">
        <v>5</v>
      </c>
      <c r="K14" s="15">
        <v>2.1294768825371412E-2</v>
      </c>
      <c r="L14" s="15">
        <v>4.2589537650742828E-3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-1.3373572923358106</v>
      </c>
      <c r="K19" s="15">
        <v>0.47295830264527805</v>
      </c>
      <c r="L19" s="15">
        <v>-2.8276431238354593</v>
      </c>
      <c r="M19" s="15">
        <v>3.6776481066400343E-2</v>
      </c>
      <c r="N19" s="15">
        <v>-2.5531353141291451</v>
      </c>
      <c r="O19" s="15">
        <v>-0.12157927054247586</v>
      </c>
      <c r="P19" s="15">
        <v>-2.5531353141291451</v>
      </c>
      <c r="Q19" s="15">
        <v>-0.12157927054247586</v>
      </c>
    </row>
    <row r="20" spans="9:17" x14ac:dyDescent="0.25">
      <c r="I20" s="15" t="s">
        <v>54</v>
      </c>
      <c r="J20" s="15">
        <v>-0.73850783903532158</v>
      </c>
      <c r="K20" s="15">
        <v>0.47530455090499796</v>
      </c>
      <c r="L20" s="15">
        <v>-1.5537571387212148</v>
      </c>
      <c r="M20" s="15">
        <v>0.18095508170683192</v>
      </c>
      <c r="N20" s="15">
        <v>-1.9603170839869857</v>
      </c>
      <c r="O20" s="15">
        <v>0.48330140591634241</v>
      </c>
      <c r="P20" s="15">
        <v>-1.9603170839869857</v>
      </c>
      <c r="Q20" s="15">
        <v>0.48330140591634241</v>
      </c>
    </row>
    <row r="21" spans="9:17" x14ac:dyDescent="0.25">
      <c r="I21" s="15" t="s">
        <v>20</v>
      </c>
      <c r="J21" s="15">
        <v>2.0981848398699245</v>
      </c>
      <c r="K21" s="15">
        <v>3.8604881878147936</v>
      </c>
      <c r="L21" s="15">
        <v>0.54350246336528474</v>
      </c>
      <c r="M21" s="15">
        <v>0.61012910856292457</v>
      </c>
      <c r="N21" s="15">
        <v>-7.8255159724153387</v>
      </c>
      <c r="O21" s="15">
        <v>12.021885652155188</v>
      </c>
      <c r="P21" s="15">
        <v>-7.8255159724153387</v>
      </c>
      <c r="Q21" s="15">
        <v>12.021885652155188</v>
      </c>
    </row>
    <row r="22" spans="9:17" x14ac:dyDescent="0.25">
      <c r="I22" s="15" t="s">
        <v>88</v>
      </c>
      <c r="J22" s="15">
        <v>-0.27159481993637219</v>
      </c>
      <c r="K22" s="15">
        <v>0.31602247397838906</v>
      </c>
      <c r="L22" s="15">
        <v>-0.85941615644381353</v>
      </c>
      <c r="M22" s="15">
        <v>0.42938016391896261</v>
      </c>
      <c r="N22" s="15">
        <v>-1.083956451198069</v>
      </c>
      <c r="O22" s="15">
        <v>0.54076681132532478</v>
      </c>
      <c r="P22" s="15">
        <v>-1.083956451198069</v>
      </c>
      <c r="Q22" s="15">
        <v>0.54076681132532478</v>
      </c>
    </row>
    <row r="23" spans="9:17" ht="15.75" thickBot="1" x14ac:dyDescent="0.3">
      <c r="I23" s="21" t="s">
        <v>3</v>
      </c>
      <c r="J23" s="21">
        <v>-8.0931510369669903E-4</v>
      </c>
      <c r="K23" s="21">
        <v>5.0422213450824289E-4</v>
      </c>
      <c r="L23" s="21">
        <v>-1.6050765095546764</v>
      </c>
      <c r="M23" s="21">
        <v>0.16938382219859061</v>
      </c>
      <c r="N23" s="21">
        <v>-2.1054593637893589E-3</v>
      </c>
      <c r="O23" s="21">
        <v>4.86829156395961E-4</v>
      </c>
      <c r="P23" s="21">
        <v>-2.1054593637893589E-3</v>
      </c>
      <c r="Q23" s="21">
        <v>4.86829156395961E-4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VARS'!W1</f>
        <v>Sent_t_k, k=1</v>
      </c>
      <c r="F1" s="13" t="str">
        <f>'ALL VARS'!Y1</f>
        <v>Sent_t_k,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VARS'!W2</f>
        <v>1.0154784757221319E-2</v>
      </c>
      <c r="F2" s="13">
        <f>'ALL VARS'!Y2</f>
        <v>0.21315392501921759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VARS'!W3</f>
        <v>-5.5161054726054672E-3</v>
      </c>
      <c r="F3" s="13">
        <f>'ALL VARS'!Y3</f>
        <v>-0.10249195076943046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VARS'!W4</f>
        <v>-1.712852538570524E-4</v>
      </c>
      <c r="F4" s="13">
        <f>'ALL VARS'!Y4</f>
        <v>-2.6279425318446433E-3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VARS'!W5</f>
        <v>-4.0604122122646939E-3</v>
      </c>
      <c r="F5" s="13">
        <f>'ALL VARS'!Y5</f>
        <v>-4.4244247912532744E-2</v>
      </c>
      <c r="G5" s="13">
        <f>'ALL VARS'!J5</f>
        <v>56.111000699999998</v>
      </c>
      <c r="I5" s="15" t="s">
        <v>57</v>
      </c>
      <c r="J5" s="15">
        <v>0.78377485380194623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VARS'!W6</f>
        <v>-9.1976094424414557E-3</v>
      </c>
      <c r="F6" s="13">
        <f>'ALL VARS'!Y6</f>
        <v>-6.4268215830768485E-2</v>
      </c>
      <c r="G6" s="13">
        <f>'ALL VARS'!J6</f>
        <v>52.202000299999995</v>
      </c>
      <c r="I6" s="15" t="s">
        <v>58</v>
      </c>
      <c r="J6" s="15">
        <v>0.61430302145226223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VARS'!W7</f>
        <v>5.8937331608311489E-4</v>
      </c>
      <c r="F7" s="13">
        <f>'ALL VARS'!Y7</f>
        <v>1.2143983462201912E-3</v>
      </c>
      <c r="G7" s="13">
        <f>'ALL VARS'!J7</f>
        <v>47.274999899999997</v>
      </c>
      <c r="I7" s="15" t="s">
        <v>58</v>
      </c>
      <c r="J7" s="15">
        <v>0.10574543861407193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VARS'!W8</f>
        <v>-3.6524204180966004E-2</v>
      </c>
      <c r="F8" s="13">
        <f>'ALL VARS'!Y8</f>
        <v>-1.0536896370911306E-2</v>
      </c>
      <c r="G8" s="13">
        <f>'ALL VARS'!J8</f>
        <v>45.502999800000012</v>
      </c>
      <c r="I8" s="15" t="s">
        <v>59</v>
      </c>
      <c r="J8" s="15">
        <v>7.025187853826434E-2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VARS'!W9</f>
        <v>-1.038061216449215E-3</v>
      </c>
      <c r="F9" s="13">
        <f>'ALL VARS'!Y9</f>
        <v>3.4697292845200607E-3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VARS'!W10</f>
        <v>-8.8192819373451511E-4</v>
      </c>
      <c r="F10" s="13">
        <f>'ALL VARS'!Y10</f>
        <v>5.2708523287428978E-3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VARS'!W11</f>
        <v>8.8501540713074812E-4</v>
      </c>
      <c r="F11" s="13">
        <f>'ALL VARS'!Y11</f>
        <v>-7.0106579676538321E-3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3.9302692417081411E-2</v>
      </c>
      <c r="L13" s="15">
        <v>7.8605384834162829E-3</v>
      </c>
      <c r="M13" s="15">
        <v>1.5927089285617262</v>
      </c>
      <c r="N13" s="15">
        <v>0.33631971351742757</v>
      </c>
    </row>
    <row r="14" spans="1:14" x14ac:dyDescent="0.25">
      <c r="I14" s="15" t="s">
        <v>63</v>
      </c>
      <c r="J14" s="15">
        <v>5</v>
      </c>
      <c r="K14" s="15">
        <v>2.4676632190775229E-2</v>
      </c>
      <c r="L14" s="15">
        <v>4.9353264381550455E-3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-0.95041557217968053</v>
      </c>
      <c r="K19" s="15">
        <v>0.51229674624618859</v>
      </c>
      <c r="L19" s="15">
        <v>-1.8552051699406074</v>
      </c>
      <c r="M19" s="15">
        <v>0.1227247832469583</v>
      </c>
      <c r="N19" s="15">
        <v>-2.2673162825357194</v>
      </c>
      <c r="O19" s="15">
        <v>0.36648513817635853</v>
      </c>
      <c r="P19" s="15">
        <v>-2.2673162825357194</v>
      </c>
      <c r="Q19" s="15">
        <v>0.36648513817635853</v>
      </c>
    </row>
    <row r="20" spans="9:17" x14ac:dyDescent="0.25">
      <c r="I20" s="15" t="s">
        <v>54</v>
      </c>
      <c r="J20" s="15">
        <v>-0.4247540293865133</v>
      </c>
      <c r="K20" s="15">
        <v>0.49925011582460699</v>
      </c>
      <c r="L20" s="15">
        <v>-0.85078403774619227</v>
      </c>
      <c r="M20" s="15">
        <v>0.4337318291242811</v>
      </c>
      <c r="N20" s="15">
        <v>-1.7081173085645744</v>
      </c>
      <c r="O20" s="15">
        <v>0.85860924979154785</v>
      </c>
      <c r="P20" s="15">
        <v>-1.7081173085645744</v>
      </c>
      <c r="Q20" s="15">
        <v>0.85860924979154785</v>
      </c>
    </row>
    <row r="21" spans="9:17" x14ac:dyDescent="0.25">
      <c r="I21" s="15" t="s">
        <v>21</v>
      </c>
      <c r="J21" s="15">
        <v>0.5431096733509525</v>
      </c>
      <c r="K21" s="15">
        <v>2.6384670666951164</v>
      </c>
      <c r="L21" s="15">
        <v>0.20584288513831603</v>
      </c>
      <c r="M21" s="15">
        <v>0.84503234050882292</v>
      </c>
      <c r="N21" s="15">
        <v>-6.239285842220144</v>
      </c>
      <c r="O21" s="15">
        <v>7.3255051889220484</v>
      </c>
      <c r="P21" s="15">
        <v>-6.239285842220144</v>
      </c>
      <c r="Q21" s="15">
        <v>7.3255051889220484</v>
      </c>
    </row>
    <row r="22" spans="9:17" x14ac:dyDescent="0.25">
      <c r="I22" s="15" t="s">
        <v>89</v>
      </c>
      <c r="J22" s="15">
        <v>7.3307064116549941E-2</v>
      </c>
      <c r="K22" s="15">
        <v>0.37572581210652628</v>
      </c>
      <c r="L22" s="15">
        <v>0.19510787322688872</v>
      </c>
      <c r="M22" s="15">
        <v>0.85298904538730369</v>
      </c>
      <c r="N22" s="15">
        <v>-0.89252688366418953</v>
      </c>
      <c r="O22" s="15">
        <v>1.0391410118972895</v>
      </c>
      <c r="P22" s="15">
        <v>-0.89252688366418953</v>
      </c>
      <c r="Q22" s="15">
        <v>1.0391410118972895</v>
      </c>
    </row>
    <row r="23" spans="9:17" ht="15.75" thickBot="1" x14ac:dyDescent="0.3">
      <c r="I23" s="21" t="s">
        <v>3</v>
      </c>
      <c r="J23" s="21">
        <v>-6.4660677305471484E-4</v>
      </c>
      <c r="K23" s="21">
        <v>5.6059436951967536E-4</v>
      </c>
      <c r="L23" s="21">
        <v>-1.1534307303313376</v>
      </c>
      <c r="M23" s="21">
        <v>0.30087299512730437</v>
      </c>
      <c r="N23" s="21">
        <v>-2.0876604765019844E-3</v>
      </c>
      <c r="O23" s="21">
        <v>7.9444693039255486E-4</v>
      </c>
      <c r="P23" s="21">
        <v>-2.0876604765019844E-3</v>
      </c>
      <c r="Q23" s="21">
        <v>7.9444693039255486E-4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VARS'!AA1</f>
        <v>Sent_t_k, k=2</v>
      </c>
      <c r="F1" s="13" t="str">
        <f>'ALL VARS'!AC1</f>
        <v>Sent_t_k,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VARS'!AA2</f>
        <v>1.7143712440832329E-3</v>
      </c>
      <c r="F2" s="13">
        <f>'ALL VARS'!AC2</f>
        <v>3.5985495345586475E-2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VARS'!AA3</f>
        <v>-5.516151605443196E-3</v>
      </c>
      <c r="F3" s="13">
        <f>'ALL VARS'!AC3</f>
        <v>-0.10249280794022911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VARS'!AA4</f>
        <v>-1.7174013778191975E-3</v>
      </c>
      <c r="F4" s="13">
        <f>'ALL VARS'!AC4</f>
        <v>-2.6349215845435345E-2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VARS'!AA5</f>
        <v>-4.060510748992348E-3</v>
      </c>
      <c r="F5" s="13">
        <f>'ALL VARS'!AC5</f>
        <v>-4.4245321617166392E-2</v>
      </c>
      <c r="G5" s="13">
        <f>'ALL VARS'!J5</f>
        <v>56.111000699999998</v>
      </c>
      <c r="I5" s="15" t="s">
        <v>57</v>
      </c>
      <c r="J5" s="15">
        <v>0.8189417646084981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VARS'!AA6</f>
        <v>-1.7032330551087344E-2</v>
      </c>
      <c r="F6" s="13">
        <f>'ALL VARS'!AC6</f>
        <v>-0.11901326130539716</v>
      </c>
      <c r="G6" s="13">
        <f>'ALL VARS'!J6</f>
        <v>52.202000299999995</v>
      </c>
      <c r="I6" s="15" t="s">
        <v>58</v>
      </c>
      <c r="J6" s="15">
        <v>0.67066561382008072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VARS'!AA7</f>
        <v>7.6543061057000065E-3</v>
      </c>
      <c r="F7" s="13">
        <f>'ALL VARS'!AC7</f>
        <v>1.5771627969180645E-2</v>
      </c>
      <c r="G7" s="13">
        <f>'ALL VARS'!J7</f>
        <v>47.274999899999997</v>
      </c>
      <c r="I7" s="15" t="s">
        <v>58</v>
      </c>
      <c r="J7" s="15">
        <v>0.20719810487614526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VARS'!AA8</f>
        <v>-3.5048006093452558E-2</v>
      </c>
      <c r="F8" s="13">
        <f>'ALL VARS'!AC8</f>
        <v>-1.0111026824404592E-2</v>
      </c>
      <c r="G8" s="13">
        <f>'ALL VARS'!J8</f>
        <v>45.502999800000012</v>
      </c>
      <c r="I8" s="15" t="s">
        <v>59</v>
      </c>
      <c r="J8" s="15">
        <v>6.4916240799871142E-2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VARS'!AA9</f>
        <v>-1.2657981316277959E-2</v>
      </c>
      <c r="F9" s="13">
        <f>'ALL VARS'!AC9</f>
        <v>4.2309420446540791E-2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VARS'!AA10</f>
        <v>-8.6372160473580078E-3</v>
      </c>
      <c r="F10" s="13">
        <f>'ALL VARS'!AC10</f>
        <v>5.1620404745532963E-2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VARS'!AA11</f>
        <v>8.8509334488631264E-4</v>
      </c>
      <c r="F11" s="13">
        <f>'ALL VARS'!AC11</f>
        <v>-7.011275352326039E-3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4.2908733009922373E-2</v>
      </c>
      <c r="L13" s="15">
        <v>8.5817466019844739E-3</v>
      </c>
      <c r="M13" s="15">
        <v>2.0364275398004996</v>
      </c>
      <c r="N13" s="15">
        <v>0.25527460658105527</v>
      </c>
    </row>
    <row r="14" spans="1:14" x14ac:dyDescent="0.25">
      <c r="I14" s="15" t="s">
        <v>63</v>
      </c>
      <c r="J14" s="15">
        <v>5</v>
      </c>
      <c r="K14" s="15">
        <v>2.1070591597934271E-2</v>
      </c>
      <c r="L14" s="15">
        <v>4.2141183195868546E-3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-1.0880404180604131</v>
      </c>
      <c r="K19" s="15">
        <v>0.4544837114621299</v>
      </c>
      <c r="L19" s="15">
        <v>-2.3940141101208083</v>
      </c>
      <c r="M19" s="15">
        <v>6.207862364822922E-2</v>
      </c>
      <c r="N19" s="15">
        <v>-2.2563279913375403</v>
      </c>
      <c r="O19" s="15">
        <v>8.0247155216714106E-2</v>
      </c>
      <c r="P19" s="15">
        <v>-2.2563279913375403</v>
      </c>
      <c r="Q19" s="15">
        <v>8.0247155216714106E-2</v>
      </c>
    </row>
    <row r="20" spans="9:17" x14ac:dyDescent="0.25">
      <c r="I20" s="15" t="s">
        <v>54</v>
      </c>
      <c r="J20" s="15">
        <v>-0.69274878209046953</v>
      </c>
      <c r="K20" s="15">
        <v>0.44291961168167171</v>
      </c>
      <c r="L20" s="15">
        <v>-1.5640508205546588</v>
      </c>
      <c r="M20" s="15">
        <v>0.17857359138333112</v>
      </c>
      <c r="N20" s="15">
        <v>-1.8313098905264651</v>
      </c>
      <c r="O20" s="15">
        <v>0.44581232634552592</v>
      </c>
      <c r="P20" s="15">
        <v>-1.8313098905264651</v>
      </c>
      <c r="Q20" s="15">
        <v>0.44581232634552592</v>
      </c>
    </row>
    <row r="21" spans="9:17" x14ac:dyDescent="0.25">
      <c r="I21" s="15" t="s">
        <v>22</v>
      </c>
      <c r="J21" s="15">
        <v>2.1143100229499003</v>
      </c>
      <c r="K21" s="15">
        <v>2.2886464026706106</v>
      </c>
      <c r="L21" s="15">
        <v>0.92382555054495186</v>
      </c>
      <c r="M21" s="15">
        <v>0.39796979231710156</v>
      </c>
      <c r="N21" s="15">
        <v>-3.7688428479495668</v>
      </c>
      <c r="O21" s="15">
        <v>7.9974628938493675</v>
      </c>
      <c r="P21" s="15">
        <v>-3.7688428479495668</v>
      </c>
      <c r="Q21" s="15">
        <v>7.9974628938493675</v>
      </c>
    </row>
    <row r="22" spans="9:17" x14ac:dyDescent="0.25">
      <c r="I22" s="15" t="s">
        <v>90</v>
      </c>
      <c r="J22" s="15">
        <v>-0.17898797394020716</v>
      </c>
      <c r="K22" s="15">
        <v>0.45478673379122858</v>
      </c>
      <c r="L22" s="15">
        <v>-0.39356463291730975</v>
      </c>
      <c r="M22" s="15">
        <v>0.71012501008659534</v>
      </c>
      <c r="N22" s="15">
        <v>-1.3480544909123076</v>
      </c>
      <c r="O22" s="15">
        <v>0.99007854303189324</v>
      </c>
      <c r="P22" s="15">
        <v>-1.3480544909123076</v>
      </c>
      <c r="Q22" s="15">
        <v>0.99007854303189324</v>
      </c>
    </row>
    <row r="23" spans="9:17" ht="15.75" thickBot="1" x14ac:dyDescent="0.3">
      <c r="I23" s="21" t="s">
        <v>3</v>
      </c>
      <c r="J23" s="21">
        <v>-6.0115044934958678E-4</v>
      </c>
      <c r="K23" s="21">
        <v>6.1237251835911596E-4</v>
      </c>
      <c r="L23" s="21">
        <v>-0.98167444051931119</v>
      </c>
      <c r="M23" s="21">
        <v>0.37134289876115228</v>
      </c>
      <c r="N23" s="21">
        <v>-2.1753041216863961E-3</v>
      </c>
      <c r="O23" s="21">
        <v>9.730032229872225E-4</v>
      </c>
      <c r="P23" s="21">
        <v>-2.1753041216863961E-3</v>
      </c>
      <c r="Q23" s="21">
        <v>9.730032229872225E-4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VARS'!AE1</f>
        <v>Sent_t_k, k=3</v>
      </c>
      <c r="F1" s="13" t="str">
        <f>'ALL VARS'!AG1</f>
        <v>Sent_t_k,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VARS'!AE2</f>
        <v>1.7143029900145183E-3</v>
      </c>
      <c r="F2" s="13">
        <f>'ALL VARS'!AG2</f>
        <v>3.5984062659124585E-2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VARS'!AE3</f>
        <v>-5.5164068520862823E-3</v>
      </c>
      <c r="F3" s="13">
        <f>'ALL VARS'!AG3</f>
        <v>-0.10249755054830779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VARS'!AE4</f>
        <v>-5.4721930099223639E-4</v>
      </c>
      <c r="F4" s="13">
        <f>'ALL VARS'!AG4</f>
        <v>-8.3957074117071394E-3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VARS'!AE5</f>
        <v>-4.0604921100579018E-3</v>
      </c>
      <c r="F5" s="13">
        <f>'ALL VARS'!AG5</f>
        <v>-4.4245118518172158E-2</v>
      </c>
      <c r="G5" s="13">
        <f>'ALL VARS'!J5</f>
        <v>56.111000699999998</v>
      </c>
      <c r="I5" s="15" t="s">
        <v>57</v>
      </c>
      <c r="J5" s="15">
        <v>0.80720438934646066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VARS'!AE6</f>
        <v>-9.8072255318507311E-3</v>
      </c>
      <c r="F6" s="13">
        <f>'ALL VARS'!AG6</f>
        <v>-6.8527902943299815E-2</v>
      </c>
      <c r="G6" s="13">
        <f>'ALL VARS'!J6</f>
        <v>52.202000299999995</v>
      </c>
      <c r="I6" s="15" t="s">
        <v>58</v>
      </c>
      <c r="J6" s="15">
        <v>0.65157892618019242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VARS'!AE7</f>
        <v>5.8939635393362661E-4</v>
      </c>
      <c r="F7" s="13">
        <f>'ALL VARS'!AG7</f>
        <v>1.2144458155012028E-3</v>
      </c>
      <c r="G7" s="13">
        <f>'ALL VARS'!J7</f>
        <v>47.274999899999997</v>
      </c>
      <c r="I7" s="15" t="s">
        <v>58</v>
      </c>
      <c r="J7" s="15">
        <v>0.17284206712434641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VARS'!AE8</f>
        <v>-4.9581884882146952E-2</v>
      </c>
      <c r="F8" s="13">
        <f>'ALL VARS'!AG8</f>
        <v>-1.4303916939274398E-2</v>
      </c>
      <c r="G8" s="13">
        <f>'ALL VARS'!J8</f>
        <v>45.502999800000012</v>
      </c>
      <c r="I8" s="15" t="s">
        <v>59</v>
      </c>
      <c r="J8" s="15">
        <v>6.6770869370011129E-2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VARS'!AE9</f>
        <v>-6.4605697194624629E-3</v>
      </c>
      <c r="F9" s="13">
        <f>'ALL VARS'!AG9</f>
        <v>2.1594514461276127E-2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VARS'!AE10</f>
        <v>-1.075683497610363E-2</v>
      </c>
      <c r="F10" s="13">
        <f>'ALL VARS'!AG10</f>
        <v>6.4288327651271862E-2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VARS'!AE11</f>
        <v>2.5828414043263617E-3</v>
      </c>
      <c r="F11" s="13">
        <f>'ALL VARS'!AG11</f>
        <v>-2.0460002757614944E-2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4.1687579625721193E-2</v>
      </c>
      <c r="L13" s="15">
        <v>8.3375159251442392E-3</v>
      </c>
      <c r="M13" s="15">
        <v>1.8700904599047548</v>
      </c>
      <c r="N13" s="15">
        <v>0.28197276576802327</v>
      </c>
    </row>
    <row r="14" spans="1:14" x14ac:dyDescent="0.25">
      <c r="I14" s="15" t="s">
        <v>63</v>
      </c>
      <c r="J14" s="15">
        <v>5</v>
      </c>
      <c r="K14" s="15">
        <v>2.2291744982135452E-2</v>
      </c>
      <c r="L14" s="15">
        <v>4.4583489964270901E-3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-1.0657157322874926</v>
      </c>
      <c r="K19" s="15">
        <v>0.46558585409765718</v>
      </c>
      <c r="L19" s="15">
        <v>-2.2889779036627633</v>
      </c>
      <c r="M19" s="15">
        <v>7.0739646128494052E-2</v>
      </c>
      <c r="N19" s="15">
        <v>-2.2625422717601498</v>
      </c>
      <c r="O19" s="15">
        <v>0.13111080718516455</v>
      </c>
      <c r="P19" s="15">
        <v>-2.2625422717601498</v>
      </c>
      <c r="Q19" s="15">
        <v>0.13111080718516455</v>
      </c>
    </row>
    <row r="20" spans="9:17" x14ac:dyDescent="0.25">
      <c r="I20" s="15" t="s">
        <v>54</v>
      </c>
      <c r="J20" s="15">
        <v>-0.58437929341342743</v>
      </c>
      <c r="K20" s="15">
        <v>0.42108970848613275</v>
      </c>
      <c r="L20" s="15">
        <v>-1.3877786173267925</v>
      </c>
      <c r="M20" s="15">
        <v>0.22386940647100614</v>
      </c>
      <c r="N20" s="15">
        <v>-1.6668248492212712</v>
      </c>
      <c r="O20" s="15">
        <v>0.49806626239441643</v>
      </c>
      <c r="P20" s="15">
        <v>-1.6668248492212712</v>
      </c>
      <c r="Q20" s="15">
        <v>0.49806626239441643</v>
      </c>
    </row>
    <row r="21" spans="9:17" x14ac:dyDescent="0.25">
      <c r="I21" s="15" t="s">
        <v>23</v>
      </c>
      <c r="J21" s="15">
        <v>1.094559678291448</v>
      </c>
      <c r="K21" s="15">
        <v>1.7349861740290551</v>
      </c>
      <c r="L21" s="15">
        <v>0.63087515893548429</v>
      </c>
      <c r="M21" s="15">
        <v>0.55583128376574509</v>
      </c>
      <c r="N21" s="15">
        <v>-3.3653642657477878</v>
      </c>
      <c r="O21" s="15">
        <v>5.5544836223306842</v>
      </c>
      <c r="P21" s="15">
        <v>-3.3653642657477878</v>
      </c>
      <c r="Q21" s="15">
        <v>5.5544836223306842</v>
      </c>
    </row>
    <row r="22" spans="9:17" x14ac:dyDescent="0.25">
      <c r="I22" s="15" t="s">
        <v>91</v>
      </c>
      <c r="J22" s="15">
        <v>-0.22377910058494985</v>
      </c>
      <c r="K22" s="15">
        <v>0.52617093940617077</v>
      </c>
      <c r="L22" s="15">
        <v>-0.42529733937321557</v>
      </c>
      <c r="M22" s="15">
        <v>0.68830323170160645</v>
      </c>
      <c r="N22" s="15">
        <v>-1.5763445598621486</v>
      </c>
      <c r="O22" s="15">
        <v>1.1287863586922489</v>
      </c>
      <c r="P22" s="15">
        <v>-1.5763445598621486</v>
      </c>
      <c r="Q22" s="15">
        <v>1.1287863586922489</v>
      </c>
    </row>
    <row r="23" spans="9:17" ht="15.75" thickBot="1" x14ac:dyDescent="0.3">
      <c r="I23" s="21" t="s">
        <v>3</v>
      </c>
      <c r="J23" s="21">
        <v>-6.8618682912335676E-4</v>
      </c>
      <c r="K23" s="21">
        <v>6.2833623120204065E-4</v>
      </c>
      <c r="L23" s="21">
        <v>-1.0920694924923315</v>
      </c>
      <c r="M23" s="21">
        <v>0.32460676197460081</v>
      </c>
      <c r="N23" s="21">
        <v>-2.3013765317235024E-3</v>
      </c>
      <c r="O23" s="21">
        <v>9.2900287347678901E-4</v>
      </c>
      <c r="P23" s="21">
        <v>-2.3013765317235024E-3</v>
      </c>
      <c r="Q23" s="21">
        <v>9.2900287347678901E-4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VARS'!AI1</f>
        <v>Sent_t_k, k=4</v>
      </c>
      <c r="F1" s="13" t="str">
        <f>'ALL VARS'!AK1</f>
        <v>Sent_t_k,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VARS'!AI2</f>
        <v>1.0154696726914058E-2</v>
      </c>
      <c r="F2" s="13">
        <f>'ALL VARS'!AK2</f>
        <v>0.21315207721978494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VARS'!AI3</f>
        <v>-3.1125739688332953E-2</v>
      </c>
      <c r="F3" s="13">
        <f>'ALL VARS'!AK3</f>
        <v>-0.57833154127343123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VARS'!AI4</f>
        <v>-5.5334374741527613E-4</v>
      </c>
      <c r="F4" s="13">
        <f>'ALL VARS'!AK4</f>
        <v>-8.4896716781964303E-3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VARS'!AI5</f>
        <v>-3.9365741618549478E-2</v>
      </c>
      <c r="F5" s="13">
        <f>'ALL VARS'!AK5</f>
        <v>-0.42894847625836841</v>
      </c>
      <c r="G5" s="13">
        <f>'ALL VARS'!J5</f>
        <v>56.111000699999998</v>
      </c>
      <c r="I5" s="15" t="s">
        <v>57</v>
      </c>
      <c r="J5" s="15">
        <v>0.77898254763526009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VARS'!AI6</f>
        <v>-9.959607717572691E-3</v>
      </c>
      <c r="F6" s="13">
        <f>'ALL VARS'!AK6</f>
        <v>-6.9592672138168304E-2</v>
      </c>
      <c r="G6" s="13">
        <f>'ALL VARS'!J6</f>
        <v>52.202000299999995</v>
      </c>
      <c r="I6" s="15" t="s">
        <v>58</v>
      </c>
      <c r="J6" s="15">
        <v>0.60681380952032027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VARS'!AI7</f>
        <v>5.8933216228532193E-4</v>
      </c>
      <c r="F7" s="13">
        <f>'ALL VARS'!AK7</f>
        <v>1.214313549194916E-3</v>
      </c>
      <c r="G7" s="13">
        <f>'ALL VARS'!J7</f>
        <v>47.274999899999997</v>
      </c>
      <c r="I7" s="15" t="s">
        <v>58</v>
      </c>
      <c r="J7" s="15">
        <v>9.2264857136576423E-2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VARS'!AI8</f>
        <v>-5.525438084170599E-3</v>
      </c>
      <c r="F8" s="13">
        <f>'ALL VARS'!AK8</f>
        <v>-1.5940379757030604E-3</v>
      </c>
      <c r="G8" s="13">
        <f>'ALL VARS'!J8</f>
        <v>45.502999800000012</v>
      </c>
      <c r="I8" s="15" t="s">
        <v>59</v>
      </c>
      <c r="J8" s="15">
        <v>7.0930651924292903E-2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VARS'!AI9</f>
        <v>-7.0631411514768148E-3</v>
      </c>
      <c r="F9" s="13">
        <f>'ALL VARS'!AK9</f>
        <v>2.3608615085155542E-2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VARS'!AI10</f>
        <v>-5.8305820508956366E-3</v>
      </c>
      <c r="F10" s="13">
        <f>'ALL VARS'!AK10</f>
        <v>3.4846529682597986E-2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VARS'!AI11</f>
        <v>8.850192617951857E-4</v>
      </c>
      <c r="F11" s="13">
        <f>'ALL VARS'!AK11</f>
        <v>-7.0106885024148477E-3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3.8823537695830662E-2</v>
      </c>
      <c r="L13" s="15">
        <v>7.7647075391661328E-3</v>
      </c>
      <c r="M13" s="15">
        <v>1.5433243186390115</v>
      </c>
      <c r="N13" s="15">
        <v>0.34754305252256223</v>
      </c>
    </row>
    <row r="14" spans="1:14" x14ac:dyDescent="0.25">
      <c r="I14" s="15" t="s">
        <v>63</v>
      </c>
      <c r="J14" s="15">
        <v>5</v>
      </c>
      <c r="K14" s="15">
        <v>2.5155786912025982E-2</v>
      </c>
      <c r="L14" s="15">
        <v>5.0311573824051966E-3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-1.0317911904556876</v>
      </c>
      <c r="K19" s="15">
        <v>0.47848333056984926</v>
      </c>
      <c r="L19" s="15">
        <v>-2.1563785497540255</v>
      </c>
      <c r="M19" s="15">
        <v>8.3568511364794429E-2</v>
      </c>
      <c r="N19" s="15">
        <v>-2.2617717486733087</v>
      </c>
      <c r="O19" s="15">
        <v>0.1981893677619333</v>
      </c>
      <c r="P19" s="15">
        <v>-2.2617717486733087</v>
      </c>
      <c r="Q19" s="15">
        <v>0.1981893677619333</v>
      </c>
    </row>
    <row r="20" spans="9:17" x14ac:dyDescent="0.25">
      <c r="I20" s="15" t="s">
        <v>54</v>
      </c>
      <c r="J20" s="15">
        <v>-0.43779881474754134</v>
      </c>
      <c r="K20" s="15">
        <v>0.5390981671683458</v>
      </c>
      <c r="L20" s="15">
        <v>-0.81209479350878333</v>
      </c>
      <c r="M20" s="15">
        <v>0.45364914504233672</v>
      </c>
      <c r="N20" s="15">
        <v>-1.8235947708953206</v>
      </c>
      <c r="O20" s="15">
        <v>0.94799714140023794</v>
      </c>
      <c r="P20" s="15">
        <v>-1.8235947708953206</v>
      </c>
      <c r="Q20" s="15">
        <v>0.94799714140023794</v>
      </c>
    </row>
    <row r="21" spans="9:17" x14ac:dyDescent="0.25">
      <c r="I21" s="15" t="s">
        <v>24</v>
      </c>
      <c r="J21" s="15">
        <v>-0.78884757580776155</v>
      </c>
      <c r="K21" s="15">
        <v>4.3968694865862172</v>
      </c>
      <c r="L21" s="15">
        <v>-0.17941118748562909</v>
      </c>
      <c r="M21" s="15">
        <v>0.86465878795014917</v>
      </c>
      <c r="N21" s="15">
        <v>-12.091360411689861</v>
      </c>
      <c r="O21" s="15">
        <v>10.513665260074339</v>
      </c>
      <c r="P21" s="15">
        <v>-12.091360411689861</v>
      </c>
      <c r="Q21" s="15">
        <v>10.513665260074339</v>
      </c>
    </row>
    <row r="22" spans="9:17" x14ac:dyDescent="0.25">
      <c r="I22" s="15" t="s">
        <v>92</v>
      </c>
      <c r="J22" s="15">
        <v>5.5691239532380379E-2</v>
      </c>
      <c r="K22" s="15">
        <v>0.30773563825584782</v>
      </c>
      <c r="L22" s="15">
        <v>0.18097104335403405</v>
      </c>
      <c r="M22" s="15">
        <v>0.86349729920879281</v>
      </c>
      <c r="N22" s="15">
        <v>-0.73536840234604983</v>
      </c>
      <c r="O22" s="15">
        <v>0.84675088141081067</v>
      </c>
      <c r="P22" s="15">
        <v>-0.73536840234604983</v>
      </c>
      <c r="Q22" s="15">
        <v>0.84675088141081067</v>
      </c>
    </row>
    <row r="23" spans="9:17" ht="15.75" thickBot="1" x14ac:dyDescent="0.3">
      <c r="I23" s="21" t="s">
        <v>3</v>
      </c>
      <c r="J23" s="21">
        <v>-7.5753541367898315E-4</v>
      </c>
      <c r="K23" s="21">
        <v>6.6544990085113916E-4</v>
      </c>
      <c r="L23" s="21">
        <v>-1.1383808348458129</v>
      </c>
      <c r="M23" s="21">
        <v>0.30654951179709505</v>
      </c>
      <c r="N23" s="21">
        <v>-2.4681288413329083E-3</v>
      </c>
      <c r="O23" s="21">
        <v>9.5305801397494198E-4</v>
      </c>
      <c r="P23" s="21">
        <v>-2.4681288413329083E-3</v>
      </c>
      <c r="Q23" s="21">
        <v>9.5305801397494198E-4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VARS'!AM1</f>
        <v>Sent_t_k, k=5</v>
      </c>
      <c r="F1" s="13" t="str">
        <f>'ALL VARS'!AO1</f>
        <v>Sent_t_k,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VARS'!AM2</f>
        <v>1.7143928043252482E-3</v>
      </c>
      <c r="F2" s="13">
        <f>'ALL VARS'!AO2</f>
        <v>3.598594790566724E-2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VARS'!AM3</f>
        <v>-5.5163963680913706E-3</v>
      </c>
      <c r="F3" s="13">
        <f>'ALL VARS'!AO3</f>
        <v>-0.1024973557505296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VARS'!AM4</f>
        <v>-8.5723562444324324E-4</v>
      </c>
      <c r="F4" s="13">
        <f>'ALL VARS'!AO4</f>
        <v>-1.315213018376273E-2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VARS'!AM5</f>
        <v>-4.0604791192614649E-3</v>
      </c>
      <c r="F5" s="13">
        <f>'ALL VARS'!AO5</f>
        <v>-4.424497696406679E-2</v>
      </c>
      <c r="G5" s="13">
        <f>'ALL VARS'!J5</f>
        <v>56.111000699999998</v>
      </c>
      <c r="I5" s="15" t="s">
        <v>57</v>
      </c>
      <c r="J5" s="15">
        <v>0.77904733025916062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VARS'!AM6</f>
        <v>-1.679730846981399E-2</v>
      </c>
      <c r="F6" s="13">
        <f>'ALL VARS'!AO6</f>
        <v>-0.11737104656049026</v>
      </c>
      <c r="G6" s="13">
        <f>'ALL VARS'!J6</f>
        <v>52.202000299999995</v>
      </c>
      <c r="I6" s="15" t="s">
        <v>58</v>
      </c>
      <c r="J6" s="15">
        <v>0.60691474278392565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VARS'!AM7</f>
        <v>5.8935239406168196E-4</v>
      </c>
      <c r="F7" s="13">
        <f>'ALL VARS'!AO7</f>
        <v>1.2143552365857127E-3</v>
      </c>
      <c r="G7" s="13">
        <f>'ALL VARS'!J7</f>
        <v>47.274999899999997</v>
      </c>
      <c r="I7" s="15" t="s">
        <v>58</v>
      </c>
      <c r="J7" s="15">
        <v>9.2446537011066171E-2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VARS'!AM8</f>
        <v>-5.5255973379661205E-3</v>
      </c>
      <c r="F8" s="13">
        <f>'ALL VARS'!AO8</f>
        <v>-1.5940839189556983E-3</v>
      </c>
      <c r="G8" s="13">
        <f>'ALL VARS'!J8</f>
        <v>45.502999800000012</v>
      </c>
      <c r="I8" s="15" t="s">
        <v>59</v>
      </c>
      <c r="J8" s="15">
        <v>7.0921547177130922E-2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VARS'!AM9</f>
        <v>-6.9688562062328492E-3</v>
      </c>
      <c r="F9" s="13">
        <f>'ALL VARS'!AO9</f>
        <v>2.3293466777504299E-2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VARS'!AM10</f>
        <v>-8.8197054343203802E-4</v>
      </c>
      <c r="F10" s="13">
        <f>'ALL VARS'!AO10</f>
        <v>5.271105432117295E-3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VARS'!AM11</f>
        <v>8.8504982168877166E-4</v>
      </c>
      <c r="F11" s="13">
        <f>'ALL VARS'!AO11</f>
        <v>-7.010930582902637E-3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3.8829995337866602E-2</v>
      </c>
      <c r="L13" s="15">
        <v>7.7659990675733202E-3</v>
      </c>
      <c r="M13" s="15">
        <v>1.5439773729552821</v>
      </c>
      <c r="N13" s="15">
        <v>0.34739119271309632</v>
      </c>
    </row>
    <row r="14" spans="1:14" x14ac:dyDescent="0.25">
      <c r="I14" s="15" t="s">
        <v>63</v>
      </c>
      <c r="J14" s="15">
        <v>5</v>
      </c>
      <c r="K14" s="15">
        <v>2.5149329269990039E-2</v>
      </c>
      <c r="L14" s="15">
        <v>5.0298658539980074E-3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-1.0401280735692155</v>
      </c>
      <c r="K19" s="15">
        <v>0.58254610488862579</v>
      </c>
      <c r="L19" s="15">
        <v>-1.7854862728299807</v>
      </c>
      <c r="M19" s="15">
        <v>0.13424303930230511</v>
      </c>
      <c r="N19" s="15">
        <v>-2.5376105092166048</v>
      </c>
      <c r="O19" s="15">
        <v>0.45735436207817348</v>
      </c>
      <c r="P19" s="15">
        <v>-2.5376105092166048</v>
      </c>
      <c r="Q19" s="15">
        <v>0.45735436207817348</v>
      </c>
    </row>
    <row r="20" spans="9:17" x14ac:dyDescent="0.25">
      <c r="I20" s="15" t="s">
        <v>54</v>
      </c>
      <c r="J20" s="15">
        <v>-0.47228846198224073</v>
      </c>
      <c r="K20" s="15">
        <v>0.65535147481755296</v>
      </c>
      <c r="L20" s="15">
        <v>-0.72066437649159765</v>
      </c>
      <c r="M20" s="15">
        <v>0.50339122330441599</v>
      </c>
      <c r="N20" s="15">
        <v>-2.1569230591057122</v>
      </c>
      <c r="O20" s="15">
        <v>1.2123461351412308</v>
      </c>
      <c r="P20" s="15">
        <v>-2.1569230591057122</v>
      </c>
      <c r="Q20" s="15">
        <v>1.2123461351412308</v>
      </c>
    </row>
    <row r="21" spans="9:17" x14ac:dyDescent="0.25">
      <c r="I21" s="15" t="s">
        <v>25</v>
      </c>
      <c r="J21" s="15">
        <v>0.54826593937976498</v>
      </c>
      <c r="K21" s="15">
        <v>8.5601625936644741</v>
      </c>
      <c r="L21" s="15">
        <v>6.404854269772238E-2</v>
      </c>
      <c r="M21" s="15">
        <v>0.95141334548547007</v>
      </c>
      <c r="N21" s="15">
        <v>-21.456332533987581</v>
      </c>
      <c r="O21" s="15">
        <v>22.552864412747109</v>
      </c>
      <c r="P21" s="15">
        <v>-21.456332533987581</v>
      </c>
      <c r="Q21" s="15">
        <v>22.552864412747109</v>
      </c>
    </row>
    <row r="22" spans="9:17" x14ac:dyDescent="0.25">
      <c r="I22" s="15" t="s">
        <v>93</v>
      </c>
      <c r="J22" s="15">
        <v>4.2116369069394893E-2</v>
      </c>
      <c r="K22" s="15">
        <v>1.0244497844932026</v>
      </c>
      <c r="L22" s="15">
        <v>4.1111208872214221E-2</v>
      </c>
      <c r="M22" s="15">
        <v>0.96879836643055661</v>
      </c>
      <c r="N22" s="15">
        <v>-2.5913156384703688</v>
      </c>
      <c r="O22" s="15">
        <v>2.675548376609159</v>
      </c>
      <c r="P22" s="15">
        <v>-2.5913156384703688</v>
      </c>
      <c r="Q22" s="15">
        <v>2.675548376609159</v>
      </c>
    </row>
    <row r="23" spans="9:17" ht="15.75" thickBot="1" x14ac:dyDescent="0.3">
      <c r="I23" s="21" t="s">
        <v>3</v>
      </c>
      <c r="J23" s="21">
        <v>-6.7210328135331278E-4</v>
      </c>
      <c r="K23" s="21">
        <v>6.347639487999017E-4</v>
      </c>
      <c r="L23" s="21">
        <v>-1.0588239653874572</v>
      </c>
      <c r="M23" s="21">
        <v>0.33812739760634003</v>
      </c>
      <c r="N23" s="21">
        <v>-2.3038159580551199E-3</v>
      </c>
      <c r="O23" s="21">
        <v>9.5960939534849444E-4</v>
      </c>
      <c r="P23" s="21">
        <v>-2.3038159580551199E-3</v>
      </c>
      <c r="Q23" s="21">
        <v>9.5960939534849444E-4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VARS'!AQ1</f>
        <v>Sent_t_k, k=6</v>
      </c>
      <c r="F1" s="13" t="str">
        <f>'ALL VARS'!AS1</f>
        <v>Sent_t_k,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VARS'!AQ2</f>
        <v>1.7143413319869408E-3</v>
      </c>
      <c r="F2" s="13">
        <f>'ALL VARS'!AS2</f>
        <v>3.5984867475977941E-2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VARS'!AQ3</f>
        <v>-7.6246349875825695E-2</v>
      </c>
      <c r="F3" s="13">
        <f>'ALL VARS'!AS3</f>
        <v>-1.4166946547036829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VARS'!AQ4</f>
        <v>-9.7158339352527024E-4</v>
      </c>
      <c r="F4" s="13">
        <f>'ALL VARS'!AS4</f>
        <v>-1.4906509845908036E-2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VARS'!AQ5</f>
        <v>-4.0606005889795901E-3</v>
      </c>
      <c r="F5" s="13">
        <f>'ALL VARS'!AS5</f>
        <v>-4.4246300557840436E-2</v>
      </c>
      <c r="G5" s="13">
        <f>'ALL VARS'!J5</f>
        <v>56.111000699999998</v>
      </c>
      <c r="I5" s="15" t="s">
        <v>57</v>
      </c>
      <c r="J5" s="15">
        <v>0.84126768803612395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VARS'!AQ6</f>
        <v>-3.8836145563617909E-3</v>
      </c>
      <c r="F6" s="13">
        <f>'ALL VARS'!AS6</f>
        <v>-2.7136722870624592E-2</v>
      </c>
      <c r="G6" s="13">
        <f>'ALL VARS'!J6</f>
        <v>52.202000299999995</v>
      </c>
      <c r="I6" s="15" t="s">
        <v>58</v>
      </c>
      <c r="J6" s="15">
        <v>0.70773132293364516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VARS'!AQ7</f>
        <v>4.3877431272858454E-3</v>
      </c>
      <c r="F7" s="13">
        <f>'ALL VARS'!AS7</f>
        <v>9.0409047237277815E-3</v>
      </c>
      <c r="G7" s="13">
        <f>'ALL VARS'!J7</f>
        <v>47.274999899999997</v>
      </c>
      <c r="I7" s="15" t="s">
        <v>58</v>
      </c>
      <c r="J7" s="15">
        <v>0.27391638128056128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VARS'!AQ8</f>
        <v>-3.0278119662312395E-2</v>
      </c>
      <c r="F8" s="13">
        <f>'ALL VARS'!AS8</f>
        <v>-8.7349585389214016E-3</v>
      </c>
      <c r="G8" s="13">
        <f>'ALL VARS'!J8</f>
        <v>45.502999800000012</v>
      </c>
      <c r="I8" s="15" t="s">
        <v>59</v>
      </c>
      <c r="J8" s="15">
        <v>6.1154153681883539E-2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VARS'!AQ9</f>
        <v>-1.0381495994451876E-3</v>
      </c>
      <c r="F9" s="13">
        <f>'ALL VARS'!AS9</f>
        <v>3.4700247055073018E-3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VARS'!AQ10</f>
        <v>-5.594898761534059E-3</v>
      </c>
      <c r="F10" s="13">
        <f>'ALL VARS'!AS10</f>
        <v>3.3437966237861112E-2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VARS'!AQ11</f>
        <v>8.21617927730167E-3</v>
      </c>
      <c r="F11" s="13">
        <f>'ALL VARS'!AS11</f>
        <v>-6.5084542314162872E-2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4.5280172045119499E-2</v>
      </c>
      <c r="L13" s="15">
        <v>9.0560344090238991E-3</v>
      </c>
      <c r="M13" s="15">
        <v>2.421509311355202</v>
      </c>
      <c r="N13" s="15">
        <v>0.20603099843455938</v>
      </c>
    </row>
    <row r="14" spans="1:14" x14ac:dyDescent="0.25">
      <c r="I14" s="15" t="s">
        <v>63</v>
      </c>
      <c r="J14" s="15">
        <v>5</v>
      </c>
      <c r="K14" s="15">
        <v>1.8699152562737149E-2</v>
      </c>
      <c r="L14" s="15">
        <v>3.7398305125474298E-3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-0.89041412499534511</v>
      </c>
      <c r="K19" s="15">
        <v>0.37833917568172692</v>
      </c>
      <c r="L19" s="15">
        <v>-2.3534811677667626</v>
      </c>
      <c r="M19" s="15">
        <v>6.5277248465451798E-2</v>
      </c>
      <c r="N19" s="15">
        <v>-1.862965937712409</v>
      </c>
      <c r="O19" s="15">
        <v>8.2137687721718811E-2</v>
      </c>
      <c r="P19" s="15">
        <v>-1.862965937712409</v>
      </c>
      <c r="Q19" s="15">
        <v>8.2137687721718811E-2</v>
      </c>
    </row>
    <row r="20" spans="9:17" x14ac:dyDescent="0.25">
      <c r="I20" s="15" t="s">
        <v>54</v>
      </c>
      <c r="J20" s="15">
        <v>-0.33960785521546005</v>
      </c>
      <c r="K20" s="15">
        <v>0.39372996826526913</v>
      </c>
      <c r="L20" s="15">
        <v>-0.86254002130377538</v>
      </c>
      <c r="M20" s="15">
        <v>0.42781363222931457</v>
      </c>
      <c r="N20" s="15">
        <v>-1.3517229597838236</v>
      </c>
      <c r="O20" s="15">
        <v>0.67250724935290362</v>
      </c>
      <c r="P20" s="15">
        <v>-1.3517229597838236</v>
      </c>
      <c r="Q20" s="15">
        <v>0.67250724935290362</v>
      </c>
    </row>
    <row r="21" spans="9:17" x14ac:dyDescent="0.25">
      <c r="I21" s="15" t="s">
        <v>26</v>
      </c>
      <c r="J21" s="15">
        <v>1.630411679110751</v>
      </c>
      <c r="K21" s="15">
        <v>2.1430935136647311</v>
      </c>
      <c r="L21" s="15">
        <v>0.76077486526601246</v>
      </c>
      <c r="M21" s="15">
        <v>0.4811089449710963</v>
      </c>
      <c r="N21" s="15">
        <v>-3.8785855791858133</v>
      </c>
      <c r="O21" s="15">
        <v>7.1394089374073157</v>
      </c>
      <c r="P21" s="15">
        <v>-3.8785855791858133</v>
      </c>
      <c r="Q21" s="15">
        <v>7.1394089374073157</v>
      </c>
    </row>
    <row r="22" spans="9:17" x14ac:dyDescent="0.25">
      <c r="I22" s="15" t="s">
        <v>94</v>
      </c>
      <c r="J22" s="15">
        <v>-2.954009384350114E-2</v>
      </c>
      <c r="K22" s="15">
        <v>0.12344133706488572</v>
      </c>
      <c r="L22" s="15">
        <v>-0.23930471384941077</v>
      </c>
      <c r="M22" s="15">
        <v>0.82036932729907963</v>
      </c>
      <c r="N22" s="15">
        <v>-0.34685615266915615</v>
      </c>
      <c r="O22" s="15">
        <v>0.28777596498215385</v>
      </c>
      <c r="P22" s="15">
        <v>-0.34685615266915615</v>
      </c>
      <c r="Q22" s="15">
        <v>0.28777596498215385</v>
      </c>
    </row>
    <row r="23" spans="9:17" ht="15.75" thickBot="1" x14ac:dyDescent="0.3">
      <c r="I23" s="21" t="s">
        <v>3</v>
      </c>
      <c r="J23" s="21">
        <v>-3.5815482164368263E-4</v>
      </c>
      <c r="K23" s="21">
        <v>5.1427900077802811E-4</v>
      </c>
      <c r="L23" s="21">
        <v>-0.6964212443087261</v>
      </c>
      <c r="M23" s="21">
        <v>0.51720428371433425</v>
      </c>
      <c r="N23" s="21">
        <v>-1.680151079492876E-3</v>
      </c>
      <c r="O23" s="21">
        <v>9.6384143620551073E-4</v>
      </c>
      <c r="P23" s="21">
        <v>-1.680151079492876E-3</v>
      </c>
      <c r="Q23" s="21">
        <v>9.6384143620551073E-4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VARS'!AU1</f>
        <v>Sent_t_k, k=7</v>
      </c>
      <c r="F1" s="13" t="str">
        <f>'ALL VARS'!AW1</f>
        <v>Sent_t_k,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VARS'!AU2</f>
        <v>1.9058173496233594E-2</v>
      </c>
      <c r="F2" s="13">
        <f>'ALL VARS'!AW2</f>
        <v>0.40004043232236863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VARS'!AU3</f>
        <v>-3.0603370549948609E-2</v>
      </c>
      <c r="F3" s="13">
        <f>'ALL VARS'!AW3</f>
        <v>-0.56862566594515018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VARS'!AU4</f>
        <v>-3.015089558501223E-3</v>
      </c>
      <c r="F4" s="13">
        <f>'ALL VARS'!AW4</f>
        <v>-4.6258985579217829E-2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VARS'!AU5</f>
        <v>-7.2317028773303788E-2</v>
      </c>
      <c r="F5" s="13">
        <f>'ALL VARS'!AW5</f>
        <v>-0.788001902781992</v>
      </c>
      <c r="G5" s="13">
        <f>'ALL VARS'!J5</f>
        <v>56.111000699999998</v>
      </c>
      <c r="I5" s="15" t="s">
        <v>57</v>
      </c>
      <c r="J5" s="15">
        <v>0.7913048703898744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VARS'!AU6</f>
        <v>-2.5701972528234453E-2</v>
      </c>
      <c r="F6" s="13">
        <f>'ALL VARS'!AW6</f>
        <v>-0.17959230907314841</v>
      </c>
      <c r="G6" s="13">
        <f>'ALL VARS'!J6</f>
        <v>52.202000299999995</v>
      </c>
      <c r="I6" s="15" t="s">
        <v>58</v>
      </c>
      <c r="J6" s="15">
        <v>0.6261633979027359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VARS'!AU7</f>
        <v>8.2946416497291942E-3</v>
      </c>
      <c r="F7" s="13">
        <f>'ALL VARS'!AW7</f>
        <v>1.7091033521612186E-2</v>
      </c>
      <c r="G7" s="13">
        <f>'ALL VARS'!J7</f>
        <v>47.274999899999997</v>
      </c>
      <c r="I7" s="15" t="s">
        <v>58</v>
      </c>
      <c r="J7" s="15">
        <v>0.12709411622492456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VARS'!AU8</f>
        <v>-0.10358093703118552</v>
      </c>
      <c r="F8" s="13">
        <f>'ALL VARS'!AW8</f>
        <v>-2.9882145935113021E-2</v>
      </c>
      <c r="G8" s="13">
        <f>'ALL VARS'!J8</f>
        <v>45.502999800000012</v>
      </c>
      <c r="I8" s="15" t="s">
        <v>59</v>
      </c>
      <c r="J8" s="15">
        <v>6.9163304310709439E-2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VARS'!AU9</f>
        <v>-1.8066301679662718E-2</v>
      </c>
      <c r="F9" s="13">
        <f>'ALL VARS'!AW9</f>
        <v>6.03867816344398E-2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VARS'!AU10</f>
        <v>-9.2237513304407378E-3</v>
      </c>
      <c r="F10" s="13">
        <f>'ALL VARS'!AW10</f>
        <v>5.5125838503847675E-2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VARS'!AU11</f>
        <v>7.854573853185675E-3</v>
      </c>
      <c r="F11" s="13">
        <f>'ALL VARS'!AW11</f>
        <v>-6.222008150670133E-2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4.0061511291977644E-2</v>
      </c>
      <c r="L13" s="15">
        <v>8.0123022583955296E-3</v>
      </c>
      <c r="M13" s="15">
        <v>1.6749654645636385</v>
      </c>
      <c r="N13" s="15">
        <v>0.31874088019588886</v>
      </c>
    </row>
    <row r="14" spans="1:14" x14ac:dyDescent="0.25">
      <c r="I14" s="15" t="s">
        <v>63</v>
      </c>
      <c r="J14" s="15">
        <v>5</v>
      </c>
      <c r="K14" s="15">
        <v>2.3917813315879E-2</v>
      </c>
      <c r="L14" s="15">
        <v>4.7835626631757997E-3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-1.1744519466380539</v>
      </c>
      <c r="K19" s="15">
        <v>0.46896781307004132</v>
      </c>
      <c r="L19" s="15">
        <v>-2.5043338026753812</v>
      </c>
      <c r="M19" s="15">
        <v>5.4202073568202884E-2</v>
      </c>
      <c r="N19" s="15">
        <v>-2.379972088413989</v>
      </c>
      <c r="O19" s="15">
        <v>3.1068195137881283E-2</v>
      </c>
      <c r="P19" s="15">
        <v>-2.379972088413989</v>
      </c>
      <c r="Q19" s="15">
        <v>3.1068195137881283E-2</v>
      </c>
    </row>
    <row r="20" spans="9:17" x14ac:dyDescent="0.25">
      <c r="I20" s="15" t="s">
        <v>54</v>
      </c>
      <c r="J20" s="15">
        <v>-0.6633530593640854</v>
      </c>
      <c r="K20" s="15">
        <v>0.53838627911870085</v>
      </c>
      <c r="L20" s="15">
        <v>-1.2321136052165855</v>
      </c>
      <c r="M20" s="15">
        <v>0.27268392022541088</v>
      </c>
      <c r="N20" s="15">
        <v>-2.0473190490224411</v>
      </c>
      <c r="O20" s="15">
        <v>0.7206129302942702</v>
      </c>
      <c r="P20" s="15">
        <v>-2.0473190490224411</v>
      </c>
      <c r="Q20" s="15">
        <v>0.7206129302942702</v>
      </c>
    </row>
    <row r="21" spans="9:17" x14ac:dyDescent="0.25">
      <c r="I21" s="15" t="s">
        <v>27</v>
      </c>
      <c r="J21" s="15">
        <v>0.1964775255483914</v>
      </c>
      <c r="K21" s="15">
        <v>0.82336189906874357</v>
      </c>
      <c r="L21" s="15">
        <v>0.23862839144076939</v>
      </c>
      <c r="M21" s="15">
        <v>0.82086560152213939</v>
      </c>
      <c r="N21" s="15">
        <v>-1.9200416163527418</v>
      </c>
      <c r="O21" s="15">
        <v>2.3129966674495246</v>
      </c>
      <c r="P21" s="15">
        <v>-1.9200416163527418</v>
      </c>
      <c r="Q21" s="15">
        <v>2.3129966674495246</v>
      </c>
    </row>
    <row r="22" spans="9:17" x14ac:dyDescent="0.25">
      <c r="I22" s="15" t="s">
        <v>95</v>
      </c>
      <c r="J22" s="15">
        <v>-5.7701316936033115E-2</v>
      </c>
      <c r="K22" s="15">
        <v>0.10818182293843949</v>
      </c>
      <c r="L22" s="15">
        <v>-0.5333734944443288</v>
      </c>
      <c r="M22" s="15">
        <v>0.61662280119872392</v>
      </c>
      <c r="N22" s="15">
        <v>-0.33579154592760974</v>
      </c>
      <c r="O22" s="15">
        <v>0.22038891205554348</v>
      </c>
      <c r="P22" s="15">
        <v>-0.33579154592760974</v>
      </c>
      <c r="Q22" s="15">
        <v>0.22038891205554348</v>
      </c>
    </row>
    <row r="23" spans="9:17" ht="15.75" thickBot="1" x14ac:dyDescent="0.3">
      <c r="I23" s="21" t="s">
        <v>3</v>
      </c>
      <c r="J23" s="21">
        <v>-8.8556213274783053E-4</v>
      </c>
      <c r="K23" s="21">
        <v>6.3071037165957728E-4</v>
      </c>
      <c r="L23" s="21">
        <v>-1.4040709849398325</v>
      </c>
      <c r="M23" s="21">
        <v>0.21926079439415427</v>
      </c>
      <c r="N23" s="21">
        <v>-2.5068547576833694E-3</v>
      </c>
      <c r="O23" s="21">
        <v>7.3573049218770821E-4</v>
      </c>
      <c r="P23" s="21">
        <v>-2.5068547576833694E-3</v>
      </c>
      <c r="Q23" s="21">
        <v>7.3573049218770821E-4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VARS'!AY1</f>
        <v>Sent_t_k, k=8</v>
      </c>
      <c r="F1" s="13" t="str">
        <f>'ALL VARS'!BA1</f>
        <v>Sent_t_k,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VARS'!AY2</f>
        <v>2.3097021275098609E-2</v>
      </c>
      <c r="F2" s="13">
        <f>'ALL VARS'!BA2</f>
        <v>0.48481783304551268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VARS'!AY3</f>
        <v>-6.7954531489377079E-2</v>
      </c>
      <c r="F3" s="13">
        <f>'ALL VARS'!BA3</f>
        <v>-1.2626285937711068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VARS'!AY4</f>
        <v>-1.0849323223291307E-3</v>
      </c>
      <c r="F4" s="13">
        <f>'ALL VARS'!BA4</f>
        <v>-1.6645564809689619E-2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VARS'!AY5</f>
        <v>-3.4953074805319354E-2</v>
      </c>
      <c r="F5" s="13">
        <f>'ALL VARS'!BA5</f>
        <v>-0.3808658890150729</v>
      </c>
      <c r="G5" s="13">
        <f>'ALL VARS'!J5</f>
        <v>56.111000699999998</v>
      </c>
      <c r="I5" s="15" t="s">
        <v>57</v>
      </c>
      <c r="J5" s="15">
        <v>0.79902712202381232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VARS'!AY6</f>
        <v>-1.5672602084948424E-2</v>
      </c>
      <c r="F6" s="13">
        <f>'ALL VARS'!BA6</f>
        <v>-0.109512170496973</v>
      </c>
      <c r="G6" s="13">
        <f>'ALL VARS'!J6</f>
        <v>52.202000299999995</v>
      </c>
      <c r="I6" s="15" t="s">
        <v>58</v>
      </c>
      <c r="J6" s="15">
        <v>0.63844434172965625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VARS'!AY7</f>
        <v>8.0343301318900329E-3</v>
      </c>
      <c r="F7" s="13">
        <f>'ALL VARS'!BA7</f>
        <v>1.6554664011592893E-2</v>
      </c>
      <c r="G7" s="13">
        <f>'ALL VARS'!J7</f>
        <v>47.274999899999997</v>
      </c>
      <c r="I7" s="15" t="s">
        <v>58</v>
      </c>
      <c r="J7" s="15">
        <v>0.14919981511338118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VARS'!AY8</f>
        <v>-4.763828043313912E-2</v>
      </c>
      <c r="F8" s="13">
        <f>'ALL VARS'!BA8</f>
        <v>-1.3743204964175148E-2</v>
      </c>
      <c r="G8" s="13">
        <f>'ALL VARS'!J8</f>
        <v>45.502999800000012</v>
      </c>
      <c r="I8" s="15" t="s">
        <v>59</v>
      </c>
      <c r="J8" s="15">
        <v>6.8017772419104713E-2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VARS'!AY9</f>
        <v>-6.3888336911695591E-3</v>
      </c>
      <c r="F9" s="13">
        <f>'ALL VARS'!BA9</f>
        <v>2.1354736118555213E-2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VARS'!AY10</f>
        <v>-5.1236744586598592E-3</v>
      </c>
      <c r="F10" s="13">
        <f>'ALL VARS'!BA10</f>
        <v>3.062168966136649E-2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VARS'!AY11</f>
        <v>1.4787362988918864E-2</v>
      </c>
      <c r="F11" s="13">
        <f>'ALL VARS'!BA11</f>
        <v>-0.11713823660421067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4.0847237783571036E-2</v>
      </c>
      <c r="L13" s="15">
        <v>8.1694475567142075E-3</v>
      </c>
      <c r="M13" s="15">
        <v>1.7658258891146339</v>
      </c>
      <c r="N13" s="15">
        <v>0.30081209679080695</v>
      </c>
    </row>
    <row r="14" spans="1:14" x14ac:dyDescent="0.25">
      <c r="I14" s="15" t="s">
        <v>63</v>
      </c>
      <c r="J14" s="15">
        <v>5</v>
      </c>
      <c r="K14" s="15">
        <v>2.3132086824285605E-2</v>
      </c>
      <c r="L14" s="15">
        <v>4.6264173648571209E-3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-0.91874369613784113</v>
      </c>
      <c r="K19" s="15">
        <v>0.44589430043628608</v>
      </c>
      <c r="L19" s="15">
        <v>-2.0604517600671159</v>
      </c>
      <c r="M19" s="15">
        <v>9.4378945027438266E-2</v>
      </c>
      <c r="N19" s="15">
        <v>-2.0649514854531201</v>
      </c>
      <c r="O19" s="15">
        <v>0.22746409317743777</v>
      </c>
      <c r="P19" s="15">
        <v>-2.0649514854531201</v>
      </c>
      <c r="Q19" s="15">
        <v>0.22746409317743777</v>
      </c>
    </row>
    <row r="20" spans="9:17" x14ac:dyDescent="0.25">
      <c r="I20" s="15" t="s">
        <v>54</v>
      </c>
      <c r="J20" s="15">
        <v>-0.31214560218510384</v>
      </c>
      <c r="K20" s="15">
        <v>0.48391507049061455</v>
      </c>
      <c r="L20" s="15">
        <v>-0.64504211837965042</v>
      </c>
      <c r="M20" s="15">
        <v>0.54732613490531845</v>
      </c>
      <c r="N20" s="15">
        <v>-1.5560888923789447</v>
      </c>
      <c r="O20" s="15">
        <v>0.93179768800873686</v>
      </c>
      <c r="P20" s="15">
        <v>-1.5560888923789447</v>
      </c>
      <c r="Q20" s="15">
        <v>0.93179768800873686</v>
      </c>
    </row>
    <row r="21" spans="9:17" x14ac:dyDescent="0.25">
      <c r="I21" s="15" t="s">
        <v>28</v>
      </c>
      <c r="J21" s="15">
        <v>0.25878371492173796</v>
      </c>
      <c r="K21" s="15">
        <v>1.4268843761368342</v>
      </c>
      <c r="L21" s="15">
        <v>0.18136277840701603</v>
      </c>
      <c r="M21" s="15">
        <v>0.86320566952421052</v>
      </c>
      <c r="N21" s="15">
        <v>-3.4091393439288633</v>
      </c>
      <c r="O21" s="15">
        <v>3.9267067737723393</v>
      </c>
      <c r="P21" s="15">
        <v>-3.4091393439288633</v>
      </c>
      <c r="Q21" s="15">
        <v>3.9267067737723393</v>
      </c>
    </row>
    <row r="22" spans="9:17" x14ac:dyDescent="0.25">
      <c r="I22" s="15" t="s">
        <v>96</v>
      </c>
      <c r="J22" s="15">
        <v>2.6889758302374625E-2</v>
      </c>
      <c r="K22" s="15">
        <v>9.7376965764660359E-2</v>
      </c>
      <c r="L22" s="15">
        <v>0.27614085211241346</v>
      </c>
      <c r="M22" s="15">
        <v>0.79349001836272626</v>
      </c>
      <c r="N22" s="15">
        <v>-0.22342570110164062</v>
      </c>
      <c r="O22" s="15">
        <v>0.27720521770638984</v>
      </c>
      <c r="P22" s="15">
        <v>-0.22342570110164062</v>
      </c>
      <c r="Q22" s="15">
        <v>0.27720521770638984</v>
      </c>
    </row>
    <row r="23" spans="9:17" ht="15.75" thickBot="1" x14ac:dyDescent="0.3">
      <c r="I23" s="21" t="s">
        <v>3</v>
      </c>
      <c r="J23" s="21">
        <v>-4.9440764944975427E-4</v>
      </c>
      <c r="K23" s="21">
        <v>5.9837263447989311E-4</v>
      </c>
      <c r="L23" s="21">
        <v>-0.82625377726288329</v>
      </c>
      <c r="M23" s="21">
        <v>0.44628171335869438</v>
      </c>
      <c r="N23" s="21">
        <v>-2.0325734745856158E-3</v>
      </c>
      <c r="O23" s="21">
        <v>1.0437581756861073E-3</v>
      </c>
      <c r="P23" s="21">
        <v>-2.0325734745856158E-3</v>
      </c>
      <c r="Q23" s="21">
        <v>1.0437581756861073E-3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VARS'!BC1</f>
        <v>Sent_t_k, k=9</v>
      </c>
      <c r="F1" s="13" t="str">
        <f>'ALL VARS'!BE1</f>
        <v>Sent_t_k,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7.6414952709803391E-2</v>
      </c>
      <c r="C2" s="13">
        <f>'ALL VARS'!G2</f>
        <v>-9.0027322404371626E-2</v>
      </c>
      <c r="D2" s="13">
        <f>'ALL VARS'!H2</f>
        <v>-4.2323542879570866E-2</v>
      </c>
      <c r="E2" s="13">
        <f>'ALL VARS'!BC2</f>
        <v>1.0154845383669462E-2</v>
      </c>
      <c r="F2" s="13">
        <f>'ALL VARS'!BE2</f>
        <v>0.21315519759817328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-9.0027322404371626E-2</v>
      </c>
      <c r="C3" s="13">
        <f>'ALL VARS'!G3</f>
        <v>-4.2323542879570866E-2</v>
      </c>
      <c r="D3" s="13">
        <f>'ALL VARS'!H3</f>
        <v>5.6023763470572079E-2</v>
      </c>
      <c r="E3" s="13">
        <f>'ALL VARS'!BC3</f>
        <v>-2.9906381539971726E-2</v>
      </c>
      <c r="F3" s="13">
        <f>'ALL VARS'!BE3</f>
        <v>-0.55567526757946351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-4.2323542879570866E-2</v>
      </c>
      <c r="C4" s="13">
        <f>'ALL VARS'!G4</f>
        <v>5.6023763470572079E-2</v>
      </c>
      <c r="D4" s="13">
        <f>'ALL VARS'!H4</f>
        <v>-5.0255871932817199E-2</v>
      </c>
      <c r="E4" s="13">
        <f>'ALL VARS'!BC4</f>
        <v>-9.7155030089328301E-4</v>
      </c>
      <c r="F4" s="13">
        <f>'ALL VARS'!BE4</f>
        <v>-1.4906002122486835E-2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5.6023763470572079E-2</v>
      </c>
      <c r="C5" s="13">
        <f>'ALL VARS'!G5</f>
        <v>-5.0255871932817199E-2</v>
      </c>
      <c r="D5" s="13">
        <f>'ALL VARS'!H5</f>
        <v>5.9944367176634046E-2</v>
      </c>
      <c r="E5" s="13">
        <f>'ALL VARS'!BC5</f>
        <v>-4.0605986250814904E-3</v>
      </c>
      <c r="F5" s="13">
        <f>'ALL VARS'!BE5</f>
        <v>-4.4246279158241121E-2</v>
      </c>
      <c r="G5" s="13">
        <f>'ALL VARS'!J5</f>
        <v>56.111000699999998</v>
      </c>
      <c r="I5" s="15" t="s">
        <v>57</v>
      </c>
      <c r="J5" s="15">
        <v>0.82072302579104706</v>
      </c>
    </row>
    <row r="6" spans="1:14" x14ac:dyDescent="0.25">
      <c r="A6" s="17">
        <f>'ALL VARS'!A6</f>
        <v>43907</v>
      </c>
      <c r="B6" s="13">
        <f>'ALL VARS'!F6</f>
        <v>-5.0255871932817199E-2</v>
      </c>
      <c r="C6" s="13">
        <f>'ALL VARS'!G6</f>
        <v>5.9944367176634046E-2</v>
      </c>
      <c r="D6" s="13">
        <f>'ALL VARS'!H6</f>
        <v>-0.10001251721116529</v>
      </c>
      <c r="E6" s="13">
        <f>'ALL VARS'!BC6</f>
        <v>-9.1978200771456776E-3</v>
      </c>
      <c r="F6" s="13">
        <f>'ALL VARS'!BE6</f>
        <v>-6.4269687638928749E-2</v>
      </c>
      <c r="G6" s="13">
        <f>'ALL VARS'!J6</f>
        <v>52.202000299999995</v>
      </c>
      <c r="I6" s="15" t="s">
        <v>58</v>
      </c>
      <c r="J6" s="15">
        <v>0.67358628506361162</v>
      </c>
    </row>
    <row r="7" spans="1:14" x14ac:dyDescent="0.25">
      <c r="A7" s="17">
        <f>'ALL VARS'!A7</f>
        <v>43906</v>
      </c>
      <c r="B7" s="13">
        <f>'ALL VARS'!F7</f>
        <v>5.9944367176634046E-2</v>
      </c>
      <c r="C7" s="13">
        <f>'ALL VARS'!G7</f>
        <v>-0.10001251721116529</v>
      </c>
      <c r="D7" s="13">
        <f>'ALL VARS'!H7</f>
        <v>0.10904421461789414</v>
      </c>
      <c r="E7" s="13">
        <f>'ALL VARS'!BC7</f>
        <v>5.8935290502975829E-4</v>
      </c>
      <c r="F7" s="13">
        <f>'ALL VARS'!BE7</f>
        <v>1.2143562894307769E-3</v>
      </c>
      <c r="G7" s="13">
        <f>'ALL VARS'!J7</f>
        <v>47.274999899999997</v>
      </c>
      <c r="I7" s="15" t="s">
        <v>58</v>
      </c>
      <c r="J7" s="15">
        <v>0.212455313114501</v>
      </c>
    </row>
    <row r="8" spans="1:14" x14ac:dyDescent="0.25">
      <c r="A8" s="17">
        <f>'ALL VARS'!A8</f>
        <v>43903</v>
      </c>
      <c r="B8" s="13">
        <f>'ALL VARS'!F8</f>
        <v>-0.10001251721116529</v>
      </c>
      <c r="C8" s="13">
        <f>'ALL VARS'!G8</f>
        <v>0.10904421461789414</v>
      </c>
      <c r="D8" s="13">
        <f>'ALL VARS'!H8</f>
        <v>-0.12721875567940874</v>
      </c>
      <c r="E8" s="13">
        <f>'ALL VARS'!BC8</f>
        <v>-3.5048027832112895E-2</v>
      </c>
      <c r="F8" s="13">
        <f>'ALL VARS'!BE8</f>
        <v>-1.0111033095807798E-2</v>
      </c>
      <c r="G8" s="13">
        <f>'ALL VARS'!J8</f>
        <v>45.502999800000012</v>
      </c>
      <c r="I8" s="15" t="s">
        <v>59</v>
      </c>
      <c r="J8" s="15">
        <v>6.4627747948341169E-2</v>
      </c>
    </row>
    <row r="9" spans="1:14" ht="15.75" thickBot="1" x14ac:dyDescent="0.3">
      <c r="A9" s="17">
        <f>'ALL VARS'!A9</f>
        <v>43902</v>
      </c>
      <c r="B9" s="13">
        <f>'ALL VARS'!F9</f>
        <v>0.10904421461789414</v>
      </c>
      <c r="C9" s="13">
        <f>'ALL VARS'!G9</f>
        <v>-0.12721875567940874</v>
      </c>
      <c r="D9" s="13">
        <f>'ALL VARS'!H9</f>
        <v>-3.0141010575793159E-2</v>
      </c>
      <c r="E9" s="13">
        <f>'ALL VARS'!BC9</f>
        <v>-1.0381945823261345E-3</v>
      </c>
      <c r="F9" s="13">
        <f>'ALL VARS'!BE9</f>
        <v>3.4701750612058384E-3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-0.12721875567940874</v>
      </c>
      <c r="C10" s="13">
        <f>'ALL VARS'!G10</f>
        <v>-3.0141010575793159E-2</v>
      </c>
      <c r="D10" s="13">
        <f>'ALL VARS'!H10</f>
        <v>3.5090920148391304E-2</v>
      </c>
      <c r="E10" s="13">
        <f>'ALL VARS'!BC10</f>
        <v>-2.4987143958943078E-3</v>
      </c>
      <c r="F10" s="13">
        <f>'ALL VARS'!BE10</f>
        <v>1.4933590609790118E-2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-3.0141010575793159E-2</v>
      </c>
      <c r="C11" s="13">
        <f>'ALL VARS'!G11</f>
        <v>3.5090920148391304E-2</v>
      </c>
      <c r="D11" s="13">
        <f>'ALL VARS'!H11</f>
        <v>-6.8332483426823062E-2</v>
      </c>
      <c r="E11" s="13">
        <f>'ALL VARS'!BC11</f>
        <v>8.851199561413116E-4</v>
      </c>
      <c r="F11" s="13">
        <f>'ALL VARS'!BE11</f>
        <v>-7.0114861536356935E-3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4.3095595583485066E-2</v>
      </c>
      <c r="L13" s="15">
        <v>8.6191191166970129E-3</v>
      </c>
      <c r="M13" s="15">
        <v>2.0635967615358326</v>
      </c>
      <c r="N13" s="15">
        <v>0.25126499875747543</v>
      </c>
    </row>
    <row r="14" spans="1:14" x14ac:dyDescent="0.25">
      <c r="I14" s="15" t="s">
        <v>63</v>
      </c>
      <c r="J14" s="15">
        <v>5</v>
      </c>
      <c r="K14" s="15">
        <v>2.0883729024371578E-2</v>
      </c>
      <c r="L14" s="15">
        <v>4.1767458048743156E-3</v>
      </c>
    </row>
    <row r="15" spans="1:14" ht="15.75" thickBot="1" x14ac:dyDescent="0.3">
      <c r="I15" s="21" t="s">
        <v>64</v>
      </c>
      <c r="J15" s="21">
        <v>10</v>
      </c>
      <c r="K15" s="21">
        <v>6.3979324607856644E-2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-0.84477927594925517</v>
      </c>
      <c r="K19" s="15">
        <v>0.43341237130541194</v>
      </c>
      <c r="L19" s="15">
        <v>-1.9491351236810128</v>
      </c>
      <c r="M19" s="15">
        <v>0.10879056532539809</v>
      </c>
      <c r="N19" s="15">
        <v>-1.9589012449670091</v>
      </c>
      <c r="O19" s="15">
        <v>0.26934269306849878</v>
      </c>
      <c r="P19" s="15">
        <v>-1.9589012449670091</v>
      </c>
      <c r="Q19" s="15">
        <v>0.26934269306849878</v>
      </c>
    </row>
    <row r="20" spans="9:17" x14ac:dyDescent="0.25">
      <c r="I20" s="15" t="s">
        <v>54</v>
      </c>
      <c r="J20" s="15">
        <v>-0.31072957192884754</v>
      </c>
      <c r="K20" s="15">
        <v>0.44791904163962304</v>
      </c>
      <c r="L20" s="15">
        <v>-0.69371815672629422</v>
      </c>
      <c r="M20" s="15">
        <v>0.51876042935357258</v>
      </c>
      <c r="N20" s="15">
        <v>-1.4621421242032886</v>
      </c>
      <c r="O20" s="15">
        <v>0.84068298034559363</v>
      </c>
      <c r="P20" s="15">
        <v>-1.4621421242032886</v>
      </c>
      <c r="Q20" s="15">
        <v>0.84068298034559363</v>
      </c>
    </row>
    <row r="21" spans="9:17" x14ac:dyDescent="0.25">
      <c r="I21" s="15" t="s">
        <v>29</v>
      </c>
      <c r="J21" s="15">
        <v>1.0491816166513863</v>
      </c>
      <c r="K21" s="15">
        <v>2.5246730284236407</v>
      </c>
      <c r="L21" s="15">
        <v>0.41557128580189884</v>
      </c>
      <c r="M21" s="15">
        <v>0.69495647992814169</v>
      </c>
      <c r="N21" s="15">
        <v>-5.4406970111353505</v>
      </c>
      <c r="O21" s="15">
        <v>7.5390602444381241</v>
      </c>
      <c r="P21" s="15">
        <v>-5.4406970111353505</v>
      </c>
      <c r="Q21" s="15">
        <v>7.5390602444381241</v>
      </c>
    </row>
    <row r="22" spans="9:17" x14ac:dyDescent="0.25">
      <c r="I22" s="15" t="s">
        <v>97</v>
      </c>
      <c r="J22" s="15">
        <v>6.8117658936981712E-2</v>
      </c>
      <c r="K22" s="15">
        <v>0.18321715695099786</v>
      </c>
      <c r="L22" s="15">
        <v>0.37178646405478305</v>
      </c>
      <c r="M22" s="15">
        <v>0.7252873633671566</v>
      </c>
      <c r="N22" s="15">
        <v>-0.40285703669818118</v>
      </c>
      <c r="O22" s="15">
        <v>0.53909235457214466</v>
      </c>
      <c r="P22" s="15">
        <v>-0.40285703669818118</v>
      </c>
      <c r="Q22" s="15">
        <v>0.53909235457214466</v>
      </c>
    </row>
    <row r="23" spans="9:17" ht="15.75" thickBot="1" x14ac:dyDescent="0.3">
      <c r="I23" s="21" t="s">
        <v>3</v>
      </c>
      <c r="J23" s="21">
        <v>-4.020445676220821E-4</v>
      </c>
      <c r="K23" s="21">
        <v>5.6763449822233309E-4</v>
      </c>
      <c r="L23" s="21">
        <v>-0.70828071387692126</v>
      </c>
      <c r="M23" s="21">
        <v>0.51041476277599296</v>
      </c>
      <c r="N23" s="21">
        <v>-1.8611954980329456E-3</v>
      </c>
      <c r="O23" s="21">
        <v>1.0571063627887816E-3</v>
      </c>
      <c r="P23" s="21">
        <v>-1.8611954980329456E-3</v>
      </c>
      <c r="Q23" s="21">
        <v>1.0571063627887816E-3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06DE-B4A8-4440-BF2A-9BBCB7299DA9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1" width="14" style="1" bestFit="1" customWidth="1"/>
    <col min="2" max="2" width="12" style="1" bestFit="1" customWidth="1"/>
    <col min="3" max="3" width="12" style="1" hidden="1" customWidth="1"/>
    <col min="4" max="4" width="12.7109375" style="1" bestFit="1" customWidth="1"/>
    <col min="5" max="5" width="12.7109375" style="4" hidden="1" customWidth="1"/>
    <col min="6" max="6" width="0" style="1" hidden="1" customWidth="1"/>
    <col min="7" max="10" width="15.140625" style="4" hidden="1" customWidth="1"/>
    <col min="11" max="26" width="0" style="1" hidden="1" customWidth="1"/>
    <col min="27" max="16384" width="11.42578125" style="1"/>
  </cols>
  <sheetData>
    <row r="1" spans="1:10" x14ac:dyDescent="0.25">
      <c r="A1" s="23" t="s">
        <v>34</v>
      </c>
      <c r="B1" s="23"/>
      <c r="C1" s="23"/>
      <c r="D1" s="23"/>
      <c r="E1" s="23"/>
    </row>
    <row r="2" spans="1:10" x14ac:dyDescent="0.25">
      <c r="A2" s="2"/>
      <c r="B2" s="2"/>
      <c r="C2" s="2"/>
      <c r="D2" s="2"/>
      <c r="E2" s="3"/>
    </row>
    <row r="3" spans="1:10" x14ac:dyDescent="0.25">
      <c r="A3" s="24" t="s">
        <v>103</v>
      </c>
      <c r="B3" s="24"/>
      <c r="C3" s="24"/>
      <c r="D3" s="24"/>
      <c r="E3" s="24"/>
      <c r="G3" s="5"/>
    </row>
    <row r="4" spans="1:10" x14ac:dyDescent="0.25">
      <c r="A4" s="2"/>
      <c r="B4" s="3" t="s">
        <v>36</v>
      </c>
      <c r="C4" s="3" t="s">
        <v>37</v>
      </c>
      <c r="D4" s="3" t="s">
        <v>38</v>
      </c>
      <c r="E4" s="3" t="s">
        <v>49</v>
      </c>
      <c r="G4" s="4" t="s">
        <v>98</v>
      </c>
      <c r="H4" s="4" t="s">
        <v>99</v>
      </c>
      <c r="I4" s="4" t="s">
        <v>100</v>
      </c>
      <c r="J4" s="4" t="s">
        <v>101</v>
      </c>
    </row>
    <row r="5" spans="1:10" x14ac:dyDescent="0.25">
      <c r="A5" s="1" t="s">
        <v>35</v>
      </c>
      <c r="B5" s="4" t="str">
        <f>IF('Eq4 avec Sent_t__+__1'!M21&lt;0.1,'Eq4 avec Sent_t__+__1'!J21,"-")</f>
        <v>-</v>
      </c>
      <c r="C5" s="4" t="str">
        <f>IF('Eq4 avec Sent_t__+__1'!M22&lt;0.1,'Eq4 avec Sent_t__+__1'!J22,"-")</f>
        <v>-</v>
      </c>
      <c r="D5" s="4" t="str">
        <f>IF('Eq7 avec Sent_t'!M21&lt;0.1,'Eq7 avec Sent_t'!J21,"-")</f>
        <v>-</v>
      </c>
      <c r="E5" s="4" t="str">
        <f>IF('Eq7 avec Sent_t'!M22&lt;0.1,'Eq7 avec Sent_t'!J22,"-")</f>
        <v>-</v>
      </c>
      <c r="G5" s="4" t="str">
        <f>IF(OR(B5="-",D5="-"),"Yes","No")</f>
        <v>Yes</v>
      </c>
      <c r="H5" s="4" t="str">
        <f>IF(G5="Yes","No",IF(AND(B5&gt;0,D5&lt;0),"Yes","No"))</f>
        <v>No</v>
      </c>
      <c r="I5" s="4" t="str">
        <f>IF(G5="Yes","No",IF(AND(B5&lt;0,D5&gt;0),"Yes","No"))</f>
        <v>No</v>
      </c>
      <c r="J5" s="4" t="str">
        <f>IF(OR(H5="Yes",I5="Yes"),"Yes","No")</f>
        <v>No</v>
      </c>
    </row>
    <row r="6" spans="1:10" x14ac:dyDescent="0.25">
      <c r="A6" s="1" t="s">
        <v>48</v>
      </c>
      <c r="B6" s="4" t="str">
        <f>IF('Eq4 avec Sent__t_+_1_k, k=0'!M21&lt;0.1,'Eq4 avec Sent__t_+_1_k, k=0'!J21,"-")</f>
        <v>-</v>
      </c>
      <c r="C6" s="4" t="str">
        <f>IF('Eq4 avec Sent__t_+_1_k, k=0'!M22&lt;0.1,'Eq4 avec Sent__t_+_1_k, k=0'!J22,"-")</f>
        <v>-</v>
      </c>
      <c r="D6" s="4" t="str">
        <f>IF('Eq7 avec Sent__t_k, k=0'!M21&lt;0.1,'Eq7 avec Sent__t_k, k=0'!J21,"-")</f>
        <v>-</v>
      </c>
      <c r="E6" s="4" t="str">
        <f>IF('Eq7 avec Sent__t_k, k=0'!M22&lt;0.1,'Eq7 avec Sent__t_k, k=0'!J22,"-")</f>
        <v>-</v>
      </c>
      <c r="G6" s="4" t="str">
        <f t="shared" ref="G6:G15" si="0">IF(OR(B6="-",D6="-"),"Yes","No")</f>
        <v>Yes</v>
      </c>
      <c r="H6" s="4" t="str">
        <f t="shared" ref="H6:H15" si="1">IF(G6="Yes","No",IF(AND(B6&gt;0,D6&lt;0),"Yes","No"))</f>
        <v>No</v>
      </c>
      <c r="I6" s="4" t="str">
        <f t="shared" ref="I6:I15" si="2">IF(G6="Yes","No",IF(AND(B6&lt;0,D6&gt;0),"Yes","No"))</f>
        <v>No</v>
      </c>
      <c r="J6" s="4" t="str">
        <f t="shared" ref="J6:J15" si="3">IF(OR(H6="Yes",I6="Yes"),"Yes","No")</f>
        <v>No</v>
      </c>
    </row>
    <row r="7" spans="1:10" x14ac:dyDescent="0.25">
      <c r="A7" s="1" t="s">
        <v>39</v>
      </c>
      <c r="B7" s="4" t="str">
        <f>IF('Eq4 avec Sent__t_+_1_k, k=1'!M21&lt;0.1,'Eq4 avec Sent__t_+_1_k, k=1'!J21,"-")</f>
        <v>-</v>
      </c>
      <c r="C7" s="4" t="str">
        <f>IF('Eq4 avec Sent__t_+_1_k, k=1'!M22&lt;0.1,'Eq4 avec Sent__t_+_1_k, k=1'!J22,"-")</f>
        <v>-</v>
      </c>
      <c r="D7" s="4" t="str">
        <f>IF('Eq7 avec Sent__t_k, k=1'!M21&lt;0.1,'Eq7 avec Sent__t_k, k=1'!J21,"-")</f>
        <v>-</v>
      </c>
      <c r="E7" s="4" t="str">
        <f>IF('Eq7 avec Sent__t_k, k=1'!M22&lt;0.1,'Eq7 avec Sent__t_k, k=1'!J22,"-")</f>
        <v>-</v>
      </c>
      <c r="G7" s="4" t="str">
        <f t="shared" si="0"/>
        <v>Yes</v>
      </c>
      <c r="H7" s="4" t="str">
        <f t="shared" si="1"/>
        <v>No</v>
      </c>
      <c r="I7" s="4" t="str">
        <f t="shared" si="2"/>
        <v>No</v>
      </c>
      <c r="J7" s="4" t="str">
        <f t="shared" si="3"/>
        <v>No</v>
      </c>
    </row>
    <row r="8" spans="1:10" x14ac:dyDescent="0.25">
      <c r="A8" s="1" t="s">
        <v>40</v>
      </c>
      <c r="B8" s="4" t="str">
        <f>IF('Eq4 avec Sent__t_+_1_k, k=2'!M21&lt;0.1,'Eq4 avec Sent__t_+_1_k, k=2'!J21,"-")</f>
        <v>-</v>
      </c>
      <c r="C8" s="4" t="str">
        <f>IF('Eq4 avec Sent__t_+_1_k, k=2'!M22&lt;0.1,'Eq4 avec Sent__t_+_1_k, k=2'!J22,"-")</f>
        <v>-</v>
      </c>
      <c r="D8" s="4" t="str">
        <f>IF('Eq7 avec Sent__t_k, k=2'!M21&lt;0.1,'Eq7 avec Sent__t_k, k=2'!J21,"-")</f>
        <v>-</v>
      </c>
      <c r="E8" s="4" t="str">
        <f>IF('Eq7 avec Sent__t_k, k=2'!M22&lt;0.1,'Eq7 avec Sent__t_k, k=2'!J22,"-")</f>
        <v>-</v>
      </c>
      <c r="G8" s="4" t="str">
        <f t="shared" si="0"/>
        <v>Yes</v>
      </c>
      <c r="H8" s="4" t="str">
        <f t="shared" si="1"/>
        <v>No</v>
      </c>
      <c r="I8" s="4" t="str">
        <f t="shared" si="2"/>
        <v>No</v>
      </c>
      <c r="J8" s="4" t="str">
        <f t="shared" si="3"/>
        <v>No</v>
      </c>
    </row>
    <row r="9" spans="1:10" x14ac:dyDescent="0.25">
      <c r="A9" s="1" t="s">
        <v>41</v>
      </c>
      <c r="B9" s="4" t="str">
        <f>IF('Eq4 avec Sent__t_+_1_k, k=3'!M21&lt;0.1,'Eq4 avec Sent__t_+_1_k, k=3'!J21,"-")</f>
        <v>-</v>
      </c>
      <c r="C9" s="4" t="str">
        <f>IF('Eq4 avec Sent__t_+_1_k, k=3'!M22&lt;0.1,'Eq4 avec Sent__t_+_1_k, k=3'!J22,"-")</f>
        <v>-</v>
      </c>
      <c r="D9" s="4" t="str">
        <f>IF('Eq7 avec Sent__t_k, k=3'!M21&lt;0.1,'Eq7 avec Sent__t_k, k=3'!J21,"-")</f>
        <v>-</v>
      </c>
      <c r="E9" s="4" t="str">
        <f>IF('Eq7 avec Sent__t_k, k=3'!M22&lt;0.1,'Eq7 avec Sent__t_k, k=3'!J22,"-")</f>
        <v>-</v>
      </c>
      <c r="G9" s="4" t="str">
        <f t="shared" si="0"/>
        <v>Yes</v>
      </c>
      <c r="H9" s="4" t="str">
        <f t="shared" si="1"/>
        <v>No</v>
      </c>
      <c r="I9" s="4" t="str">
        <f t="shared" si="2"/>
        <v>No</v>
      </c>
      <c r="J9" s="4" t="str">
        <f t="shared" si="3"/>
        <v>No</v>
      </c>
    </row>
    <row r="10" spans="1:10" x14ac:dyDescent="0.25">
      <c r="A10" s="1" t="s">
        <v>42</v>
      </c>
      <c r="B10" s="4" t="str">
        <f>IF('Eq4 avec Sent__t_+_1_k, k=4'!M21&lt;0.1,'Eq4 avec Sent__t_+_1_k, k=4'!J21,"-")</f>
        <v>-</v>
      </c>
      <c r="C10" s="4" t="str">
        <f>IF('Eq4 avec Sent__t_+_1_k, k=4'!M22&lt;0.1,'Eq4 avec Sent__t_+_1_k, k=4'!J22,"-")</f>
        <v>-</v>
      </c>
      <c r="D10" s="4" t="str">
        <f>IF('Eq7 avec Sent__t_k, k=4'!M22&lt;0.1,'Eq7 avec Sent__t_k, k=4'!J22,"-")</f>
        <v>-</v>
      </c>
      <c r="E10" s="4" t="str">
        <f>IF('Eq7 avec Sent__t_k, k=4'!M22&lt;0.1,'Eq7 avec Sent__t_k, k=4'!J22,"-")</f>
        <v>-</v>
      </c>
      <c r="G10" s="4" t="str">
        <f t="shared" si="0"/>
        <v>Yes</v>
      </c>
      <c r="H10" s="4" t="str">
        <f t="shared" si="1"/>
        <v>No</v>
      </c>
      <c r="I10" s="4" t="str">
        <f t="shared" si="2"/>
        <v>No</v>
      </c>
      <c r="J10" s="4" t="str">
        <f t="shared" si="3"/>
        <v>No</v>
      </c>
    </row>
    <row r="11" spans="1:10" x14ac:dyDescent="0.25">
      <c r="A11" s="1" t="s">
        <v>43</v>
      </c>
      <c r="B11" s="4" t="str">
        <f>IF('Eq4 avec Sent__t_+_1_k, k=5'!M21&lt;0.1,'Eq4 avec Sent__t_+_1_k, k=5'!J21,"-")</f>
        <v>-</v>
      </c>
      <c r="C11" s="4" t="str">
        <f>IF('Eq4 avec Sent__t_+_1_k, k=5'!M22&lt;0.1,'Eq4 avec Sent__t_+_1_k, k=5'!J22,"-")</f>
        <v>-</v>
      </c>
      <c r="D11" s="4" t="str">
        <f>IF('Eq7 avec Sent__t_k, k=5'!M21&lt;0.1,'Eq7 avec Sent__t_k, k=5'!J21,"-")</f>
        <v>-</v>
      </c>
      <c r="E11" s="4" t="str">
        <f>IF('Eq7 avec Sent__t_k, k=5'!M22&lt;0.1,'Eq7 avec Sent__t_k, k=5'!J22,"-")</f>
        <v>-</v>
      </c>
      <c r="G11" s="4" t="str">
        <f t="shared" si="0"/>
        <v>Yes</v>
      </c>
      <c r="H11" s="4" t="str">
        <f t="shared" si="1"/>
        <v>No</v>
      </c>
      <c r="I11" s="4" t="str">
        <f t="shared" si="2"/>
        <v>No</v>
      </c>
      <c r="J11" s="4" t="str">
        <f t="shared" si="3"/>
        <v>No</v>
      </c>
    </row>
    <row r="12" spans="1:10" x14ac:dyDescent="0.25">
      <c r="A12" s="1" t="s">
        <v>44</v>
      </c>
      <c r="B12" s="4" t="str">
        <f>IF('Eq4 avec Sent__t_+_1_k, k=6'!M21&lt;0.1,'Eq4 avec Sent__t_+_1_k, k=6'!J21,"-")</f>
        <v>-</v>
      </c>
      <c r="C12" s="4" t="str">
        <f>IF('Eq4 avec Sent__t_+_1_k, k=6'!M22&lt;0.1,'Eq4 avec Sent__t_+_1_k, k=6'!J22,"-")</f>
        <v>-</v>
      </c>
      <c r="D12" s="4" t="str">
        <f>IF('Eq7 avec Sent__t_k, k=6'!M21&lt;0.1,'Eq7 avec Sent__t_k, k=6'!J21,"-")</f>
        <v>-</v>
      </c>
      <c r="E12" s="4" t="str">
        <f>IF('Eq7 avec Sent__t_k, k=6'!M22&lt;0.1,'Eq7 avec Sent__t_k, k=6'!J22,"-")</f>
        <v>-</v>
      </c>
      <c r="G12" s="4" t="str">
        <f t="shared" si="0"/>
        <v>Yes</v>
      </c>
      <c r="H12" s="4" t="str">
        <f t="shared" si="1"/>
        <v>No</v>
      </c>
      <c r="I12" s="4" t="str">
        <f t="shared" si="2"/>
        <v>No</v>
      </c>
      <c r="J12" s="4" t="str">
        <f t="shared" si="3"/>
        <v>No</v>
      </c>
    </row>
    <row r="13" spans="1:10" x14ac:dyDescent="0.25">
      <c r="A13" s="1" t="s">
        <v>45</v>
      </c>
      <c r="B13" s="4" t="str">
        <f>IF('Eq4 avec Sent__t_+_1_k, k=7'!M21&lt;0.1,'Eq4 avec Sent__t_+_1_k, k=7'!J21,"-")</f>
        <v>-</v>
      </c>
      <c r="C13" s="4" t="str">
        <f>IF('Eq4 avec Sent__t_+_1_k, k=7'!M22&lt;0.1,'Eq4 avec Sent__t_+_1_k, k=7'!J22,"-")</f>
        <v>-</v>
      </c>
      <c r="D13" s="4" t="str">
        <f>IF('Eq7 avec Sent__t_k, k=7'!M21&lt;0.1,'Eq7 avec Sent__t_k, k=7'!J21,"-")</f>
        <v>-</v>
      </c>
      <c r="E13" s="4" t="str">
        <f>IF('Eq7 avec Sent__t_k, k=7'!M22&lt;0.1,'Eq7 avec Sent__t_k, k=7'!J22,"-")</f>
        <v>-</v>
      </c>
      <c r="G13" s="4" t="str">
        <f t="shared" si="0"/>
        <v>Yes</v>
      </c>
      <c r="H13" s="4" t="str">
        <f t="shared" si="1"/>
        <v>No</v>
      </c>
      <c r="I13" s="4" t="str">
        <f t="shared" si="2"/>
        <v>No</v>
      </c>
      <c r="J13" s="4" t="str">
        <f t="shared" si="3"/>
        <v>No</v>
      </c>
    </row>
    <row r="14" spans="1:10" x14ac:dyDescent="0.25">
      <c r="A14" s="1" t="s">
        <v>46</v>
      </c>
      <c r="B14" s="4" t="str">
        <f>IF('Eq4 avec Sent__t_+_1_k, k=8'!M21&lt;0.1,'Eq4 avec Sent__t_+_1_k, k=8'!J21,"-")</f>
        <v>-</v>
      </c>
      <c r="C14" s="4" t="str">
        <f>IF('Eq4 avec Sent__t_+_1_k, k=8'!M22&lt;0.1,'Eq4 avec Sent__t_+_1_k, k=8'!J22,"-")</f>
        <v>-</v>
      </c>
      <c r="D14" s="4" t="str">
        <f>IF('Eq7 avec Sent__t_k, k=8'!M21&lt;0.1,'Eq7 avec Sent__t_k, k=8'!J21,"-")</f>
        <v>-</v>
      </c>
      <c r="E14" s="4" t="str">
        <f>IF('Eq7 avec Sent__t_k, k=8'!M22&lt;0.1,'Eq7 avec Sent__t_k, k=8'!J22,"-")</f>
        <v>-</v>
      </c>
      <c r="G14" s="4" t="str">
        <f t="shared" si="0"/>
        <v>Yes</v>
      </c>
      <c r="H14" s="4" t="str">
        <f t="shared" si="1"/>
        <v>No</v>
      </c>
      <c r="I14" s="4" t="str">
        <f t="shared" si="2"/>
        <v>No</v>
      </c>
      <c r="J14" s="4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 t="str">
        <f>IF('Eq7 avec Sent__t_k, k=9'!M21&lt;0.1,'Eq7 avec Sent__t_k, k=9'!J21,"-")</f>
        <v>-</v>
      </c>
      <c r="E15" s="3" t="str">
        <f>IF('Eq7 avec Sent__t_k, k=8'!M22&lt;0.1,'Eq7 avec Sent__t_k, k=8'!J22,"-")</f>
        <v>-</v>
      </c>
      <c r="G15" s="4" t="str">
        <f t="shared" si="0"/>
        <v>Yes</v>
      </c>
      <c r="H15" s="4" t="str">
        <f t="shared" si="1"/>
        <v>No</v>
      </c>
      <c r="I15" s="4" t="str">
        <f t="shared" si="2"/>
        <v>No</v>
      </c>
      <c r="J15" s="4" t="str">
        <f t="shared" si="3"/>
        <v>No</v>
      </c>
    </row>
    <row r="16" spans="1:10" x14ac:dyDescent="0.25">
      <c r="A16" s="1" t="s">
        <v>102</v>
      </c>
      <c r="B16" s="6">
        <f>COUNTIF(J5:J15,"Yes")</f>
        <v>0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</vt:i4>
      </vt:variant>
      <vt:variant>
        <vt:lpstr>Plages nommées</vt:lpstr>
      </vt:variant>
      <vt:variant>
        <vt:i4>1</vt:i4>
      </vt:variant>
    </vt:vector>
  </HeadingPairs>
  <TitlesOfParts>
    <vt:vector size="26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  <vt:lpstr>A2ca17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2026-03-31T22:38:30Z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