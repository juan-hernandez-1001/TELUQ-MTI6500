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AEDB6332-E48E-4650-AAF6-849C7A50D6E6}" xr6:coauthVersionLast="47" xr6:coauthVersionMax="47" xr10:uidLastSave="{00000000-0000-0000-0000-000000000000}"/>
  <bookViews>
    <workbookView xWindow="-120" yWindow="-120" windowWidth="20730" windowHeight="11160" tabRatio="833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5" i="112" s="1"/>
  <c r="I5" i="112" s="1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6" i="112"/>
  <c r="I6" i="112" s="1"/>
  <c r="H5" i="112"/>
  <c r="J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H6" i="112"/>
  <c r="J6" i="112" s="1"/>
  <c r="B16" i="112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<sst xmlns="http://schemas.openxmlformats.org/spreadsheetml/2006/main" count="768" uniqueCount="106">
  <si>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</si>
  <si>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</si>
  <si>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</si>
  <si>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</si>
  <si>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</si>
  <si>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</si>
  <si>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</si>
  <si>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</si>
  <si>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</si>
  <si>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</si>
  <si>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</si>
  <si>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</si>
  <si>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</si>
  <si>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</si>
  <si>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</si>
  <si>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</si>
  <si>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</si>
  <si>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</si>
  <si>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</si>
  <si>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</si>
  <si>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</si>
  <si>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</si>
  <si>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</si>
  <si>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</si>
  <si>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</si>
  <si>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</si>
  <si>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</si>
  <si>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</si>
  <si>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</si>
  <si>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</si>
  <si>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</si>
  <si>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</si>
  <si>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</si>
  <si>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</si>
  <si>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</si>
  <si>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</si>
  <si>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</si>
  <si>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</si>
  <si>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</si>
  <si>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</si>
  <si>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</si>
  <si>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</si>
  <si>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</si>
  <si>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</si>
  <si>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</si>
  <si>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</si>
  <si>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</si>
  <si>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</si>
  <si>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</si>
  <si>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</si>
  <si>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</si>
  <si>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</si>
  <si>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</si>
  <si>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</si>
  <si>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</si>
  <si>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</si>
  <si>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</si>
  <si>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</si>
  <si>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</si>
  <si>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</si>
  <si>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</si>
  <si>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</si>
  <si>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</si>
  <si>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</si>
  <si>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</si>
  <si>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</si>
  <si>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</si>
  <si>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</si>
  <si>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</si>
  <si>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</si>
  <si>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</si>
  <si>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</si>
  <si>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</si>
  <si>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</si>
  <si>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</si>
  <si>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</si>
  <si>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</si>
  <si>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</si>
  <si>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</si>
  <si>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</si>
  <si>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</si>
  <si>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</si>
  <si>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</si>
  <si>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</si>
  <si>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</si>
  <si>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</si>
  <si>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</si>
  <si>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</si>
  <si>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</si>
  <si>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</si>
  <si>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</si>
  <si>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</si>
  <si>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</si>
  <si>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</si>
  <si>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</si>
  <si>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</si>
  <si>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</si>
  <si>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</si>
  <si>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Utilities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</si>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</sst>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280.88</c:v>
                </c:pt>
                <c:pt idx="1">
                  <c:v>281.39</c:v>
                </c:pt>
                <c:pt idx="2">
                  <c:v>277.33999999999997</c:v>
                </c:pt>
                <c:pt idx="3">
                  <c:v>278.06</c:v>
                </c:pt>
                <c:pt idx="4">
                  <c:v>275.2</c:v>
                </c:pt>
                <c:pt idx="5">
                  <c:v>271.99</c:v>
                </c:pt>
                <c:pt idx="6">
                  <c:v>269.68</c:v>
                </c:pt>
                <c:pt idx="7">
                  <c:v>272.37</c:v>
                </c:pt>
                <c:pt idx="8">
                  <c:v>275.27999999999997</c:v>
                </c:pt>
                <c:pt idx="9">
                  <c:v>269.26</c:v>
                </c:pt>
                <c:pt idx="10">
                  <c:v>272.87</c:v>
                </c:pt>
                <c:pt idx="11">
                  <c:v>272.16000000000003</c:v>
                </c:pt>
                <c:pt idx="12">
                  <c:v>281.13</c:v>
                </c:pt>
                <c:pt idx="13">
                  <c:v>287.56</c:v>
                </c:pt>
                <c:pt idx="14">
                  <c:v>281.27999999999997</c:v>
                </c:pt>
                <c:pt idx="15">
                  <c:v>278.2</c:v>
                </c:pt>
                <c:pt idx="16">
                  <c:v>280.75</c:v>
                </c:pt>
                <c:pt idx="17">
                  <c:v>281.63</c:v>
                </c:pt>
                <c:pt idx="18">
                  <c:v>276.27999999999997</c:v>
                </c:pt>
                <c:pt idx="19">
                  <c:v>275.01</c:v>
                </c:pt>
                <c:pt idx="20">
                  <c:v>280.75</c:v>
                </c:pt>
                <c:pt idx="21">
                  <c:v>289.07</c:v>
                </c:pt>
                <c:pt idx="22">
                  <c:v>284.63</c:v>
                </c:pt>
                <c:pt idx="23">
                  <c:v>282.66000000000003</c:v>
                </c:pt>
                <c:pt idx="24">
                  <c:v>272.89999999999998</c:v>
                </c:pt>
                <c:pt idx="25">
                  <c:v>273.22000000000003</c:v>
                </c:pt>
                <c:pt idx="26">
                  <c:v>277.83</c:v>
                </c:pt>
                <c:pt idx="27">
                  <c:v>270.41000000000003</c:v>
                </c:pt>
                <c:pt idx="28">
                  <c:v>280.26</c:v>
                </c:pt>
                <c:pt idx="29">
                  <c:v>283.25</c:v>
                </c:pt>
                <c:pt idx="30">
                  <c:v>275.61</c:v>
                </c:pt>
                <c:pt idx="31">
                  <c:v>273.89</c:v>
                </c:pt>
                <c:pt idx="32">
                  <c:v>283.18</c:v>
                </c:pt>
                <c:pt idx="33">
                  <c:v>280.32</c:v>
                </c:pt>
                <c:pt idx="34">
                  <c:v>284.95</c:v>
                </c:pt>
                <c:pt idx="35">
                  <c:v>281.35000000000002</c:v>
                </c:pt>
                <c:pt idx="36">
                  <c:v>275.29000000000002</c:v>
                </c:pt>
                <c:pt idx="37">
                  <c:v>275.69</c:v>
                </c:pt>
                <c:pt idx="38">
                  <c:v>256.8</c:v>
                </c:pt>
                <c:pt idx="39">
                  <c:v>261.36</c:v>
                </c:pt>
                <c:pt idx="40">
                  <c:v>257</c:v>
                </c:pt>
                <c:pt idx="41">
                  <c:v>270.8</c:v>
                </c:pt>
                <c:pt idx="42">
                  <c:v>263.08</c:v>
                </c:pt>
                <c:pt idx="43">
                  <c:v>251.7</c:v>
                </c:pt>
                <c:pt idx="44">
                  <c:v>262.39999999999998</c:v>
                </c:pt>
                <c:pt idx="45">
                  <c:v>254.22</c:v>
                </c:pt>
                <c:pt idx="46">
                  <c:v>227.24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290"/>
          <c:min val="22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Utillities%20sector%20index%20-%20pre%20struct%20break.xlsx" TargetMode="External"/><Relationship Id="rId1" Type="http://schemas.openxmlformats.org/officeDocument/2006/relationships/externalLinkPath" Target="Utillitie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/>
      <sheetData sheetId="1"/>
      <sheetData sheetId="2">
        <row r="2">
          <cell r="B2">
            <v>203.26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280.88</v>
      </c>
      <c r="C2" s="16">
        <v>-1.8124311453853758E-3</v>
      </c>
      <c r="D2" s="17">
        <v>-0.24457772169262171</v>
      </c>
      <c r="F2" s="16">
        <v>-4.2010823127314398E-3</v>
      </c>
      <c r="G2" s="16">
        <v>-1.8124311453853758E-3</v>
      </c>
      <c r="H2" s="16">
        <v>1.4603014350616615E-2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281.39</v>
      </c>
      <c r="C3" s="16">
        <v>1.4603014350616615E-2</v>
      </c>
      <c r="D3" s="17">
        <v>6.2640197575092316E-3</v>
      </c>
      <c r="F3" s="16">
        <v>-1.8124311453853758E-3</v>
      </c>
      <c r="G3" s="16">
        <v>1.4603014350616615E-2</v>
      </c>
      <c r="H3" s="16">
        <v>-2.5893692008919921E-3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277.33999999999997</v>
      </c>
      <c r="C4" s="16">
        <v>-2.5893692008919921E-3</v>
      </c>
      <c r="D4" s="17">
        <v>-0.23609326717754206</v>
      </c>
      <c r="F4" s="16">
        <v>1.4603014350616615E-2</v>
      </c>
      <c r="G4" s="16">
        <v>-2.5893692008919921E-3</v>
      </c>
      <c r="H4" s="16">
        <v>1.0392441860465167E-2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278.06</v>
      </c>
      <c r="C5" s="16">
        <v>1.0392441860465167E-2</v>
      </c>
      <c r="D5" s="17">
        <v>0.13119693499590671</v>
      </c>
      <c r="F5" s="16">
        <v>-2.5893692008919921E-3</v>
      </c>
      <c r="G5" s="16">
        <v>1.0392441860465167E-2</v>
      </c>
      <c r="H5" s="16">
        <v>1.1801904481782343E-2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275.2</v>
      </c>
      <c r="C6" s="16">
        <v>1.1801904481782343E-2</v>
      </c>
      <c r="D6" s="17">
        <v>-0.66873623467981813</v>
      </c>
      <c r="F6" s="16">
        <v>1.0392441860465167E-2</v>
      </c>
      <c r="G6" s="16">
        <v>1.1801904481782343E-2</v>
      </c>
      <c r="H6" s="16">
        <v>8.5657075051913459E-3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271.99</v>
      </c>
      <c r="C7" s="16">
        <v>8.5657075051913459E-3</v>
      </c>
      <c r="D7" s="17">
        <v>5.5399095018704735E-2</v>
      </c>
      <c r="F7" s="16">
        <v>1.1801904481782343E-2</v>
      </c>
      <c r="G7" s="16">
        <v>8.5657075051913459E-3</v>
      </c>
      <c r="H7" s="16">
        <v>-9.8762712486690808E-3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269.68</v>
      </c>
      <c r="C8" s="16">
        <v>-9.8762712486690808E-3</v>
      </c>
      <c r="D8" s="17">
        <v>9.735283938546975E-2</v>
      </c>
      <c r="F8" s="16">
        <v>8.5657075051913459E-3</v>
      </c>
      <c r="G8" s="16">
        <v>-9.8762712486690808E-3</v>
      </c>
      <c r="H8" s="16">
        <v>-1.0571054925893521E-2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272.37</v>
      </c>
      <c r="C9" s="16">
        <v>-1.0571054925893521E-2</v>
      </c>
      <c r="D9" s="17">
        <v>0.49790565359095734</v>
      </c>
      <c r="F9" s="16">
        <v>-9.8762712486690808E-3</v>
      </c>
      <c r="G9" s="16">
        <v>-1.0571054925893521E-2</v>
      </c>
      <c r="H9" s="16">
        <v>2.2357572606402667E-2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275.27999999999997</v>
      </c>
      <c r="C10" s="16">
        <v>2.2357572606402667E-2</v>
      </c>
      <c r="D10" s="17">
        <v>0.48645331314764917</v>
      </c>
      <c r="F10" s="16">
        <v>-1.0571054925893521E-2</v>
      </c>
      <c r="G10" s="16">
        <v>2.2357572606402667E-2</v>
      </c>
      <c r="H10" s="16">
        <v>-1.3229743101110469E-2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269.26</v>
      </c>
      <c r="C11" s="16">
        <v>-1.3229743101110469E-2</v>
      </c>
      <c r="D11" s="17">
        <v>-0.19248065624672633</v>
      </c>
      <c r="F11" s="16">
        <v>2.2357572606402667E-2</v>
      </c>
      <c r="G11" s="16">
        <v>-1.3229743101110469E-2</v>
      </c>
      <c r="H11" s="16">
        <v>2.6087595532039223E-3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272.87</v>
      </c>
      <c r="C12" s="16">
        <v>2.6087595532039223E-3</v>
      </c>
      <c r="D12" s="17">
        <v>0.27620824612677097</v>
      </c>
      <c r="F12" s="16">
        <v>-1.3229743101110469E-2</v>
      </c>
      <c r="G12" s="16">
        <v>2.6087595532039223E-3</v>
      </c>
      <c r="H12" s="16">
        <v>-3.1906946964037883E-2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272.16000000000003</v>
      </c>
      <c r="C13" s="16">
        <v>-3.1906946964037883E-2</v>
      </c>
      <c r="D13" s="17">
        <v>0.1164589305408299</v>
      </c>
      <c r="F13" s="16">
        <v>2.6087595532039223E-3</v>
      </c>
      <c r="G13" s="16">
        <v>-3.1906946964037883E-2</v>
      </c>
      <c r="H13" s="16">
        <v>-2.2360550841563524E-2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281.13</v>
      </c>
      <c r="C14" s="16">
        <v>-2.2360550841563524E-2</v>
      </c>
      <c r="D14" s="17">
        <v>-0.15498585706915369</v>
      </c>
      <c r="F14" s="16">
        <v>-3.1906946964037883E-2</v>
      </c>
      <c r="G14" s="16">
        <v>-2.2360550841563524E-2</v>
      </c>
      <c r="H14" s="16">
        <v>2.2326507394766888E-2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287.56</v>
      </c>
      <c r="C15" s="16">
        <v>2.2326507394766888E-2</v>
      </c>
      <c r="D15" s="17">
        <v>9.5311682671308517E-2</v>
      </c>
      <c r="F15" s="16">
        <v>-2.2360550841563524E-2</v>
      </c>
      <c r="G15" s="16">
        <v>2.2326507394766888E-2</v>
      </c>
      <c r="H15" s="16">
        <v>1.1071171818835313E-2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281.27999999999997</v>
      </c>
      <c r="C16" s="16">
        <v>1.1071171818835313E-2</v>
      </c>
      <c r="D16" s="17">
        <v>0.29172629743282286</v>
      </c>
      <c r="F16" s="16">
        <v>2.2326507394766888E-2</v>
      </c>
      <c r="G16" s="16">
        <v>1.1071171818835313E-2</v>
      </c>
      <c r="H16" s="16">
        <v>-9.0828138913624634E-3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278.2</v>
      </c>
      <c r="C17" s="16">
        <v>-9.0828138913624634E-3</v>
      </c>
      <c r="D17" s="17">
        <v>-0.23442382345508253</v>
      </c>
      <c r="F17" s="16">
        <v>1.1071171818835313E-2</v>
      </c>
      <c r="G17" s="16">
        <v>-9.0828138913624634E-3</v>
      </c>
      <c r="H17" s="16">
        <v>-3.1246671164293417E-3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280.75</v>
      </c>
      <c r="C18" s="16">
        <v>-3.1246671164293417E-3</v>
      </c>
      <c r="D18" s="17">
        <v>-2.1146204477796953E-2</v>
      </c>
      <c r="F18" s="16">
        <v>-9.0828138913624634E-3</v>
      </c>
      <c r="G18" s="16">
        <v>-3.1246671164293417E-3</v>
      </c>
      <c r="H18" s="16">
        <v>1.9364412914434716E-2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281.63</v>
      </c>
      <c r="C19" s="16">
        <v>1.9364412914434716E-2</v>
      </c>
      <c r="D19" s="17">
        <v>0.23377028697480759</v>
      </c>
      <c r="F19" s="16">
        <v>-3.1246671164293417E-3</v>
      </c>
      <c r="G19" s="16">
        <v>1.9364412914434716E-2</v>
      </c>
      <c r="H19" s="16">
        <v>4.6180138904039197E-3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276.27999999999997</v>
      </c>
      <c r="C20" s="16">
        <v>4.6180138904039197E-3</v>
      </c>
      <c r="D20" s="17">
        <v>-0.15081174378948553</v>
      </c>
      <c r="F20" s="16">
        <v>1.9364412914434716E-2</v>
      </c>
      <c r="G20" s="16">
        <v>4.6180138904039197E-3</v>
      </c>
      <c r="H20" s="16">
        <v>-2.0445235975066818E-2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275.01</v>
      </c>
      <c r="C21" s="16">
        <v>-2.0445235975066818E-2</v>
      </c>
      <c r="D21" s="17">
        <v>-0.15819044224917889</v>
      </c>
      <c r="F21" s="16">
        <v>4.6180138904039197E-3</v>
      </c>
      <c r="G21" s="16">
        <v>-2.0445235975066818E-2</v>
      </c>
      <c r="H21" s="16">
        <v>-2.8781955927629964E-2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280.75</v>
      </c>
      <c r="C22" s="16">
        <v>-2.8781955927629964E-2</v>
      </c>
      <c r="D22" s="17">
        <v>-0.11695043928921223</v>
      </c>
      <c r="F22" s="16">
        <v>-2.0445235975066818E-2</v>
      </c>
      <c r="G22" s="16">
        <v>-2.8781955927629964E-2</v>
      </c>
      <c r="H22" s="16">
        <v>1.5599198960053394E-2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289.07</v>
      </c>
      <c r="C23" s="16">
        <v>1.5599198960053394E-2</v>
      </c>
      <c r="D23" s="17">
        <v>6.6089130705222487E-3</v>
      </c>
      <c r="F23" s="16">
        <v>-2.8781955927629964E-2</v>
      </c>
      <c r="G23" s="16">
        <v>1.5599198960053394E-2</v>
      </c>
      <c r="H23" s="16">
        <v>6.9695039977356902E-3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284.63</v>
      </c>
      <c r="C24" s="16">
        <v>6.9695039977356902E-3</v>
      </c>
      <c r="D24" s="17">
        <v>-0.16266929442062975</v>
      </c>
      <c r="F24" s="16">
        <v>1.5599198960053394E-2</v>
      </c>
      <c r="G24" s="16">
        <v>6.9695039977356902E-3</v>
      </c>
      <c r="H24" s="16">
        <v>3.5764016123122203E-2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282.66000000000003</v>
      </c>
      <c r="C25" s="16">
        <v>3.5764016123122203E-2</v>
      </c>
      <c r="D25" s="17">
        <v>-0.43920171571274597</v>
      </c>
      <c r="F25" s="16">
        <v>6.9695039977356902E-3</v>
      </c>
      <c r="G25" s="16">
        <v>3.5764016123122203E-2</v>
      </c>
      <c r="H25" s="16">
        <v>-1.1712173340167264E-3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272.89999999999998</v>
      </c>
      <c r="C26" s="16">
        <v>-1.1712173340167264E-3</v>
      </c>
      <c r="D26" s="17">
        <v>-2.0552382688038051E-2</v>
      </c>
      <c r="F26" s="16">
        <v>3.5764016123122203E-2</v>
      </c>
      <c r="G26" s="16">
        <v>-1.1712173340167264E-3</v>
      </c>
      <c r="H26" s="16">
        <v>-1.6592880538458615E-2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273.22000000000003</v>
      </c>
      <c r="C27" s="16">
        <v>-1.6592880538458615E-2</v>
      </c>
      <c r="D27" s="17">
        <v>-0.44359970150981098</v>
      </c>
      <c r="F27" s="16">
        <v>-1.1712173340167264E-3</v>
      </c>
      <c r="G27" s="16">
        <v>-1.6592880538458615E-2</v>
      </c>
      <c r="H27" s="16">
        <v>2.7439813616360189E-2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277.83</v>
      </c>
      <c r="C28" s="16">
        <v>2.7439813616360189E-2</v>
      </c>
      <c r="D28" s="17">
        <v>7.0537303773952384E-2</v>
      </c>
      <c r="F28" s="16">
        <v>-1.6592880538458615E-2</v>
      </c>
      <c r="G28" s="16">
        <v>2.7439813616360189E-2</v>
      </c>
      <c r="H28" s="16">
        <v>-3.5145935916648705E-2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270.41000000000003</v>
      </c>
      <c r="C29" s="16">
        <v>-3.5145935916648705E-2</v>
      </c>
      <c r="D29" s="17">
        <v>6.1557356500998139E-2</v>
      </c>
      <c r="F29" s="16">
        <v>2.7439813616360189E-2</v>
      </c>
      <c r="G29" s="16">
        <v>-3.5145935916648705E-2</v>
      </c>
      <c r="H29" s="16">
        <v>-1.0556045895851754E-2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280.26</v>
      </c>
      <c r="C30" s="16">
        <v>-1.0556045895851754E-2</v>
      </c>
      <c r="D30" s="17">
        <v>0.33201583579648286</v>
      </c>
      <c r="F30" s="16">
        <v>-3.5145935916648705E-2</v>
      </c>
      <c r="G30" s="16">
        <v>-1.0556045895851754E-2</v>
      </c>
      <c r="H30" s="16">
        <v>2.7720329451035832E-2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283.25</v>
      </c>
      <c r="C31" s="16">
        <v>2.7720329451035832E-2</v>
      </c>
      <c r="D31" s="17">
        <v>-1.0891216807067394E-2</v>
      </c>
      <c r="F31" s="16">
        <v>-1.0556045895851754E-2</v>
      </c>
      <c r="G31" s="16">
        <v>2.7720329451035832E-2</v>
      </c>
      <c r="H31" s="16">
        <v>6.2798933878565385E-3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275.61</v>
      </c>
      <c r="C32" s="16">
        <v>6.2798933878565385E-3</v>
      </c>
      <c r="D32" s="17">
        <v>-1.8410735170949589E-2</v>
      </c>
      <c r="F32" s="16">
        <v>2.7720329451035832E-2</v>
      </c>
      <c r="G32" s="16">
        <v>6.2798933878565385E-3</v>
      </c>
      <c r="H32" s="16">
        <v>-3.2805989123525746E-2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273.89</v>
      </c>
      <c r="C33" s="16">
        <v>-3.2805989123525746E-2</v>
      </c>
      <c r="D33" s="17">
        <v>-0.32017184949169558</v>
      </c>
      <c r="F33" s="16">
        <v>6.2798933878565385E-3</v>
      </c>
      <c r="G33" s="16">
        <v>-3.2805989123525746E-2</v>
      </c>
      <c r="H33" s="16">
        <v>1.0202625570776305E-2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283.18</v>
      </c>
      <c r="C34" s="16">
        <v>1.0202625570776305E-2</v>
      </c>
      <c r="D34" s="17">
        <v>0.10925812500395946</v>
      </c>
      <c r="F34" s="16">
        <v>-3.2805989123525746E-2</v>
      </c>
      <c r="G34" s="16">
        <v>1.0202625570776305E-2</v>
      </c>
      <c r="H34" s="16">
        <v>-1.6248464642919794E-2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280.32</v>
      </c>
      <c r="C35" s="16">
        <v>-1.6248464642919794E-2</v>
      </c>
      <c r="D35" s="17">
        <v>-0.32851240194092196</v>
      </c>
      <c r="F35" s="16">
        <v>1.0202625570776305E-2</v>
      </c>
      <c r="G35" s="16">
        <v>-1.6248464642919794E-2</v>
      </c>
      <c r="H35" s="16">
        <v>1.279545050648646E-2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284.95</v>
      </c>
      <c r="C36" s="16">
        <v>1.279545050648646E-2</v>
      </c>
      <c r="D36" s="17">
        <v>8.9164984819944948E-2</v>
      </c>
      <c r="F36" s="16">
        <v>-1.6248464642919794E-2</v>
      </c>
      <c r="G36" s="16">
        <v>1.279545050648646E-2</v>
      </c>
      <c r="H36" s="16">
        <v>2.2013149769334165E-2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281.35000000000002</v>
      </c>
      <c r="C37" s="16">
        <v>2.2013149769334165E-2</v>
      </c>
      <c r="D37" s="17">
        <v>-7.3048542439937594E-2</v>
      </c>
      <c r="F37" s="16">
        <v>1.279545050648646E-2</v>
      </c>
      <c r="G37" s="16">
        <v>2.2013149769334165E-2</v>
      </c>
      <c r="H37" s="16">
        <v>-1.450905001994912E-3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275.29000000000002</v>
      </c>
      <c r="C38" s="16">
        <v>-1.450905001994912E-3</v>
      </c>
      <c r="D38" s="17">
        <v>-0.50390593466969824</v>
      </c>
      <c r="F38" s="16">
        <v>2.2013149769334165E-2</v>
      </c>
      <c r="G38" s="16">
        <v>-1.450905001994912E-3</v>
      </c>
      <c r="H38" s="16">
        <v>7.3559190031152591E-2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275.69</v>
      </c>
      <c r="C39" s="16">
        <v>7.3559190031152591E-2</v>
      </c>
      <c r="D39" s="17">
        <v>-2.5256967595355076E-2</v>
      </c>
      <c r="F39" s="16">
        <v>-1.450905001994912E-3</v>
      </c>
      <c r="G39" s="16">
        <v>7.3559190031152591E-2</v>
      </c>
      <c r="H39" s="16">
        <v>-1.7447199265381092E-2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256.8</v>
      </c>
      <c r="C40" s="16">
        <v>-1.7447199265381092E-2</v>
      </c>
      <c r="D40" s="17">
        <v>-0.62750590592622757</v>
      </c>
      <c r="F40" s="16">
        <v>7.3559190031152591E-2</v>
      </c>
      <c r="G40" s="16">
        <v>-1.7447199265381092E-2</v>
      </c>
      <c r="H40" s="16">
        <v>1.6964980544747134E-2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261.36</v>
      </c>
      <c r="C41" s="16">
        <v>1.6964980544747134E-2</v>
      </c>
      <c r="D41" s="17">
        <v>-0.28957627939858605</v>
      </c>
      <c r="F41" s="16">
        <v>-1.7447199265381092E-2</v>
      </c>
      <c r="G41" s="16">
        <v>1.6964980544747134E-2</v>
      </c>
      <c r="H41" s="16">
        <v>-5.0960118168389995E-2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257</v>
      </c>
      <c r="C42" s="16">
        <v>-5.0960118168389995E-2</v>
      </c>
      <c r="D42" s="17">
        <v>7.8005850501358512E-2</v>
      </c>
      <c r="F42" s="16">
        <v>1.6964980544747134E-2</v>
      </c>
      <c r="G42" s="16">
        <v>-5.0960118168389995E-2</v>
      </c>
      <c r="H42" s="16">
        <v>2.9344686027064117E-2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270.8</v>
      </c>
      <c r="C43" s="16">
        <v>2.9344686027064117E-2</v>
      </c>
      <c r="D43" s="17">
        <v>-5.0065291579812765E-2</v>
      </c>
      <c r="F43" s="16">
        <v>-5.0960118168389995E-2</v>
      </c>
      <c r="G43" s="16">
        <v>2.9344686027064117E-2</v>
      </c>
      <c r="H43" s="16">
        <v>4.5212554628526004E-2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263.08</v>
      </c>
      <c r="C44" s="16">
        <v>4.5212554628526004E-2</v>
      </c>
      <c r="D44" s="17">
        <v>6.451272894628346E-2</v>
      </c>
      <c r="F44" s="16">
        <v>2.9344686027064117E-2</v>
      </c>
      <c r="G44" s="16">
        <v>4.5212554628526004E-2</v>
      </c>
      <c r="H44" s="16">
        <v>-4.0777439024390204E-2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251.7</v>
      </c>
      <c r="C45" s="16">
        <v>-4.0777439024390204E-2</v>
      </c>
      <c r="D45" s="17">
        <v>-0.43549962999531999</v>
      </c>
      <c r="F45" s="16">
        <v>4.5212554628526004E-2</v>
      </c>
      <c r="G45" s="16">
        <v>-4.0777439024390204E-2</v>
      </c>
      <c r="H45" s="16">
        <v>3.2176854692785695E-2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262.39999999999998</v>
      </c>
      <c r="C46" s="16">
        <v>3.2176854692785695E-2</v>
      </c>
      <c r="D46" s="17">
        <v>-0.35762683051871136</v>
      </c>
      <c r="F46" s="16">
        <v>-4.0777439024390204E-2</v>
      </c>
      <c r="G46" s="16">
        <v>3.2176854692785695E-2</v>
      </c>
      <c r="H46" s="16">
        <v>0.1187290969899665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254.22</v>
      </c>
      <c r="C47" s="16">
        <v>0.1187290969899665</v>
      </c>
      <c r="D47" s="17">
        <v>6.999037426430732E-2</v>
      </c>
      <c r="F47" s="16">
        <v>3.2176854692785695E-2</v>
      </c>
      <c r="G47" s="16">
        <v>0.1187290969899665</v>
      </c>
      <c r="H47" s="16">
        <v>0.11797697530256823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227.24</v>
      </c>
      <c r="C48" s="16">
        <v>0.11797697530256823</v>
      </c>
      <c r="D48" s="17">
        <v>-0.11966689694672823</v>
      </c>
      <c r="F48" s="16">
        <v>0.1187290969899665</v>
      </c>
      <c r="G48" s="16">
        <v>0.11797697530256823</v>
      </c>
      <c r="H48" s="16">
        <v>-0.1311447379670001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4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280.88</v>
      </c>
    </row>
    <row r="3" spans="1:2" x14ac:dyDescent="0.25">
      <c r="A3" s="4">
        <f>'ALL VARS'!A3</f>
        <v>43979</v>
      </c>
      <c r="B3" s="5">
        <f>'ALL VARS'!B3</f>
        <v>281.39</v>
      </c>
    </row>
    <row r="4" spans="1:2" x14ac:dyDescent="0.25">
      <c r="A4" s="4">
        <f>'ALL VARS'!A4</f>
        <v>43978</v>
      </c>
      <c r="B4" s="5">
        <f>'ALL VARS'!B4</f>
        <v>277.33999999999997</v>
      </c>
    </row>
    <row r="5" spans="1:2" x14ac:dyDescent="0.25">
      <c r="A5" s="4">
        <f>'ALL VARS'!A5</f>
        <v>43977</v>
      </c>
      <c r="B5" s="5">
        <f>'ALL VARS'!B5</f>
        <v>278.06</v>
      </c>
    </row>
    <row r="6" spans="1:2" x14ac:dyDescent="0.25">
      <c r="A6" s="4">
        <f>'ALL VARS'!A6</f>
        <v>43976</v>
      </c>
      <c r="B6" s="5">
        <f>'ALL VARS'!B6</f>
        <v>275.2</v>
      </c>
    </row>
    <row r="7" spans="1:2" x14ac:dyDescent="0.25">
      <c r="A7" s="4">
        <f>'ALL VARS'!A7</f>
        <v>43973</v>
      </c>
      <c r="B7" s="5">
        <f>'ALL VARS'!B7</f>
        <v>271.99</v>
      </c>
    </row>
    <row r="8" spans="1:2" x14ac:dyDescent="0.25">
      <c r="A8" s="4">
        <f>'ALL VARS'!A8</f>
        <v>43972</v>
      </c>
      <c r="B8" s="5">
        <f>'ALL VARS'!B8</f>
        <v>269.68</v>
      </c>
    </row>
    <row r="9" spans="1:2" x14ac:dyDescent="0.25">
      <c r="A9" s="4">
        <f>'ALL VARS'!A9</f>
        <v>43971</v>
      </c>
      <c r="B9" s="5">
        <f>'ALL VARS'!B9</f>
        <v>272.37</v>
      </c>
    </row>
    <row r="10" spans="1:2" x14ac:dyDescent="0.25">
      <c r="A10" s="4">
        <f>'ALL VARS'!A10</f>
        <v>43970</v>
      </c>
      <c r="B10" s="5">
        <f>'ALL VARS'!B10</f>
        <v>275.27999999999997</v>
      </c>
    </row>
    <row r="11" spans="1:2" x14ac:dyDescent="0.25">
      <c r="A11" s="4">
        <f>'ALL VARS'!A11</f>
        <v>43966</v>
      </c>
      <c r="B11" s="5">
        <f>'ALL VARS'!B11</f>
        <v>269.26</v>
      </c>
    </row>
    <row r="12" spans="1:2" x14ac:dyDescent="0.25">
      <c r="A12" s="4">
        <f>'ALL VARS'!A12</f>
        <v>43965</v>
      </c>
      <c r="B12" s="5">
        <f>'ALL VARS'!B12</f>
        <v>272.87</v>
      </c>
    </row>
    <row r="13" spans="1:2" x14ac:dyDescent="0.25">
      <c r="A13" s="4">
        <f>'ALL VARS'!A13</f>
        <v>43964</v>
      </c>
      <c r="B13" s="5">
        <f>'ALL VARS'!B13</f>
        <v>272.16000000000003</v>
      </c>
    </row>
    <row r="14" spans="1:2" x14ac:dyDescent="0.25">
      <c r="A14" s="4">
        <f>'ALL VARS'!A14</f>
        <v>43963</v>
      </c>
      <c r="B14" s="5">
        <f>'ALL VARS'!B14</f>
        <v>281.13</v>
      </c>
    </row>
    <row r="15" spans="1:2" x14ac:dyDescent="0.25">
      <c r="A15" s="4">
        <f>'ALL VARS'!A15</f>
        <v>43962</v>
      </c>
      <c r="B15" s="5">
        <f>'ALL VARS'!B15</f>
        <v>287.56</v>
      </c>
    </row>
    <row r="16" spans="1:2" x14ac:dyDescent="0.25">
      <c r="A16" s="4">
        <f>'ALL VARS'!A16</f>
        <v>43959</v>
      </c>
      <c r="B16" s="5">
        <f>'ALL VARS'!B16</f>
        <v>281.27999999999997</v>
      </c>
    </row>
    <row r="17" spans="1:7" x14ac:dyDescent="0.25">
      <c r="A17" s="4">
        <f>'ALL VARS'!A17</f>
        <v>43958</v>
      </c>
      <c r="B17" s="5">
        <f>'ALL VARS'!B17</f>
        <v>278.2</v>
      </c>
    </row>
    <row r="18" spans="1:7" x14ac:dyDescent="0.25">
      <c r="A18" s="4">
        <f>'ALL VARS'!A18</f>
        <v>43957</v>
      </c>
      <c r="B18" s="5">
        <f>'ALL VARS'!B18</f>
        <v>280.75</v>
      </c>
    </row>
    <row r="19" spans="1:7" x14ac:dyDescent="0.25">
      <c r="A19" s="4">
        <f>'ALL VARS'!A19</f>
        <v>43956</v>
      </c>
      <c r="B19" s="5">
        <f>'ALL VARS'!B19</f>
        <v>281.63</v>
      </c>
    </row>
    <row r="20" spans="1:7" x14ac:dyDescent="0.25">
      <c r="A20" s="4">
        <f>'ALL VARS'!A20</f>
        <v>43955</v>
      </c>
      <c r="B20" s="5">
        <f>'ALL VARS'!B20</f>
        <v>276.27999999999997</v>
      </c>
      <c r="D20" s="4" t="s">
        <v>104</v>
      </c>
      <c r="E20" s="5">
        <f>MAX(B2:B48)</f>
        <v>289.07</v>
      </c>
      <c r="G20" s="6"/>
    </row>
    <row r="21" spans="1:7" x14ac:dyDescent="0.25">
      <c r="A21" s="4">
        <f>'ALL VARS'!A21</f>
        <v>43952</v>
      </c>
      <c r="B21" s="5">
        <f>'ALL VARS'!B21</f>
        <v>275.01</v>
      </c>
      <c r="D21" s="4" t="s">
        <v>31</v>
      </c>
      <c r="E21" s="5">
        <f>QUARTILE(B2:B48, 3)</f>
        <v>281.005</v>
      </c>
    </row>
    <row r="22" spans="1:7" x14ac:dyDescent="0.25">
      <c r="A22" s="4">
        <f>'ALL VARS'!A22</f>
        <v>43951</v>
      </c>
      <c r="B22" s="5">
        <f>'ALL VARS'!B22</f>
        <v>280.75</v>
      </c>
      <c r="D22" s="4" t="s">
        <v>32</v>
      </c>
      <c r="E22" s="5">
        <f>MEDIAN(B2:B48)</f>
        <v>275.61</v>
      </c>
    </row>
    <row r="23" spans="1:7" x14ac:dyDescent="0.25">
      <c r="A23" s="4">
        <f>'ALL VARS'!A23</f>
        <v>43950</v>
      </c>
      <c r="B23" s="5">
        <f>'ALL VARS'!B23</f>
        <v>289.07</v>
      </c>
      <c r="D23" s="4" t="s">
        <v>33</v>
      </c>
      <c r="E23" s="5">
        <f>QUARTILE(B2:B48, 1)</f>
        <v>271.39499999999998</v>
      </c>
    </row>
    <row r="24" spans="1:7" x14ac:dyDescent="0.25">
      <c r="A24" s="4">
        <f>'ALL VARS'!A24</f>
        <v>43949</v>
      </c>
      <c r="B24" s="5">
        <f>'ALL VARS'!B24</f>
        <v>284.63</v>
      </c>
      <c r="D24" s="4" t="s">
        <v>105</v>
      </c>
      <c r="E24" s="5">
        <f>MIN(B2:B48)</f>
        <v>227.24</v>
      </c>
    </row>
    <row r="25" spans="1:7" x14ac:dyDescent="0.25">
      <c r="A25" s="4">
        <f>'ALL VARS'!A25</f>
        <v>43948</v>
      </c>
      <c r="B25" s="5">
        <f>'ALL VARS'!B25</f>
        <v>282.66000000000003</v>
      </c>
    </row>
    <row r="26" spans="1:7" x14ac:dyDescent="0.25">
      <c r="A26" s="4">
        <f>'ALL VARS'!A26</f>
        <v>43945</v>
      </c>
      <c r="B26" s="5">
        <f>'ALL VARS'!B26</f>
        <v>272.89999999999998</v>
      </c>
    </row>
    <row r="27" spans="1:7" x14ac:dyDescent="0.25">
      <c r="A27" s="4">
        <f>'ALL VARS'!A27</f>
        <v>43944</v>
      </c>
      <c r="B27" s="5">
        <f>'ALL VARS'!B27</f>
        <v>273.22000000000003</v>
      </c>
    </row>
    <row r="28" spans="1:7" x14ac:dyDescent="0.25">
      <c r="A28" s="4">
        <f>'ALL VARS'!A28</f>
        <v>43943</v>
      </c>
      <c r="B28" s="5">
        <f>'ALL VARS'!B28</f>
        <v>277.83</v>
      </c>
    </row>
    <row r="29" spans="1:7" x14ac:dyDescent="0.25">
      <c r="A29" s="4">
        <f>'ALL VARS'!A29</f>
        <v>43942</v>
      </c>
      <c r="B29" s="5">
        <f>'ALL VARS'!B29</f>
        <v>270.41000000000003</v>
      </c>
    </row>
    <row r="30" spans="1:7" x14ac:dyDescent="0.25">
      <c r="A30" s="4">
        <f>'ALL VARS'!A30</f>
        <v>43941</v>
      </c>
      <c r="B30" s="5">
        <f>'ALL VARS'!B30</f>
        <v>280.26</v>
      </c>
    </row>
    <row r="31" spans="1:7" x14ac:dyDescent="0.25">
      <c r="A31" s="4">
        <f>'ALL VARS'!A31</f>
        <v>43938</v>
      </c>
      <c r="B31" s="5">
        <f>'ALL VARS'!B31</f>
        <v>283.25</v>
      </c>
    </row>
    <row r="32" spans="1:7" x14ac:dyDescent="0.25">
      <c r="A32" s="4">
        <f>'ALL VARS'!A32</f>
        <v>43937</v>
      </c>
      <c r="B32" s="5">
        <f>'ALL VARS'!B32</f>
        <v>275.61</v>
      </c>
    </row>
    <row r="33" spans="1:2" x14ac:dyDescent="0.25">
      <c r="A33" s="4">
        <f>'ALL VARS'!A33</f>
        <v>43936</v>
      </c>
      <c r="B33" s="5">
        <f>'ALL VARS'!B33</f>
        <v>273.89</v>
      </c>
    </row>
    <row r="34" spans="1:2" x14ac:dyDescent="0.25">
      <c r="A34" s="4">
        <f>'ALL VARS'!A34</f>
        <v>43935</v>
      </c>
      <c r="B34" s="5">
        <f>'ALL VARS'!B34</f>
        <v>283.18</v>
      </c>
    </row>
    <row r="35" spans="1:2" x14ac:dyDescent="0.25">
      <c r="A35" s="4">
        <f>'ALL VARS'!A35</f>
        <v>43934</v>
      </c>
      <c r="B35" s="5">
        <f>'ALL VARS'!B35</f>
        <v>280.32</v>
      </c>
    </row>
    <row r="36" spans="1:2" x14ac:dyDescent="0.25">
      <c r="A36" s="4">
        <f>'ALL VARS'!A36</f>
        <v>43930</v>
      </c>
      <c r="B36" s="5">
        <f>'ALL VARS'!B36</f>
        <v>284.95</v>
      </c>
    </row>
    <row r="37" spans="1:2" x14ac:dyDescent="0.25">
      <c r="A37" s="4">
        <f>'ALL VARS'!A37</f>
        <v>43929</v>
      </c>
      <c r="B37" s="5">
        <f>'ALL VARS'!B37</f>
        <v>281.35000000000002</v>
      </c>
    </row>
    <row r="38" spans="1:2" x14ac:dyDescent="0.25">
      <c r="A38" s="4">
        <f>'ALL VARS'!A38</f>
        <v>43928</v>
      </c>
      <c r="B38" s="5">
        <f>'ALL VARS'!B38</f>
        <v>275.29000000000002</v>
      </c>
    </row>
    <row r="39" spans="1:2" x14ac:dyDescent="0.25">
      <c r="A39" s="4">
        <f>'ALL VARS'!A39</f>
        <v>43927</v>
      </c>
      <c r="B39" s="5">
        <f>'ALL VARS'!B39</f>
        <v>275.69</v>
      </c>
    </row>
    <row r="40" spans="1:2" x14ac:dyDescent="0.25">
      <c r="A40" s="4">
        <f>'ALL VARS'!A40</f>
        <v>43924</v>
      </c>
      <c r="B40" s="5">
        <f>'ALL VARS'!B40</f>
        <v>256.8</v>
      </c>
    </row>
    <row r="41" spans="1:2" x14ac:dyDescent="0.25">
      <c r="A41" s="4">
        <f>'ALL VARS'!A41</f>
        <v>43923</v>
      </c>
      <c r="B41" s="5">
        <f>'ALL VARS'!B41</f>
        <v>261.36</v>
      </c>
    </row>
    <row r="42" spans="1:2" x14ac:dyDescent="0.25">
      <c r="A42" s="4">
        <f>'ALL VARS'!A42</f>
        <v>43922</v>
      </c>
      <c r="B42" s="5">
        <f>'ALL VARS'!B42</f>
        <v>257</v>
      </c>
    </row>
    <row r="43" spans="1:2" x14ac:dyDescent="0.25">
      <c r="A43" s="4">
        <f>'ALL VARS'!A43</f>
        <v>43921</v>
      </c>
      <c r="B43" s="5">
        <f>'ALL VARS'!B43</f>
        <v>270.8</v>
      </c>
    </row>
    <row r="44" spans="1:2" x14ac:dyDescent="0.25">
      <c r="A44" s="4">
        <f>'ALL VARS'!A44</f>
        <v>43920</v>
      </c>
      <c r="B44" s="5">
        <f>'ALL VARS'!B44</f>
        <v>263.08</v>
      </c>
    </row>
    <row r="45" spans="1:2" x14ac:dyDescent="0.25">
      <c r="A45" s="4">
        <f>'ALL VARS'!A45</f>
        <v>43917</v>
      </c>
      <c r="B45" s="5">
        <f>'ALL VARS'!B45</f>
        <v>251.7</v>
      </c>
    </row>
    <row r="46" spans="1:2" x14ac:dyDescent="0.25">
      <c r="A46" s="4">
        <f>'ALL VARS'!A46</f>
        <v>43916</v>
      </c>
      <c r="B46" s="5">
        <f>'ALL VARS'!B46</f>
        <v>262.39999999999998</v>
      </c>
    </row>
    <row r="47" spans="1:2" x14ac:dyDescent="0.25">
      <c r="A47" s="4">
        <f>'ALL VARS'!A47</f>
        <v>43915</v>
      </c>
      <c r="B47" s="5">
        <f>'ALL VARS'!B47</f>
        <v>254.22</v>
      </c>
    </row>
    <row r="48" spans="1:2" x14ac:dyDescent="0.25">
      <c r="A48" s="4">
        <f>'ALL VARS'!A48</f>
        <v>43914</v>
      </c>
      <c r="B48" s="5">
        <f>'ALL VARS'!B48</f>
        <v>227.24</v>
      </c>
    </row>
    <row r="50" spans="2:2" s="1" customFormat="1" x14ac:dyDescent="0.25">
      <c r="B50" s="6">
        <f>(B2-'[1]Close price'!$B$2)/'[1]Close price'!$B$2</f>
        <v>0.38187543048312511</v>
      </c>
    </row>
    <row r="51" spans="2:2" s="1" customFormat="1" x14ac:dyDescent="0.25"/>
    <row r="52" spans="2:2" s="1" customFormat="1" x14ac:dyDescent="0.25"/>
    <row r="53" spans="2:2" s="1" customFormat="1" x14ac:dyDescent="0.25"/>
    <row r="54" spans="2:2" s="1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0.50764778034379499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0.25770626888798193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0.16320210402017066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2.6746399278727649E-2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1.0431076440353803E-2</v>
      </c>
      <c r="L13" s="18">
        <v>2.0862152880707606E-3</v>
      </c>
      <c r="M13" s="18">
        <v>2.9162750107239854</v>
      </c>
      <c r="N13" s="18">
        <v>2.4199006398077004E-2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3.0045534723839164E-2</v>
      </c>
      <c r="L14" s="18">
        <v>7.1536987437712299E-4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0.16025952124417775</v>
      </c>
      <c r="K19" s="18">
        <v>0.12739989611073499</v>
      </c>
      <c r="L19" s="18">
        <v>1.2579250543884386</v>
      </c>
      <c r="M19" s="18">
        <v>0.21536778939707166</v>
      </c>
      <c r="N19" s="18">
        <v>-9.6843878037867426E-2</v>
      </c>
      <c r="O19" s="18">
        <v>0.41736292052622292</v>
      </c>
      <c r="P19" s="18">
        <v>-9.6843878037867426E-2</v>
      </c>
      <c r="Q19" s="18">
        <v>0.41736292052622292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-0.2346367806963755</v>
      </c>
      <c r="K20" s="18">
        <v>0.10734919409931799</v>
      </c>
      <c r="L20" s="18">
        <v>-2.1857339746704834</v>
      </c>
      <c r="M20" s="18">
        <v>3.4461589504039117E-2</v>
      </c>
      <c r="N20" s="18">
        <v>-0.45127622512051502</v>
      </c>
      <c r="O20" s="18">
        <v>-1.7997336272235959E-2</v>
      </c>
      <c r="P20" s="18">
        <v>-0.45127622512051502</v>
      </c>
      <c r="Q20" s="18">
        <v>-1.7997336272235959E-2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2.6140578373792692E-2</v>
      </c>
      <c r="K21" s="18">
        <v>1.6070513116772663E-2</v>
      </c>
      <c r="L21" s="18">
        <v>1.6266175313661879</v>
      </c>
      <c r="M21" s="18">
        <v>0.11129901642082723</v>
      </c>
      <c r="N21" s="18">
        <v>-6.2910301020700533E-3</v>
      </c>
      <c r="O21" s="18">
        <v>5.8572186849655442E-2</v>
      </c>
      <c r="P21" s="18">
        <v>-6.2910301020700533E-3</v>
      </c>
      <c r="Q21" s="18">
        <v>5.8572186849655442E-2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1.0177287840148948E-3</v>
      </c>
      <c r="K22" s="18">
        <v>1.1933633903726463E-3</v>
      </c>
      <c r="L22" s="18">
        <v>0.85282386926340437</v>
      </c>
      <c r="M22" s="18">
        <v>0.39859439452932233</v>
      </c>
      <c r="N22" s="18">
        <v>-1.3905760389095296E-3</v>
      </c>
      <c r="O22" s="18">
        <v>3.4260336069393193E-3</v>
      </c>
      <c r="P22" s="18">
        <v>-1.3905760389095296E-3</v>
      </c>
      <c r="Q22" s="18">
        <v>3.4260336069393193E-3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2.1678490907199065E-4</v>
      </c>
      <c r="K23" s="22">
        <v>9.7141187941065133E-5</v>
      </c>
      <c r="L23" s="22">
        <v>2.2316477044064205</v>
      </c>
      <c r="M23" s="22">
        <v>3.1030844110322382E-2</v>
      </c>
      <c r="N23" s="22">
        <v>2.074605509807921E-5</v>
      </c>
      <c r="O23" s="22">
        <v>4.1282376304590206E-4</v>
      </c>
      <c r="P23" s="22">
        <v>2.074605509807921E-5</v>
      </c>
      <c r="Q23" s="22">
        <v>4.1282376304590206E-4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0.47563254190568582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0.22622631491966397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0.1287240591977272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2.7307654857410647E-2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9.1568745841115046E-3</v>
      </c>
      <c r="L13" s="18">
        <v>1.831374916822301E-3</v>
      </c>
      <c r="M13" s="18">
        <v>2.4558874021773969</v>
      </c>
      <c r="N13" s="18">
        <v>4.9049746099145197E-2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3.1319736580081463E-2</v>
      </c>
      <c r="L14" s="18">
        <v>7.4570801381146335E-4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0.11303272204737282</v>
      </c>
      <c r="K19" s="18">
        <v>0.12515555508837786</v>
      </c>
      <c r="L19" s="18">
        <v>0.90313787484347319</v>
      </c>
      <c r="M19" s="18">
        <v>0.37160360336150489</v>
      </c>
      <c r="N19" s="18">
        <v>-0.13954141368256862</v>
      </c>
      <c r="O19" s="18">
        <v>0.36560685777731422</v>
      </c>
      <c r="P19" s="18">
        <v>-0.13954141368256862</v>
      </c>
      <c r="Q19" s="18">
        <v>0.36560685777731422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-0.25531407048533417</v>
      </c>
      <c r="K20" s="18">
        <v>0.1080024293764654</v>
      </c>
      <c r="L20" s="18">
        <v>-2.3639659955738845</v>
      </c>
      <c r="M20" s="18">
        <v>2.2781030508730319E-2</v>
      </c>
      <c r="N20" s="18">
        <v>-0.4732717970699204</v>
      </c>
      <c r="O20" s="18">
        <v>-3.7356343900747907E-2</v>
      </c>
      <c r="P20" s="18">
        <v>-0.4732717970699204</v>
      </c>
      <c r="Q20" s="18">
        <v>-3.7356343900747907E-2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0.38926429523889422</v>
      </c>
      <c r="K21" s="18">
        <v>0.36480070886427346</v>
      </c>
      <c r="L21" s="18">
        <v>1.0670601393587824</v>
      </c>
      <c r="M21" s="18">
        <v>0.29204007008179539</v>
      </c>
      <c r="N21" s="18">
        <v>-0.34693334049529495</v>
      </c>
      <c r="O21" s="18">
        <v>1.1254619309730833</v>
      </c>
      <c r="P21" s="18">
        <v>-0.34693334049529495</v>
      </c>
      <c r="Q21" s="18">
        <v>1.1254619309730833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1.7515435730160865E-2</v>
      </c>
      <c r="K22" s="18">
        <v>3.3673644423386474E-2</v>
      </c>
      <c r="L22" s="18">
        <v>0.52015266033979757</v>
      </c>
      <c r="M22" s="18">
        <v>0.605688305714012</v>
      </c>
      <c r="N22" s="18">
        <v>-5.0440729947889777E-2</v>
      </c>
      <c r="O22" s="18">
        <v>8.5471601408211501E-2</v>
      </c>
      <c r="P22" s="18">
        <v>-5.0440729947889777E-2</v>
      </c>
      <c r="Q22" s="18">
        <v>8.5471601408211501E-2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1.823676768800096E-4</v>
      </c>
      <c r="K23" s="22">
        <v>9.5643648882972425E-5</v>
      </c>
      <c r="L23" s="22">
        <v>1.9067411062824557</v>
      </c>
      <c r="M23" s="22">
        <v>6.3410388425663003E-2</v>
      </c>
      <c r="N23" s="22">
        <v>-1.0649020921508963E-5</v>
      </c>
      <c r="O23" s="22">
        <v>3.7538437468152819E-4</v>
      </c>
      <c r="P23" s="22">
        <v>-1.0649020921508963E-5</v>
      </c>
      <c r="Q23" s="22">
        <v>3.7538437468152819E-4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0.50885083765334316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0.25892917498050905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0.16454147735960514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2.6724358261902469E-2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1.0480575534751346E-2</v>
      </c>
      <c r="L13" s="18">
        <v>2.0961151069502693E-3</v>
      </c>
      <c r="M13" s="18">
        <v>2.9349489905759967</v>
      </c>
      <c r="N13" s="18">
        <v>2.3518948061015087E-2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2.9996035629441621E-2</v>
      </c>
      <c r="L14" s="18">
        <v>7.1419132451051479E-4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0.14888435590639162</v>
      </c>
      <c r="K19" s="18">
        <v>0.12594561405905311</v>
      </c>
      <c r="L19" s="18">
        <v>1.1821321212232372</v>
      </c>
      <c r="M19" s="18">
        <v>0.24380293480966644</v>
      </c>
      <c r="N19" s="18">
        <v>-0.10528418337641712</v>
      </c>
      <c r="O19" s="18">
        <v>0.4030528951892004</v>
      </c>
      <c r="P19" s="18">
        <v>-0.10528418337641712</v>
      </c>
      <c r="Q19" s="18">
        <v>0.4030528951892004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-0.2681889715058085</v>
      </c>
      <c r="K20" s="18">
        <v>0.10287286253948914</v>
      </c>
      <c r="L20" s="18">
        <v>-2.6069943509432387</v>
      </c>
      <c r="M20" s="18">
        <v>1.2589758826026629E-2</v>
      </c>
      <c r="N20" s="18">
        <v>-0.47579481311330868</v>
      </c>
      <c r="O20" s="18">
        <v>-6.058312989830833E-2</v>
      </c>
      <c r="P20" s="18">
        <v>-0.47579481311330868</v>
      </c>
      <c r="Q20" s="18">
        <v>-6.058312989830833E-2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1.1071941367907596</v>
      </c>
      <c r="K21" s="18">
        <v>0.66267078402814128</v>
      </c>
      <c r="L21" s="18">
        <v>1.6708057205427378</v>
      </c>
      <c r="M21" s="18">
        <v>0.10219659531367503</v>
      </c>
      <c r="N21" s="18">
        <v>-0.23012964744878639</v>
      </c>
      <c r="O21" s="18">
        <v>2.4445179210303056</v>
      </c>
      <c r="P21" s="18">
        <v>-0.23012964744878639</v>
      </c>
      <c r="Q21" s="18">
        <v>2.4445179210303056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1.5819549869458136E-2</v>
      </c>
      <c r="K22" s="18">
        <v>4.67411898579864E-2</v>
      </c>
      <c r="L22" s="18">
        <v>0.33844987509994123</v>
      </c>
      <c r="M22" s="18">
        <v>0.73671035166622889</v>
      </c>
      <c r="N22" s="18">
        <v>-7.8507990150907342E-2</v>
      </c>
      <c r="O22" s="18">
        <v>0.11014708988982361</v>
      </c>
      <c r="P22" s="18">
        <v>-7.8507990150907342E-2</v>
      </c>
      <c r="Q22" s="18">
        <v>0.11014708988982361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1.5913151821895073E-4</v>
      </c>
      <c r="K23" s="22">
        <v>9.1458670184286543E-5</v>
      </c>
      <c r="L23" s="22">
        <v>1.739928187216208</v>
      </c>
      <c r="M23" s="22">
        <v>8.9195639759190704E-2</v>
      </c>
      <c r="N23" s="22">
        <v>-2.5439550644064889E-5</v>
      </c>
      <c r="O23" s="22">
        <v>3.4370258708196636E-4</v>
      </c>
      <c r="P23" s="22">
        <v>-2.5439550644064889E-5</v>
      </c>
      <c r="Q23" s="22">
        <v>3.4370258708196636E-4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0.51907032962598587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0.26943400709802962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0.17604676967879435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2.6534270573514304E-2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1.0905775539717354E-2</v>
      </c>
      <c r="L13" s="18">
        <v>2.1811551079434707E-3</v>
      </c>
      <c r="M13" s="18">
        <v>3.0979345899106723</v>
      </c>
      <c r="N13" s="18">
        <v>1.8351088234748156E-2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2.9570835624475614E-2</v>
      </c>
      <c r="L14" s="18">
        <v>7.0406751486846704E-4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0.10091146106324858</v>
      </c>
      <c r="K19" s="18">
        <v>0.13835879334297202</v>
      </c>
      <c r="L19" s="18">
        <v>0.72934620651904092</v>
      </c>
      <c r="M19" s="18">
        <v>0.46983798509222019</v>
      </c>
      <c r="N19" s="18">
        <v>-0.17830788820624185</v>
      </c>
      <c r="O19" s="18">
        <v>0.38013081033273899</v>
      </c>
      <c r="P19" s="18">
        <v>-0.17830788820624185</v>
      </c>
      <c r="Q19" s="18">
        <v>0.38013081033273899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-0.30716826714675582</v>
      </c>
      <c r="K20" s="18">
        <v>0.1108312257066727</v>
      </c>
      <c r="L20" s="18">
        <v>-2.7714957151129158</v>
      </c>
      <c r="M20" s="18">
        <v>8.2800225478627618E-3</v>
      </c>
      <c r="N20" s="18">
        <v>-0.53083473584633345</v>
      </c>
      <c r="O20" s="18">
        <v>-8.3501798447178255E-2</v>
      </c>
      <c r="P20" s="18">
        <v>-0.53083473584633345</v>
      </c>
      <c r="Q20" s="18">
        <v>-8.3501798447178255E-2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0.11875931432184249</v>
      </c>
      <c r="K21" s="18">
        <v>0.12629952324533658</v>
      </c>
      <c r="L21" s="18">
        <v>0.94029899139961715</v>
      </c>
      <c r="M21" s="18">
        <v>0.35244106367428252</v>
      </c>
      <c r="N21" s="18">
        <v>-0.13612344261426429</v>
      </c>
      <c r="O21" s="18">
        <v>0.37364207125794929</v>
      </c>
      <c r="P21" s="18">
        <v>-0.13612344261426429</v>
      </c>
      <c r="Q21" s="18">
        <v>0.37364207125794929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-1.3778668255468985E-2</v>
      </c>
      <c r="K22" s="18">
        <v>1.2397666255433589E-2</v>
      </c>
      <c r="L22" s="18">
        <v>-1.1113920936071446</v>
      </c>
      <c r="M22" s="18">
        <v>0.27272142284535678</v>
      </c>
      <c r="N22" s="18">
        <v>-3.879817168320919E-2</v>
      </c>
      <c r="O22" s="18">
        <v>1.1240835172271221E-2</v>
      </c>
      <c r="P22" s="18">
        <v>-3.879817168320919E-2</v>
      </c>
      <c r="Q22" s="18">
        <v>1.1240835172271221E-2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1.4634371942325776E-4</v>
      </c>
      <c r="K23" s="22">
        <v>9.1889307942218126E-5</v>
      </c>
      <c r="L23" s="22">
        <v>1.5926087887753131</v>
      </c>
      <c r="M23" s="22">
        <v>0.11874725411073976</v>
      </c>
      <c r="N23" s="22">
        <v>-3.9096411619582352E-5</v>
      </c>
      <c r="O23" s="22">
        <v>3.3178385046609787E-4</v>
      </c>
      <c r="P23" s="22">
        <v>-3.9096411619582352E-5</v>
      </c>
      <c r="Q23" s="22">
        <v>3.3178385046609787E-4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0.49759947216502765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0.2476052346989141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0.15213906657500115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2.6927765081994865E-2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1.0022220807126687E-2</v>
      </c>
      <c r="L13" s="18">
        <v>2.0044441614253373E-3</v>
      </c>
      <c r="M13" s="18">
        <v>2.7643519963068468</v>
      </c>
      <c r="N13" s="18">
        <v>3.0530849918244056E-2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3.0454390357066281E-2</v>
      </c>
      <c r="L14" s="18">
        <v>7.2510453231110195E-4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0.14829270972027872</v>
      </c>
      <c r="K19" s="18">
        <v>0.12693952149415666</v>
      </c>
      <c r="L19" s="18">
        <v>1.1682154460232861</v>
      </c>
      <c r="M19" s="18">
        <v>0.24930852961630562</v>
      </c>
      <c r="N19" s="18">
        <v>-0.1078816159716077</v>
      </c>
      <c r="O19" s="18">
        <v>0.40446703541216511</v>
      </c>
      <c r="P19" s="18">
        <v>-0.1078816159716077</v>
      </c>
      <c r="Q19" s="18">
        <v>0.40446703541216511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-0.24913312076132271</v>
      </c>
      <c r="K20" s="18">
        <v>0.10440134408956959</v>
      </c>
      <c r="L20" s="18">
        <v>-2.3863018520871018</v>
      </c>
      <c r="M20" s="18">
        <v>2.1601761252925213E-2</v>
      </c>
      <c r="N20" s="18">
        <v>-0.45982356301813587</v>
      </c>
      <c r="O20" s="18">
        <v>-3.8442678504509581E-2</v>
      </c>
      <c r="P20" s="18">
        <v>-0.45982356301813587</v>
      </c>
      <c r="Q20" s="18">
        <v>-3.8442678504509581E-2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0.18181285757901533</v>
      </c>
      <c r="K21" s="18">
        <v>0.16742673359385477</v>
      </c>
      <c r="L21" s="18">
        <v>1.0859248918996327</v>
      </c>
      <c r="M21" s="18">
        <v>0.28370578534372998</v>
      </c>
      <c r="N21" s="18">
        <v>-0.15606797004940143</v>
      </c>
      <c r="O21" s="18">
        <v>0.51969368520743209</v>
      </c>
      <c r="P21" s="18">
        <v>-0.15606797004940143</v>
      </c>
      <c r="Q21" s="18">
        <v>0.51969368520743209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8.7140186511550383E-3</v>
      </c>
      <c r="K22" s="18">
        <v>1.2114094803069499E-2</v>
      </c>
      <c r="L22" s="18">
        <v>0.71932891337015614</v>
      </c>
      <c r="M22" s="18">
        <v>0.47592192869184469</v>
      </c>
      <c r="N22" s="18">
        <v>-1.5733214417127543E-2</v>
      </c>
      <c r="O22" s="18">
        <v>3.3161251719437623E-2</v>
      </c>
      <c r="P22" s="18">
        <v>-1.5733214417127543E-2</v>
      </c>
      <c r="Q22" s="18">
        <v>3.3161251719437623E-2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1.9100950041077343E-4</v>
      </c>
      <c r="K23" s="22">
        <v>9.5781014280521627E-5</v>
      </c>
      <c r="L23" s="22">
        <v>1.9942313395361257</v>
      </c>
      <c r="M23" s="22">
        <v>5.2645085509638527E-2</v>
      </c>
      <c r="N23" s="22">
        <v>-2.2844119861395603E-6</v>
      </c>
      <c r="O23" s="22">
        <v>3.8430341280768643E-4</v>
      </c>
      <c r="P23" s="22">
        <v>-2.2844119861395603E-6</v>
      </c>
      <c r="Q23" s="22">
        <v>3.8430341280768643E-4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0.48921722356847441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0.23933349183604666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0.14307953867757489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2.7075380873448553E-2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9.687408687616212E-3</v>
      </c>
      <c r="L13" s="18">
        <v>1.9374817375232424E-3</v>
      </c>
      <c r="M13" s="18">
        <v>2.6429470863327031</v>
      </c>
      <c r="N13" s="18">
        <v>3.6783563189532853E-2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3.0789202476576755E-2</v>
      </c>
      <c r="L14" s="18">
        <v>7.3307624944230366E-4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0.14639866685563072</v>
      </c>
      <c r="K19" s="18">
        <v>0.12815701198552215</v>
      </c>
      <c r="L19" s="18">
        <v>1.1423383284885678</v>
      </c>
      <c r="M19" s="18">
        <v>0.25978399996883722</v>
      </c>
      <c r="N19" s="18">
        <v>-0.11223265412023584</v>
      </c>
      <c r="O19" s="18">
        <v>0.40502998783149724</v>
      </c>
      <c r="P19" s="18">
        <v>-0.11223265412023584</v>
      </c>
      <c r="Q19" s="18">
        <v>0.40502998783149724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-0.26909805867296871</v>
      </c>
      <c r="K20" s="18">
        <v>0.10371179042106038</v>
      </c>
      <c r="L20" s="18">
        <v>-2.5946718071345138</v>
      </c>
      <c r="M20" s="18">
        <v>1.2983969966178286E-2</v>
      </c>
      <c r="N20" s="18">
        <v>-0.47839692528825206</v>
      </c>
      <c r="O20" s="18">
        <v>-5.9799192057685358E-2</v>
      </c>
      <c r="P20" s="18">
        <v>-0.47839692528825206</v>
      </c>
      <c r="Q20" s="18">
        <v>-5.9799192057685358E-2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0.10108058629682785</v>
      </c>
      <c r="K21" s="18">
        <v>9.5857626024899556E-2</v>
      </c>
      <c r="L21" s="18">
        <v>1.0544866432491413</v>
      </c>
      <c r="M21" s="18">
        <v>0.29768870729599078</v>
      </c>
      <c r="N21" s="18">
        <v>-9.2367934859635251E-2</v>
      </c>
      <c r="O21" s="18">
        <v>0.29452910745329097</v>
      </c>
      <c r="P21" s="18">
        <v>-9.2367934859635251E-2</v>
      </c>
      <c r="Q21" s="18">
        <v>0.29452910745329097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5.9012409961506553E-3</v>
      </c>
      <c r="K22" s="18">
        <v>7.3135129094094812E-3</v>
      </c>
      <c r="L22" s="18">
        <v>0.80689554653799633</v>
      </c>
      <c r="M22" s="18">
        <v>0.42427257320066802</v>
      </c>
      <c r="N22" s="18">
        <v>-8.8580255896551184E-3</v>
      </c>
      <c r="O22" s="18">
        <v>2.0660507581956429E-2</v>
      </c>
      <c r="P22" s="18">
        <v>-8.8580255896551184E-3</v>
      </c>
      <c r="Q22" s="18">
        <v>2.0660507581956429E-2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1.8194725381456923E-4</v>
      </c>
      <c r="K23" s="22">
        <v>9.3406269033986447E-5</v>
      </c>
      <c r="L23" s="22">
        <v>1.9479126582859936</v>
      </c>
      <c r="M23" s="22">
        <v>5.8129460549559732E-2</v>
      </c>
      <c r="N23" s="22">
        <v>-6.5542286514560372E-6</v>
      </c>
      <c r="O23" s="22">
        <v>3.7044873628059449E-4</v>
      </c>
      <c r="P23" s="22">
        <v>-6.5542286514560372E-6</v>
      </c>
      <c r="Q23" s="22">
        <v>3.7044873628059449E-4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0.47265737126239071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0.22340499060867347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0.12563403733330902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2.7357393980589211E-2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9.0426769370074572E-3</v>
      </c>
      <c r="L13" s="18">
        <v>1.8085353874014915E-3</v>
      </c>
      <c r="M13" s="18">
        <v>2.4164485972987197</v>
      </c>
      <c r="N13" s="18">
        <v>5.2121666858456733E-2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3.143393422718551E-2</v>
      </c>
      <c r="L14" s="18">
        <v>7.4842700540917882E-4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0.11824099257996208</v>
      </c>
      <c r="K19" s="18">
        <v>0.12679195946577507</v>
      </c>
      <c r="L19" s="18">
        <v>0.93255907612878919</v>
      </c>
      <c r="M19" s="18">
        <v>0.35637791118737816</v>
      </c>
      <c r="N19" s="18">
        <v>-0.1376355408824167</v>
      </c>
      <c r="O19" s="18">
        <v>0.37411752604234083</v>
      </c>
      <c r="P19" s="18">
        <v>-0.1376355408824167</v>
      </c>
      <c r="Q19" s="18">
        <v>0.37411752604234083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-0.25152195393294396</v>
      </c>
      <c r="K20" s="18">
        <v>0.11066040536078635</v>
      </c>
      <c r="L20" s="18">
        <v>-2.2729173376232126</v>
      </c>
      <c r="M20" s="18">
        <v>2.8209845340576072E-2</v>
      </c>
      <c r="N20" s="18">
        <v>-0.47484369321801917</v>
      </c>
      <c r="O20" s="18">
        <v>-2.820021464786876E-2</v>
      </c>
      <c r="P20" s="18">
        <v>-0.47484369321801917</v>
      </c>
      <c r="Q20" s="18">
        <v>-2.820021464786876E-2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0.12313585825436249</v>
      </c>
      <c r="K21" s="18">
        <v>0.12454281232027176</v>
      </c>
      <c r="L21" s="18">
        <v>0.98870304885767979</v>
      </c>
      <c r="M21" s="18">
        <v>0.32847042882150423</v>
      </c>
      <c r="N21" s="18">
        <v>-0.12820171250672971</v>
      </c>
      <c r="O21" s="18">
        <v>0.37447342901545466</v>
      </c>
      <c r="P21" s="18">
        <v>-0.12820171250672971</v>
      </c>
      <c r="Q21" s="18">
        <v>0.37447342901545466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4.1547093336582628E-3</v>
      </c>
      <c r="K22" s="18">
        <v>9.3677409810366142E-3</v>
      </c>
      <c r="L22" s="18">
        <v>0.44351240518592044</v>
      </c>
      <c r="M22" s="18">
        <v>0.65967155970100233</v>
      </c>
      <c r="N22" s="18">
        <v>-1.4750157336914246E-2</v>
      </c>
      <c r="O22" s="18">
        <v>2.3059576004230774E-2</v>
      </c>
      <c r="P22" s="18">
        <v>-1.4750157336914246E-2</v>
      </c>
      <c r="Q22" s="18">
        <v>2.3059576004230774E-2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1.8467585353610939E-4</v>
      </c>
      <c r="K23" s="22">
        <v>9.7011281889683792E-5</v>
      </c>
      <c r="L23" s="22">
        <v>1.9036533683382642</v>
      </c>
      <c r="M23" s="22">
        <v>6.3822501574220536E-2</v>
      </c>
      <c r="N23" s="22">
        <v>-1.1100839412423954E-5</v>
      </c>
      <c r="O23" s="22">
        <v>3.8045254648464273E-4</v>
      </c>
      <c r="P23" s="22">
        <v>-1.1100839412423954E-5</v>
      </c>
      <c r="Q23" s="22">
        <v>3.8045254648464273E-4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0.54963861229525623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0.30210260412585505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0.21182666166165076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2.5934221519846912E-2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1.2228089638892353E-2</v>
      </c>
      <c r="L13" s="18">
        <v>2.4456179277784706E-3</v>
      </c>
      <c r="M13" s="18">
        <v>3.6361532363631439</v>
      </c>
      <c r="N13" s="18">
        <v>8.1710571869415445E-3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2.8248521525300614E-2</v>
      </c>
      <c r="L14" s="18">
        <v>6.7258384584049078E-4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0.13924914881677178</v>
      </c>
      <c r="K19" s="18">
        <v>0.11933167111782857</v>
      </c>
      <c r="L19" s="18">
        <v>1.1669085626000881</v>
      </c>
      <c r="M19" s="18">
        <v>0.24983013629665932</v>
      </c>
      <c r="N19" s="18">
        <v>-0.10157191323286649</v>
      </c>
      <c r="O19" s="18">
        <v>0.38007021086641002</v>
      </c>
      <c r="P19" s="18">
        <v>-0.10157191323286649</v>
      </c>
      <c r="Q19" s="18">
        <v>0.38007021086641002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-0.23918373827696185</v>
      </c>
      <c r="K20" s="18">
        <v>0.10034881351441151</v>
      </c>
      <c r="L20" s="18">
        <v>-2.383523331270994</v>
      </c>
      <c r="M20" s="18">
        <v>2.1745399768483119E-2</v>
      </c>
      <c r="N20" s="18">
        <v>-0.44169584272993612</v>
      </c>
      <c r="O20" s="18">
        <v>-3.6671633823987582E-2</v>
      </c>
      <c r="P20" s="18">
        <v>-0.44169584272993612</v>
      </c>
      <c r="Q20" s="18">
        <v>-3.6671633823987582E-2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9.124943300988636E-2</v>
      </c>
      <c r="K21" s="18">
        <v>6.0923241896740796E-2</v>
      </c>
      <c r="L21" s="18">
        <v>1.4977770415524772</v>
      </c>
      <c r="M21" s="18">
        <v>0.14166977031637898</v>
      </c>
      <c r="N21" s="18">
        <v>-3.1698646738308398E-2</v>
      </c>
      <c r="O21" s="18">
        <v>0.21419751275808113</v>
      </c>
      <c r="P21" s="18">
        <v>-3.1698646738308398E-2</v>
      </c>
      <c r="Q21" s="18">
        <v>0.21419751275808113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9.415347305193068E-3</v>
      </c>
      <c r="K22" s="18">
        <v>4.3004161595947624E-3</v>
      </c>
      <c r="L22" s="18">
        <v>2.1894037590260327</v>
      </c>
      <c r="M22" s="18">
        <v>3.4175519467669981E-2</v>
      </c>
      <c r="N22" s="18">
        <v>7.3675613901010711E-4</v>
      </c>
      <c r="O22" s="18">
        <v>1.8093938471376029E-2</v>
      </c>
      <c r="P22" s="18">
        <v>7.3675613901010711E-4</v>
      </c>
      <c r="Q22" s="18">
        <v>1.8093938471376029E-2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2.3428950602013968E-4</v>
      </c>
      <c r="K23" s="22">
        <v>9.3451155248425183E-5</v>
      </c>
      <c r="L23" s="22">
        <v>2.5070798257904667</v>
      </c>
      <c r="M23" s="22">
        <v>1.6128169790453433E-2</v>
      </c>
      <c r="N23" s="22">
        <v>4.5697439506046825E-5</v>
      </c>
      <c r="O23" s="22">
        <v>4.2288157253423254E-4</v>
      </c>
      <c r="P23" s="22">
        <v>4.5697439506046825E-5</v>
      </c>
      <c r="Q23" s="22">
        <v>4.2288157253423254E-4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0.4873071330354638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0.23746824190724319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0.14103664589840922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2.7108556667357939E-2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9.6119096915239961E-3</v>
      </c>
      <c r="L13" s="18">
        <v>1.9223819383047992E-3</v>
      </c>
      <c r="M13" s="18">
        <v>2.6159346294114574</v>
      </c>
      <c r="N13" s="18">
        <v>3.834265183819692E-2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3.0864701472668971E-2</v>
      </c>
      <c r="L14" s="18">
        <v>7.3487384458735647E-4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0.13508411542837592</v>
      </c>
      <c r="K19" s="18">
        <v>0.1266670703781751</v>
      </c>
      <c r="L19" s="18">
        <v>1.0664501438698395</v>
      </c>
      <c r="M19" s="18">
        <v>0.29231237701580653</v>
      </c>
      <c r="N19" s="18">
        <v>-0.12054038165143563</v>
      </c>
      <c r="O19" s="18">
        <v>0.39070861250818745</v>
      </c>
      <c r="P19" s="18">
        <v>-0.12054038165143563</v>
      </c>
      <c r="Q19" s="18">
        <v>0.39070861250818745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-0.23489552990130397</v>
      </c>
      <c r="K20" s="18">
        <v>0.11328790954375273</v>
      </c>
      <c r="L20" s="18">
        <v>-2.0734386471363511</v>
      </c>
      <c r="M20" s="18">
        <v>4.4301660496261386E-2</v>
      </c>
      <c r="N20" s="18">
        <v>-0.46351978730210258</v>
      </c>
      <c r="O20" s="18">
        <v>-6.2712725005053538E-3</v>
      </c>
      <c r="P20" s="18">
        <v>-0.46351978730210258</v>
      </c>
      <c r="Q20" s="18">
        <v>-6.2712725005053538E-3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8.6675408355056091E-2</v>
      </c>
      <c r="K21" s="18">
        <v>6.5935632713403969E-2</v>
      </c>
      <c r="L21" s="18">
        <v>1.3145457894034276</v>
      </c>
      <c r="M21" s="18">
        <v>0.19579611767076577</v>
      </c>
      <c r="N21" s="18">
        <v>-4.6388085587621822E-2</v>
      </c>
      <c r="O21" s="18">
        <v>0.21973890229773402</v>
      </c>
      <c r="P21" s="18">
        <v>-4.6388085587621822E-2</v>
      </c>
      <c r="Q21" s="18">
        <v>0.21973890229773402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4.0238894241151762E-3</v>
      </c>
      <c r="K22" s="18">
        <v>5.2471098441778125E-3</v>
      </c>
      <c r="L22" s="18">
        <v>0.76687729885816658</v>
      </c>
      <c r="M22" s="18">
        <v>0.44744391789718185</v>
      </c>
      <c r="N22" s="18">
        <v>-6.5652069450986145E-3</v>
      </c>
      <c r="O22" s="18">
        <v>1.4612985793328967E-2</v>
      </c>
      <c r="P22" s="18">
        <v>-6.5652069450986145E-3</v>
      </c>
      <c r="Q22" s="18">
        <v>1.4612985793328967E-2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2.0620039893332173E-4</v>
      </c>
      <c r="K23" s="22">
        <v>9.8409115361835155E-5</v>
      </c>
      <c r="L23" s="22">
        <v>2.0953384061542941</v>
      </c>
      <c r="M23" s="22">
        <v>4.2209073471008239E-2</v>
      </c>
      <c r="N23" s="22">
        <v>7.6027638310525254E-6</v>
      </c>
      <c r="O23" s="22">
        <v>4.0479803403559091E-4</v>
      </c>
      <c r="P23" s="22">
        <v>7.6027638310525254E-6</v>
      </c>
      <c r="Q23" s="22">
        <v>4.0479803403559091E-4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0.46646094700340579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0.21758581507931415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0.11926065461067741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2.7459699792164505E-2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8.8071364318093939E-3</v>
      </c>
      <c r="L13" s="18">
        <v>1.7614272863618787E-3</v>
      </c>
      <c r="M13" s="18">
        <v>2.3360016751888475</v>
      </c>
      <c r="N13" s="18">
        <v>5.8999089405674533E-2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3.1669474732383573E-2</v>
      </c>
      <c r="L14" s="18">
        <v>7.5403511267579937E-4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0.10023616700081563</v>
      </c>
      <c r="K19" s="18">
        <v>0.12524993971809484</v>
      </c>
      <c r="L19" s="18">
        <v>0.80028914366283344</v>
      </c>
      <c r="M19" s="18">
        <v>0.4280469796237476</v>
      </c>
      <c r="N19" s="18">
        <v>-0.15252844462338494</v>
      </c>
      <c r="O19" s="18">
        <v>0.35300077862501616</v>
      </c>
      <c r="P19" s="18">
        <v>-0.15252844462338494</v>
      </c>
      <c r="Q19" s="18">
        <v>0.35300077862501616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-0.29100671274690426</v>
      </c>
      <c r="K20" s="18">
        <v>0.10930927709829906</v>
      </c>
      <c r="L20" s="18">
        <v>-2.6622325247399568</v>
      </c>
      <c r="M20" s="18">
        <v>1.0954022066206706E-2</v>
      </c>
      <c r="N20" s="18">
        <v>-0.51160176480729302</v>
      </c>
      <c r="O20" s="18">
        <v>-7.0411660686515526E-2</v>
      </c>
      <c r="P20" s="18">
        <v>-0.51160176480729302</v>
      </c>
      <c r="Q20" s="18">
        <v>-7.0411660686515526E-2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2.3979985155338151E-2</v>
      </c>
      <c r="K21" s="18">
        <v>0.10121655892562834</v>
      </c>
      <c r="L21" s="18">
        <v>0.23691760923188573</v>
      </c>
      <c r="M21" s="18">
        <v>0.81387249300777476</v>
      </c>
      <c r="N21" s="18">
        <v>-0.18028330043471749</v>
      </c>
      <c r="O21" s="18">
        <v>0.22824327074539377</v>
      </c>
      <c r="P21" s="18">
        <v>-0.18028330043471749</v>
      </c>
      <c r="Q21" s="18">
        <v>0.22824327074539377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-4.4209160856357194E-3</v>
      </c>
      <c r="K22" s="18">
        <v>6.7197701213450207E-3</v>
      </c>
      <c r="L22" s="18">
        <v>-0.65789692293087465</v>
      </c>
      <c r="M22" s="18">
        <v>0.51419434421719445</v>
      </c>
      <c r="N22" s="18">
        <v>-1.7981961214668198E-2</v>
      </c>
      <c r="O22" s="18">
        <v>9.140129043396757E-3</v>
      </c>
      <c r="P22" s="18">
        <v>-1.7981961214668198E-2</v>
      </c>
      <c r="Q22" s="18">
        <v>9.140129043396757E-3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1.6261161828845291E-4</v>
      </c>
      <c r="K23" s="22">
        <v>9.8692224163957737E-5</v>
      </c>
      <c r="L23" s="22">
        <v>1.6476639336682255</v>
      </c>
      <c r="M23" s="22">
        <v>0.10688407562059273</v>
      </c>
      <c r="N23" s="22">
        <v>-3.6557353507286726E-5</v>
      </c>
      <c r="O23" s="22">
        <v>3.6178059008419258E-4</v>
      </c>
      <c r="P23" s="22">
        <v>-3.6557353507286726E-5</v>
      </c>
      <c r="Q23" s="22">
        <v>3.6178059008419258E-4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0.47448378144661879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0.22513485885588269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0.12752865493739532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2.7326907646031098E-2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9.112696141415029E-3</v>
      </c>
      <c r="L13" s="18">
        <v>1.8225392282830058E-3</v>
      </c>
      <c r="M13" s="18">
        <v>2.4405960650095659</v>
      </c>
      <c r="N13" s="18">
        <v>5.0218609883164719E-2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3.1363915022777938E-2</v>
      </c>
      <c r="L14" s="18">
        <v>7.4675988149471278E-4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0.13014296841162518</v>
      </c>
      <c r="K19" s="18">
        <v>0.13117291812401705</v>
      </c>
      <c r="L19" s="18">
        <v>0.99214815278091084</v>
      </c>
      <c r="M19" s="18">
        <v>0.32680707507312612</v>
      </c>
      <c r="N19" s="18">
        <v>-0.13457469755975573</v>
      </c>
      <c r="O19" s="18">
        <v>0.39486063438300611</v>
      </c>
      <c r="P19" s="18">
        <v>-0.13457469755975573</v>
      </c>
      <c r="Q19" s="18">
        <v>0.39486063438300611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-0.27205700396866728</v>
      </c>
      <c r="K20" s="18">
        <v>0.10514464634850908</v>
      </c>
      <c r="L20" s="18">
        <v>-2.5874546485887246</v>
      </c>
      <c r="M20" s="18">
        <v>1.3220074336527624E-2</v>
      </c>
      <c r="N20" s="18">
        <v>-0.48424749091390978</v>
      </c>
      <c r="O20" s="18">
        <v>-5.986651702342477E-2</v>
      </c>
      <c r="P20" s="18">
        <v>-0.48424749091390978</v>
      </c>
      <c r="Q20" s="18">
        <v>-5.986651702342477E-2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0.17236303428020033</v>
      </c>
      <c r="K21" s="18">
        <v>0.21523598522972595</v>
      </c>
      <c r="L21" s="18">
        <v>0.80080955838417811</v>
      </c>
      <c r="M21" s="18">
        <v>0.4277489205959375</v>
      </c>
      <c r="N21" s="18">
        <v>-0.26200076930001093</v>
      </c>
      <c r="O21" s="18">
        <v>0.60672683786041159</v>
      </c>
      <c r="P21" s="18">
        <v>-0.26200076930001093</v>
      </c>
      <c r="Q21" s="18">
        <v>0.60672683786041159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1.2120836801461422E-3</v>
      </c>
      <c r="K22" s="18">
        <v>1.5647707581562875E-2</v>
      </c>
      <c r="L22" s="18">
        <v>7.7460782918406301E-2</v>
      </c>
      <c r="M22" s="18">
        <v>0.93862483749453585</v>
      </c>
      <c r="N22" s="18">
        <v>-3.036626868125937E-2</v>
      </c>
      <c r="O22" s="18">
        <v>3.2790436041551657E-2</v>
      </c>
      <c r="P22" s="18">
        <v>-3.036626868125937E-2</v>
      </c>
      <c r="Q22" s="18">
        <v>3.2790436041551657E-2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1.8364121272293533E-4</v>
      </c>
      <c r="K23" s="22">
        <v>9.5726669619232077E-5</v>
      </c>
      <c r="L23" s="22">
        <v>1.9183913266114576</v>
      </c>
      <c r="M23" s="22">
        <v>6.1875910560824726E-2</v>
      </c>
      <c r="N23" s="22">
        <v>-9.5430277073833576E-6</v>
      </c>
      <c r="O23" s="22">
        <v>3.7682545315325403E-4</v>
      </c>
      <c r="P23" s="22">
        <v>-9.5430277073833576E-6</v>
      </c>
      <c r="Q23" s="22">
        <v>3.7682545315325403E-4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0.59341724754397773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0.3521440296826705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0.26663393727149626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2.4987146315148801E-2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1.4253596963257481E-2</v>
      </c>
      <c r="L13" s="18">
        <v>2.8507193926514962E-3</v>
      </c>
      <c r="M13" s="18">
        <v>4.5658448557409379</v>
      </c>
      <c r="N13" s="18">
        <v>2.1134070401471719E-3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2.6223014200935486E-2</v>
      </c>
      <c r="L14" s="18">
        <v>6.2435748097465439E-4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0.16912916501415406</v>
      </c>
      <c r="K19" s="18">
        <v>0.11613347467318158</v>
      </c>
      <c r="L19" s="18">
        <v>1.4563343212636231</v>
      </c>
      <c r="M19" s="18">
        <v>0.15273573993117751</v>
      </c>
      <c r="N19" s="18">
        <v>-6.5237675308523091E-2</v>
      </c>
      <c r="O19" s="18">
        <v>0.40349600533683122</v>
      </c>
      <c r="P19" s="18">
        <v>-6.5237675308523091E-2</v>
      </c>
      <c r="Q19" s="18">
        <v>0.40349600533683122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-0.32882255590007742</v>
      </c>
      <c r="K20" s="18">
        <v>9.7266593228532441E-2</v>
      </c>
      <c r="L20" s="18">
        <v>-3.3806319825296374</v>
      </c>
      <c r="M20" s="18">
        <v>1.5728413337104911E-3</v>
      </c>
      <c r="N20" s="18">
        <v>-0.52511448799006333</v>
      </c>
      <c r="O20" s="18">
        <v>-0.13253062381009154</v>
      </c>
      <c r="P20" s="18">
        <v>-0.52511448799006333</v>
      </c>
      <c r="Q20" s="18">
        <v>-0.13253062381009154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-4.5019541789322978E-2</v>
      </c>
      <c r="K21" s="18">
        <v>1.5178328156974209E-2</v>
      </c>
      <c r="L21" s="18">
        <v>-2.9660408790567088</v>
      </c>
      <c r="M21" s="18">
        <v>4.9589110191030801E-3</v>
      </c>
      <c r="N21" s="18">
        <v>-7.5650648122286654E-2</v>
      </c>
      <c r="O21" s="18">
        <v>-1.4388435456359299E-2</v>
      </c>
      <c r="P21" s="18">
        <v>-7.5650648122286654E-2</v>
      </c>
      <c r="Q21" s="18">
        <v>-1.4388435456359299E-2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-1.6356140213345165E-3</v>
      </c>
      <c r="K22" s="18">
        <v>1.1033644545134199E-3</v>
      </c>
      <c r="L22" s="18">
        <v>-1.4823878136039981</v>
      </c>
      <c r="M22" s="18">
        <v>0.14570214786330377</v>
      </c>
      <c r="N22" s="18">
        <v>-3.862293638528305E-3</v>
      </c>
      <c r="O22" s="18">
        <v>5.9106559585927186E-4</v>
      </c>
      <c r="P22" s="18">
        <v>-3.862293638528305E-3</v>
      </c>
      <c r="Q22" s="18">
        <v>5.9106559585927186E-4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3.0138423449282222E-5</v>
      </c>
      <c r="K23" s="22">
        <v>9.6680466848507053E-5</v>
      </c>
      <c r="L23" s="22">
        <v>0.31173229124459512</v>
      </c>
      <c r="M23" s="22">
        <v>0.75678623991432525</v>
      </c>
      <c r="N23" s="22">
        <v>-1.649706577176352E-4</v>
      </c>
      <c r="O23" s="22">
        <v>2.2524750461619966E-4</v>
      </c>
      <c r="P23" s="22">
        <v>-1.649706577176352E-4</v>
      </c>
      <c r="Q23" s="22">
        <v>2.2524750461619966E-4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0.54009946969865752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0.29170743716877107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0.20044147880389213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2.6126652445443235E-2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1.1807328507983599E-2</v>
      </c>
      <c r="L13" s="18">
        <v>2.3614657015967196E-3</v>
      </c>
      <c r="M13" s="18">
        <v>3.4595061430872902</v>
      </c>
      <c r="N13" s="18">
        <v>1.0635962113968554E-2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2.8669282656209369E-2</v>
      </c>
      <c r="L14" s="18">
        <v>6.82601968004985E-4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0.12831949618532038</v>
      </c>
      <c r="K19" s="18">
        <v>0.11980036516096891</v>
      </c>
      <c r="L19" s="18">
        <v>1.0711110605790291</v>
      </c>
      <c r="M19" s="18">
        <v>0.29023618610366375</v>
      </c>
      <c r="N19" s="18">
        <v>-0.11344742873699942</v>
      </c>
      <c r="O19" s="18">
        <v>0.37008642110764017</v>
      </c>
      <c r="P19" s="18">
        <v>-0.11344742873699942</v>
      </c>
      <c r="Q19" s="18">
        <v>0.37008642110764017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-0.2665830688963795</v>
      </c>
      <c r="K20" s="18">
        <v>0.10022302839012501</v>
      </c>
      <c r="L20" s="18">
        <v>-2.6598983604714741</v>
      </c>
      <c r="M20" s="18">
        <v>1.1018983778843685E-2</v>
      </c>
      <c r="N20" s="18">
        <v>-0.46884132869154449</v>
      </c>
      <c r="O20" s="18">
        <v>-6.4324809101214547E-2</v>
      </c>
      <c r="P20" s="18">
        <v>-0.46884132869154449</v>
      </c>
      <c r="Q20" s="18">
        <v>-6.4324809101214547E-2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-0.76975386042446281</v>
      </c>
      <c r="K21" s="18">
        <v>0.36430841357360377</v>
      </c>
      <c r="L21" s="18">
        <v>-2.1129181532584727</v>
      </c>
      <c r="M21" s="18">
        <v>4.059246552535923E-2</v>
      </c>
      <c r="N21" s="18">
        <v>-1.5049580040401678</v>
      </c>
      <c r="O21" s="18">
        <v>-3.4549716808757847E-2</v>
      </c>
      <c r="P21" s="18">
        <v>-1.5049580040401678</v>
      </c>
      <c r="Q21" s="18">
        <v>-3.4549716808757847E-2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-5.85029619137417E-2</v>
      </c>
      <c r="K22" s="18">
        <v>3.2403465496498952E-2</v>
      </c>
      <c r="L22" s="18">
        <v>-1.8054538617192868</v>
      </c>
      <c r="M22" s="18">
        <v>7.8174983578315121E-2</v>
      </c>
      <c r="N22" s="18">
        <v>-0.12389580274013508</v>
      </c>
      <c r="O22" s="18">
        <v>6.8898789126516785E-3</v>
      </c>
      <c r="P22" s="18">
        <v>-0.12389580274013508</v>
      </c>
      <c r="Q22" s="18">
        <v>6.8898789126516785E-3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8.5496810765183325E-5</v>
      </c>
      <c r="K23" s="22">
        <v>9.5383751655755505E-5</v>
      </c>
      <c r="L23" s="22">
        <v>0.89634564882439705</v>
      </c>
      <c r="M23" s="22">
        <v>0.37517720335663785</v>
      </c>
      <c r="N23" s="22">
        <v>-1.0699539319747553E-4</v>
      </c>
      <c r="O23" s="22">
        <v>2.7798901472784218E-4</v>
      </c>
      <c r="P23" s="22">
        <v>-1.0699539319747553E-4</v>
      </c>
      <c r="Q23" s="22">
        <v>2.7798901472784218E-4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0.51422335506179906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0.26442565889101305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0.17056143592825238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2.6625067219868605E-2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1.0703054576767061E-2</v>
      </c>
      <c r="L13" s="18">
        <v>2.1406109153534122E-3</v>
      </c>
      <c r="M13" s="18">
        <v>3.0196479275442911</v>
      </c>
      <c r="N13" s="18">
        <v>2.0670566444648798E-2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2.9773556587425906E-2</v>
      </c>
      <c r="L14" s="18">
        <v>7.0889420446252163E-4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0.13188277483604341</v>
      </c>
      <c r="K19" s="18">
        <v>0.12261072755163667</v>
      </c>
      <c r="L19" s="18">
        <v>1.0756218274661316</v>
      </c>
      <c r="M19" s="18">
        <v>0.28823669052784662</v>
      </c>
      <c r="N19" s="18">
        <v>-0.1155556910051721</v>
      </c>
      <c r="O19" s="18">
        <v>0.37932124067725892</v>
      </c>
      <c r="P19" s="18">
        <v>-0.1155556910051721</v>
      </c>
      <c r="Q19" s="18">
        <v>0.37932124067725892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-0.30229211151906904</v>
      </c>
      <c r="K20" s="18">
        <v>0.10345221088473361</v>
      </c>
      <c r="L20" s="18">
        <v>-2.9220459276204616</v>
      </c>
      <c r="M20" s="18">
        <v>5.57714534435953E-3</v>
      </c>
      <c r="N20" s="18">
        <v>-0.51106712542166521</v>
      </c>
      <c r="O20" s="18">
        <v>-9.3517097616472866E-2</v>
      </c>
      <c r="P20" s="18">
        <v>-0.51106712542166521</v>
      </c>
      <c r="Q20" s="18">
        <v>-9.3517097616472866E-2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-1.2045882604510203</v>
      </c>
      <c r="K21" s="18">
        <v>0.65980186495733162</v>
      </c>
      <c r="L21" s="18">
        <v>-1.8256818060508502</v>
      </c>
      <c r="M21" s="18">
        <v>7.5013893940695422E-2</v>
      </c>
      <c r="N21" s="18">
        <v>-2.5361223316068986</v>
      </c>
      <c r="O21" s="18">
        <v>0.126945810704858</v>
      </c>
      <c r="P21" s="18">
        <v>-2.5361223316068986</v>
      </c>
      <c r="Q21" s="18">
        <v>0.126945810704858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-4.7955947289776693E-3</v>
      </c>
      <c r="K22" s="18">
        <v>4.5999100118747874E-2</v>
      </c>
      <c r="L22" s="18">
        <v>-0.10425409881057926</v>
      </c>
      <c r="M22" s="18">
        <v>0.91746397145434566</v>
      </c>
      <c r="N22" s="18">
        <v>-9.7625537024736572E-2</v>
      </c>
      <c r="O22" s="18">
        <v>8.8034347566781232E-2</v>
      </c>
      <c r="P22" s="18">
        <v>-9.7625537024736572E-2</v>
      </c>
      <c r="Q22" s="18">
        <v>8.8034347566781232E-2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1.4727608839696846E-4</v>
      </c>
      <c r="K23" s="22">
        <v>9.1175642737348188E-5</v>
      </c>
      <c r="L23" s="22">
        <v>1.6153007971792439</v>
      </c>
      <c r="M23" s="22">
        <v>0.11373392661506214</v>
      </c>
      <c r="N23" s="22">
        <v>-3.6723807953985461E-5</v>
      </c>
      <c r="O23" s="22">
        <v>3.3127598474792238E-4</v>
      </c>
      <c r="P23" s="22">
        <v>-3.6723807953985461E-5</v>
      </c>
      <c r="Q23" s="22">
        <v>3.3127598474792238E-4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0.48914917238305766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0.23926691284303025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0.14300661882808074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2.7076565763364972E-2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9.6847137956041843E-3</v>
      </c>
      <c r="L13" s="18">
        <v>1.9369427591208368E-3</v>
      </c>
      <c r="M13" s="18">
        <v>2.6419806129278336</v>
      </c>
      <c r="N13" s="18">
        <v>3.6838224335293275E-2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3.0791897368588783E-2</v>
      </c>
      <c r="L14" s="18">
        <v>7.3314041353782819E-4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0.12946157537044051</v>
      </c>
      <c r="K19" s="18">
        <v>0.1253919506717355</v>
      </c>
      <c r="L19" s="18">
        <v>1.0324552307935531</v>
      </c>
      <c r="M19" s="18">
        <v>0.30776769863523329</v>
      </c>
      <c r="N19" s="18">
        <v>-0.12358962596090206</v>
      </c>
      <c r="O19" s="18">
        <v>0.38251277670178307</v>
      </c>
      <c r="P19" s="18">
        <v>-0.12358962596090206</v>
      </c>
      <c r="Q19" s="18">
        <v>0.38251277670178307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-0.27551976382492477</v>
      </c>
      <c r="K20" s="18">
        <v>0.11024344647344292</v>
      </c>
      <c r="L20" s="18">
        <v>-2.4991940350059365</v>
      </c>
      <c r="M20" s="18">
        <v>1.6442825803872782E-2</v>
      </c>
      <c r="N20" s="18">
        <v>-0.49800004600862469</v>
      </c>
      <c r="O20" s="18">
        <v>-5.303948164122485E-2</v>
      </c>
      <c r="P20" s="18">
        <v>-0.49800004600862469</v>
      </c>
      <c r="Q20" s="18">
        <v>-5.303948164122485E-2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-8.2872021776130969E-2</v>
      </c>
      <c r="K21" s="18">
        <v>0.12341213438731978</v>
      </c>
      <c r="L21" s="18">
        <v>-0.67150626790104218</v>
      </c>
      <c r="M21" s="18">
        <v>0.50557493315852309</v>
      </c>
      <c r="N21" s="18">
        <v>-0.33192779208895218</v>
      </c>
      <c r="O21" s="18">
        <v>0.16618374853669027</v>
      </c>
      <c r="P21" s="18">
        <v>-0.33192779208895218</v>
      </c>
      <c r="Q21" s="18">
        <v>0.16618374853669027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9.6636964481818192E-3</v>
      </c>
      <c r="K22" s="18">
        <v>1.115719657693357E-2</v>
      </c>
      <c r="L22" s="18">
        <v>0.86614019763356875</v>
      </c>
      <c r="M22" s="18">
        <v>0.39133436185955794</v>
      </c>
      <c r="N22" s="18">
        <v>-1.2852437818476418E-2</v>
      </c>
      <c r="O22" s="18">
        <v>3.2179830714840055E-2</v>
      </c>
      <c r="P22" s="18">
        <v>-1.2852437818476418E-2</v>
      </c>
      <c r="Q22" s="18">
        <v>3.2179830714840055E-2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1.7024474449051758E-4</v>
      </c>
      <c r="K23" s="22">
        <v>9.6522445907514141E-5</v>
      </c>
      <c r="L23" s="22">
        <v>1.7637839871323056</v>
      </c>
      <c r="M23" s="22">
        <v>8.5041759648042586E-2</v>
      </c>
      <c r="N23" s="22">
        <v>-2.4545437506719902E-5</v>
      </c>
      <c r="O23" s="22">
        <v>3.6503492648775509E-4</v>
      </c>
      <c r="P23" s="22">
        <v>-2.4545437506719902E-5</v>
      </c>
      <c r="Q23" s="22">
        <v>3.6503492648775509E-4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0.63095284723404665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0.3981014954327502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0.31696830452158359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2.4084579007005905E-2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1.6113799434515172E-2</v>
      </c>
      <c r="L13" s="18">
        <v>3.2227598869030345E-3</v>
      </c>
      <c r="M13" s="18">
        <v>5.5558412859646378</v>
      </c>
      <c r="N13" s="18">
        <v>5.3694025706067534E-4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2.4362811729677795E-2</v>
      </c>
      <c r="L14" s="18">
        <v>5.8006694594470946E-4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0.16380793350884618</v>
      </c>
      <c r="K19" s="18">
        <v>0.11129612391040415</v>
      </c>
      <c r="L19" s="18">
        <v>1.4718206506519058</v>
      </c>
      <c r="M19" s="18">
        <v>0.14852335357439425</v>
      </c>
      <c r="N19" s="18">
        <v>-6.0796737749355012E-2</v>
      </c>
      <c r="O19" s="18">
        <v>0.38841260476704736</v>
      </c>
      <c r="P19" s="18">
        <v>-6.0796737749355012E-2</v>
      </c>
      <c r="Q19" s="18">
        <v>0.38841260476704736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-0.33497266999512992</v>
      </c>
      <c r="K20" s="18">
        <v>9.3673018148427642E-2</v>
      </c>
      <c r="L20" s="18">
        <v>-3.5759781911196233</v>
      </c>
      <c r="M20" s="18">
        <v>8.944540584964614E-4</v>
      </c>
      <c r="N20" s="18">
        <v>-0.52401247396825201</v>
      </c>
      <c r="O20" s="18">
        <v>-0.14593286602200786</v>
      </c>
      <c r="P20" s="18">
        <v>-0.52401247396825201</v>
      </c>
      <c r="Q20" s="18">
        <v>-0.14593286602200786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-0.47751932373030531</v>
      </c>
      <c r="K21" s="18">
        <v>0.1459649587513156</v>
      </c>
      <c r="L21" s="18">
        <v>-3.2714654792172944</v>
      </c>
      <c r="M21" s="18">
        <v>2.1427618417747991E-3</v>
      </c>
      <c r="N21" s="18">
        <v>-0.77208853623898455</v>
      </c>
      <c r="O21" s="18">
        <v>-0.18295011122162608</v>
      </c>
      <c r="P21" s="18">
        <v>-0.77208853623898455</v>
      </c>
      <c r="Q21" s="18">
        <v>-0.18295011122162608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-9.4967756451287775E-3</v>
      </c>
      <c r="K22" s="18">
        <v>1.1441883885073729E-2</v>
      </c>
      <c r="L22" s="18">
        <v>-0.83000105057154072</v>
      </c>
      <c r="M22" s="18">
        <v>0.4112312431126125</v>
      </c>
      <c r="N22" s="18">
        <v>-3.2587432159369309E-2</v>
      </c>
      <c r="O22" s="18">
        <v>1.3593880869111752E-2</v>
      </c>
      <c r="P22" s="18">
        <v>-3.2587432159369309E-2</v>
      </c>
      <c r="Q22" s="18">
        <v>1.3593880869111752E-2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8.0005232553230257E-5</v>
      </c>
      <c r="K23" s="22">
        <v>8.8771846353676942E-5</v>
      </c>
      <c r="L23" s="22">
        <v>0.90124556195981864</v>
      </c>
      <c r="M23" s="22">
        <v>0.37259700306303412</v>
      </c>
      <c r="N23" s="22">
        <v>-9.9143606298535584E-5</v>
      </c>
      <c r="O23" s="22">
        <v>2.5915407140499611E-4</v>
      </c>
      <c r="P23" s="22">
        <v>-9.9143606298535584E-5</v>
      </c>
      <c r="Q23" s="22">
        <v>2.5915407140499611E-4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0.50571568754932461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0.25574835663348616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0.16105772393191342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2.6781649890878109E-2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1.035182678733497E-2</v>
      </c>
      <c r="L13" s="18">
        <v>2.0703653574669937E-3</v>
      </c>
      <c r="M13" s="18">
        <v>2.8865051422712669</v>
      </c>
      <c r="N13" s="18">
        <v>2.5324814728210743E-2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3.0124784376857998E-2</v>
      </c>
      <c r="L14" s="18">
        <v>7.172567708775714E-4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0.12454025344293686</v>
      </c>
      <c r="K19" s="18">
        <v>0.12300026266380323</v>
      </c>
      <c r="L19" s="18">
        <v>1.012520223500196</v>
      </c>
      <c r="M19" s="18">
        <v>0.31708712855953575</v>
      </c>
      <c r="N19" s="18">
        <v>-0.12368432608074732</v>
      </c>
      <c r="O19" s="18">
        <v>0.37276483296662105</v>
      </c>
      <c r="P19" s="18">
        <v>-0.12368432608074732</v>
      </c>
      <c r="Q19" s="18">
        <v>0.37276483296662105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-0.31505635771923529</v>
      </c>
      <c r="K20" s="18">
        <v>0.10544123013458268</v>
      </c>
      <c r="L20" s="18">
        <v>-2.9879806724286588</v>
      </c>
      <c r="M20" s="18">
        <v>4.6751647516307549E-3</v>
      </c>
      <c r="N20" s="18">
        <v>-0.52784537497650552</v>
      </c>
      <c r="O20" s="18">
        <v>-0.10226734046196503</v>
      </c>
      <c r="P20" s="18">
        <v>-0.52784537497650552</v>
      </c>
      <c r="Q20" s="18">
        <v>-0.10226734046196503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-0.14755884811063355</v>
      </c>
      <c r="K21" s="18">
        <v>9.4654352550333359E-2</v>
      </c>
      <c r="L21" s="18">
        <v>-1.5589230091893314</v>
      </c>
      <c r="M21" s="18">
        <v>0.12651886551038721</v>
      </c>
      <c r="N21" s="18">
        <v>-0.33857906508458779</v>
      </c>
      <c r="O21" s="18">
        <v>4.3461368863320721E-2</v>
      </c>
      <c r="P21" s="18">
        <v>-0.33857906508458779</v>
      </c>
      <c r="Q21" s="18">
        <v>4.3461368863320721E-2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-5.1301572483901702E-3</v>
      </c>
      <c r="K22" s="18">
        <v>7.5869835520671024E-3</v>
      </c>
      <c r="L22" s="18">
        <v>-0.6761787755546721</v>
      </c>
      <c r="M22" s="18">
        <v>0.50263389592884788</v>
      </c>
      <c r="N22" s="18">
        <v>-2.044130993440129E-2</v>
      </c>
      <c r="O22" s="18">
        <v>1.0180995437620952E-2</v>
      </c>
      <c r="P22" s="18">
        <v>-2.044130993440129E-2</v>
      </c>
      <c r="Q22" s="18">
        <v>1.0180995437620952E-2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1.269790687707559E-4</v>
      </c>
      <c r="K23" s="22">
        <v>9.3963151286259014E-5</v>
      </c>
      <c r="L23" s="22">
        <v>1.351370904791324</v>
      </c>
      <c r="M23" s="22">
        <v>0.18381113433667021</v>
      </c>
      <c r="N23" s="22">
        <v>-6.2646247579204963E-5</v>
      </c>
      <c r="O23" s="22">
        <v>3.1660438512071674E-4</v>
      </c>
      <c r="P23" s="22">
        <v>-6.2646247579204963E-5</v>
      </c>
      <c r="Q23" s="22">
        <v>3.1660438512071674E-4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26.28515625" style="18" bestFit="1" customWidth="1"/>
    <col min="11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0.52991942127025393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0.28081459303940087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0.18851122094791525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2.632678704308691E-2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1.1366423091686919E-2</v>
      </c>
      <c r="L13" s="18">
        <v>2.2732846183373839E-3</v>
      </c>
      <c r="M13" s="18">
        <v>3.2798810413851984</v>
      </c>
      <c r="N13" s="18">
        <v>1.3933431254593408E-2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2.9110188072506048E-2</v>
      </c>
      <c r="L14" s="18">
        <v>6.9309971601204878E-4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0.1406351003537096</v>
      </c>
      <c r="K19" s="18">
        <v>0.12162003342686722</v>
      </c>
      <c r="L19" s="18">
        <v>1.1563481475136788</v>
      </c>
      <c r="M19" s="18">
        <v>0.25407403018507185</v>
      </c>
      <c r="N19" s="18">
        <v>-0.10480406380121896</v>
      </c>
      <c r="O19" s="18">
        <v>0.38607426450863813</v>
      </c>
      <c r="P19" s="18">
        <v>-0.10480406380121896</v>
      </c>
      <c r="Q19" s="18">
        <v>0.38607426450863813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-0.29366975823283892</v>
      </c>
      <c r="K20" s="18">
        <v>0.10120190295872404</v>
      </c>
      <c r="L20" s="18">
        <v>-2.9018205156934087</v>
      </c>
      <c r="M20" s="18">
        <v>5.8849017078426878E-3</v>
      </c>
      <c r="N20" s="18">
        <v>-0.49790346688424786</v>
      </c>
      <c r="O20" s="18">
        <v>-8.9436049581429977E-2</v>
      </c>
      <c r="P20" s="18">
        <v>-0.49790346688424786</v>
      </c>
      <c r="Q20" s="18">
        <v>-8.9436049581429977E-2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-0.25659210335830296</v>
      </c>
      <c r="K21" s="18">
        <v>0.12226359219614824</v>
      </c>
      <c r="L21" s="18">
        <v>-2.0986795721382916</v>
      </c>
      <c r="M21" s="18">
        <v>4.1897549928821547E-2</v>
      </c>
      <c r="N21" s="18">
        <v>-0.50333002169020591</v>
      </c>
      <c r="O21" s="18">
        <v>-9.8541850264000364E-3</v>
      </c>
      <c r="P21" s="18">
        <v>-0.50333002169020591</v>
      </c>
      <c r="Q21" s="18">
        <v>-9.8541850264000364E-3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-1.071832599281591E-2</v>
      </c>
      <c r="K22" s="18">
        <v>8.8801727884158209E-3</v>
      </c>
      <c r="L22" s="18">
        <v>-1.2069952069849315</v>
      </c>
      <c r="M22" s="18">
        <v>0.23418807911007541</v>
      </c>
      <c r="N22" s="18">
        <v>-2.8639240214984138E-2</v>
      </c>
      <c r="O22" s="18">
        <v>7.2025882293523177E-3</v>
      </c>
      <c r="P22" s="18">
        <v>-2.8639240214984138E-2</v>
      </c>
      <c r="Q22" s="18">
        <v>7.2025882293523177E-3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8.7432435717761878E-5</v>
      </c>
      <c r="K23" s="22">
        <v>9.7876439074302195E-5</v>
      </c>
      <c r="L23" s="22">
        <v>0.89329399950266042</v>
      </c>
      <c r="M23" s="22">
        <v>0.3767899095970586</v>
      </c>
      <c r="N23" s="22">
        <v>-1.100902151151118E-4</v>
      </c>
      <c r="O23" s="22">
        <v>2.8495508655063557E-4</v>
      </c>
      <c r="P23" s="22">
        <v>-1.100902151151118E-4</v>
      </c>
      <c r="Q23" s="22">
        <v>2.8495508655063557E-4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0.6813488327757582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0.46423623192488811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0.38940158734630603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2.2722917797760693E-2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1.8790709447953802E-2</v>
      </c>
      <c r="L13" s="18">
        <v>3.7581418895907604E-3</v>
      </c>
      <c r="M13" s="18">
        <v>7.278551818051187</v>
      </c>
      <c r="N13" s="18">
        <v>5.8654242335019508E-5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2.1685901716239166E-2</v>
      </c>
      <c r="L14" s="18">
        <v>5.1633099324378969E-4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0.25636278673482554</v>
      </c>
      <c r="K19" s="18">
        <v>0.10981340689184914</v>
      </c>
      <c r="L19" s="18">
        <v>2.334530855483858</v>
      </c>
      <c r="M19" s="18">
        <v>2.4423512025963174E-2</v>
      </c>
      <c r="N19" s="18">
        <v>3.4750359562227745E-2</v>
      </c>
      <c r="O19" s="18">
        <v>0.47797521390742337</v>
      </c>
      <c r="P19" s="18">
        <v>3.4750359562227745E-2</v>
      </c>
      <c r="Q19" s="18">
        <v>0.47797521390742337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-0.31246591560238174</v>
      </c>
      <c r="K20" s="18">
        <v>8.7452053848976308E-2</v>
      </c>
      <c r="L20" s="18">
        <v>-3.5729968805762859</v>
      </c>
      <c r="M20" s="18">
        <v>9.0228416680656622E-4</v>
      </c>
      <c r="N20" s="18">
        <v>-0.48895130534889431</v>
      </c>
      <c r="O20" s="18">
        <v>-0.1359805258558692</v>
      </c>
      <c r="P20" s="18">
        <v>-0.48895130534889431</v>
      </c>
      <c r="Q20" s="18">
        <v>-0.1359805258558692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-0.22191361151546576</v>
      </c>
      <c r="K21" s="18">
        <v>5.5571733500214264E-2</v>
      </c>
      <c r="L21" s="18">
        <v>-3.9932821515206136</v>
      </c>
      <c r="M21" s="18">
        <v>2.5678325577619581E-4</v>
      </c>
      <c r="N21" s="18">
        <v>-0.33406191008615105</v>
      </c>
      <c r="O21" s="18">
        <v>-0.10976531294478048</v>
      </c>
      <c r="P21" s="18">
        <v>-0.33406191008615105</v>
      </c>
      <c r="Q21" s="18">
        <v>-0.10976531294478048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-1.356156161482824E-2</v>
      </c>
      <c r="K22" s="18">
        <v>4.1070735101609969E-3</v>
      </c>
      <c r="L22" s="18">
        <v>-3.3020011892352588</v>
      </c>
      <c r="M22" s="18">
        <v>1.9661402525005048E-3</v>
      </c>
      <c r="N22" s="18">
        <v>-2.1849971517814478E-2</v>
      </c>
      <c r="O22" s="18">
        <v>-5.2731517118420022E-3</v>
      </c>
      <c r="P22" s="18">
        <v>-2.1849971517814478E-2</v>
      </c>
      <c r="Q22" s="18">
        <v>-5.2731517118420022E-3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-1.1942538967976499E-5</v>
      </c>
      <c r="K23" s="22">
        <v>8.6924413186715673E-5</v>
      </c>
      <c r="L23" s="22">
        <v>-0.13738992913675063</v>
      </c>
      <c r="M23" s="22">
        <v>0.89137912743261705</v>
      </c>
      <c r="N23" s="22">
        <v>-1.8736310674831786E-4</v>
      </c>
      <c r="O23" s="22">
        <v>1.6347802881236484E-4</v>
      </c>
      <c r="P23" s="22">
        <v>-1.8736310674831786E-4</v>
      </c>
      <c r="Q23" s="22">
        <v>1.6347802881236484E-4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0.54483287442685413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0.29684286105622826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0.20606599068063097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2.6031765439807911E-2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1.201519306383951E-2</v>
      </c>
      <c r="L13" s="18">
        <v>2.4030386127679021E-3</v>
      </c>
      <c r="M13" s="18">
        <v>3.5461206247835726</v>
      </c>
      <c r="N13" s="18">
        <v>9.3438943631316326E-3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2.8461418100353457E-2</v>
      </c>
      <c r="L14" s="18">
        <v>6.7765281191317758E-4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0.13161481858125207</v>
      </c>
      <c r="K19" s="18">
        <v>0.11941747943678148</v>
      </c>
      <c r="L19" s="18">
        <v>1.1021403164930119</v>
      </c>
      <c r="M19" s="18">
        <v>0.27667648049705762</v>
      </c>
      <c r="N19" s="18">
        <v>-0.10937941166681467</v>
      </c>
      <c r="O19" s="18">
        <v>0.37260904882931878</v>
      </c>
      <c r="P19" s="18">
        <v>-0.10937941166681467</v>
      </c>
      <c r="Q19" s="18">
        <v>0.37260904882931878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-0.28078548323768365</v>
      </c>
      <c r="K20" s="18">
        <v>9.9971927606761449E-2</v>
      </c>
      <c r="L20" s="18">
        <v>-2.8086432857646844</v>
      </c>
      <c r="M20" s="18">
        <v>7.5183757452349067E-3</v>
      </c>
      <c r="N20" s="18">
        <v>-0.48253700113637921</v>
      </c>
      <c r="O20" s="18">
        <v>-7.9033965338988099E-2</v>
      </c>
      <c r="P20" s="18">
        <v>-0.48253700113637921</v>
      </c>
      <c r="Q20" s="18">
        <v>-7.9033965338988099E-2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-0.14198809365018314</v>
      </c>
      <c r="K21" s="18">
        <v>6.2317183882458195E-2</v>
      </c>
      <c r="L21" s="18">
        <v>-2.2784741672216624</v>
      </c>
      <c r="M21" s="18">
        <v>2.7848029433805321E-2</v>
      </c>
      <c r="N21" s="18">
        <v>-0.26774926221454459</v>
      </c>
      <c r="O21" s="18">
        <v>-1.6226925085821686E-2</v>
      </c>
      <c r="P21" s="18">
        <v>-0.26774926221454459</v>
      </c>
      <c r="Q21" s="18">
        <v>-1.6226925085821686E-2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-6.6040843483434657E-3</v>
      </c>
      <c r="K22" s="18">
        <v>4.6159437554272832E-3</v>
      </c>
      <c r="L22" s="18">
        <v>-1.4307116157077495</v>
      </c>
      <c r="M22" s="18">
        <v>0.15991141529787664</v>
      </c>
      <c r="N22" s="18">
        <v>-1.5919435982410329E-2</v>
      </c>
      <c r="O22" s="18">
        <v>2.7112672857233988E-3</v>
      </c>
      <c r="P22" s="18">
        <v>-1.5919435982410329E-2</v>
      </c>
      <c r="Q22" s="18">
        <v>2.7112672857233988E-3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5.379873639184504E-5</v>
      </c>
      <c r="K23" s="22">
        <v>1.0091640225089462E-4</v>
      </c>
      <c r="L23" s="22">
        <v>0.53310200514374873</v>
      </c>
      <c r="M23" s="22">
        <v>0.59677278290837688</v>
      </c>
      <c r="N23" s="22">
        <v>-1.4985880850495163E-4</v>
      </c>
      <c r="O23" s="22">
        <v>2.5745628128864172E-4</v>
      </c>
      <c r="P23" s="22">
        <v>-1.4985880850495163E-4</v>
      </c>
      <c r="Q23" s="22">
        <v>2.5745628128864172E-4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0.46055090717677605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0.21210713810135137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0.11326019887290864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2.7555672223144909E-2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8.5853781540781784E-3</v>
      </c>
      <c r="L13" s="18">
        <v>1.7170756308156356E-3</v>
      </c>
      <c r="M13" s="18">
        <v>2.2613480159698947</v>
      </c>
      <c r="N13" s="18">
        <v>6.6190664972485269E-2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3.1891233010114789E-2</v>
      </c>
      <c r="L14" s="18">
        <v>7.5931507166939979E-4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9.6464202226441337E-2</v>
      </c>
      <c r="K19" s="18">
        <v>0.12614073524099548</v>
      </c>
      <c r="L19" s="18">
        <v>0.764734738878315</v>
      </c>
      <c r="M19" s="18">
        <v>0.44870519363563099</v>
      </c>
      <c r="N19" s="18">
        <v>-0.15809810754347761</v>
      </c>
      <c r="O19" s="18">
        <v>0.35102651199636026</v>
      </c>
      <c r="P19" s="18">
        <v>-0.15809810754347761</v>
      </c>
      <c r="Q19" s="18">
        <v>0.35102651199636026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-0.27454958673455904</v>
      </c>
      <c r="K20" s="18">
        <v>0.1056382887599447</v>
      </c>
      <c r="L20" s="18">
        <v>-2.5989590512816139</v>
      </c>
      <c r="M20" s="18">
        <v>1.2845551208023718E-2</v>
      </c>
      <c r="N20" s="18">
        <v>-0.48773628439805494</v>
      </c>
      <c r="O20" s="18">
        <v>-6.1362889071063104E-2</v>
      </c>
      <c r="P20" s="18">
        <v>-0.48773628439805494</v>
      </c>
      <c r="Q20" s="18">
        <v>-6.1362889071063104E-2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1.7491785614194701E-2</v>
      </c>
      <c r="K21" s="18">
        <v>0.10281860835442537</v>
      </c>
      <c r="L21" s="18">
        <v>0.1701227617660305</v>
      </c>
      <c r="M21" s="18">
        <v>0.86573044014294687</v>
      </c>
      <c r="N21" s="18">
        <v>-0.19000456661512696</v>
      </c>
      <c r="O21" s="18">
        <v>0.22498813784351637</v>
      </c>
      <c r="P21" s="18">
        <v>-0.19000456661512696</v>
      </c>
      <c r="Q21" s="18">
        <v>0.22498813784351637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4.1266621681614827E-3</v>
      </c>
      <c r="K22" s="18">
        <v>6.8357835489323603E-3</v>
      </c>
      <c r="L22" s="18">
        <v>0.6036853183869465</v>
      </c>
      <c r="M22" s="18">
        <v>0.54929968454464695</v>
      </c>
      <c r="N22" s="18">
        <v>-9.668507536366255E-3</v>
      </c>
      <c r="O22" s="18">
        <v>1.7921831872689219E-2</v>
      </c>
      <c r="P22" s="18">
        <v>-9.668507536366255E-3</v>
      </c>
      <c r="Q22" s="18">
        <v>1.7921831872689219E-2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1.7483661280925328E-4</v>
      </c>
      <c r="K23" s="22">
        <v>1.0103325543788354E-4</v>
      </c>
      <c r="L23" s="22">
        <v>1.730485789569999</v>
      </c>
      <c r="M23" s="22">
        <v>9.0885928446239342E-2</v>
      </c>
      <c r="N23" s="22">
        <v>-2.905675136612176E-5</v>
      </c>
      <c r="O23" s="22">
        <v>3.7872997698462836E-4</v>
      </c>
      <c r="P23" s="22">
        <v>-2.905675136612176E-5</v>
      </c>
      <c r="Q23" s="22">
        <v>3.7872997698462836E-4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-4.2010823127314398E-3</v>
      </c>
      <c r="C2" s="16">
        <f>'ALL VARS'!G2</f>
        <v>-1.8124311453853758E-3</v>
      </c>
      <c r="D2" s="16">
        <f>'ALL VARS'!H2</f>
        <v>1.4603014350616615E-2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-1.8124311453853758E-3</v>
      </c>
      <c r="C3" s="16">
        <f>'ALL VARS'!G3</f>
        <v>1.4603014350616615E-2</v>
      </c>
      <c r="D3" s="16">
        <f>'ALL VARS'!H3</f>
        <v>-2.5893692008919921E-3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1.4603014350616615E-2</v>
      </c>
      <c r="C4" s="16">
        <f>'ALL VARS'!G4</f>
        <v>-2.5893692008919921E-3</v>
      </c>
      <c r="D4" s="16">
        <f>'ALL VARS'!H4</f>
        <v>1.0392441860465167E-2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-2.5893692008919921E-3</v>
      </c>
      <c r="C5" s="16">
        <f>'ALL VARS'!G5</f>
        <v>1.0392441860465167E-2</v>
      </c>
      <c r="D5" s="16">
        <f>'ALL VARS'!H5</f>
        <v>1.1801904481782343E-2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0.59024443895735046</v>
      </c>
    </row>
    <row r="6" spans="1:14" x14ac:dyDescent="0.25">
      <c r="A6" s="20">
        <f>'ALL VARS'!A6</f>
        <v>43976</v>
      </c>
      <c r="B6" s="16">
        <f>'ALL VARS'!F6</f>
        <v>1.0392441860465167E-2</v>
      </c>
      <c r="C6" s="16">
        <f>'ALL VARS'!G6</f>
        <v>1.1801904481782343E-2</v>
      </c>
      <c r="D6" s="16">
        <f>'ALL VARS'!H6</f>
        <v>8.5657075051913459E-3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0.34838849772007746</v>
      </c>
    </row>
    <row r="7" spans="1:14" x14ac:dyDescent="0.25">
      <c r="A7" s="20">
        <f>'ALL VARS'!A7</f>
        <v>43973</v>
      </c>
      <c r="B7" s="16">
        <f>'ALL VARS'!F7</f>
        <v>1.1801904481782343E-2</v>
      </c>
      <c r="C7" s="16">
        <f>'ALL VARS'!G7</f>
        <v>8.5657075051913459E-3</v>
      </c>
      <c r="D7" s="16">
        <f>'ALL VARS'!H7</f>
        <v>-9.8762712486690808E-3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0.26252073559818012</v>
      </c>
    </row>
    <row r="8" spans="1:14" x14ac:dyDescent="0.25">
      <c r="A8" s="20">
        <f>'ALL VARS'!A8</f>
        <v>43972</v>
      </c>
      <c r="B8" s="16">
        <f>'ALL VARS'!F8</f>
        <v>8.5657075051913459E-3</v>
      </c>
      <c r="C8" s="16">
        <f>'ALL VARS'!G8</f>
        <v>-9.8762712486690808E-3</v>
      </c>
      <c r="D8" s="16">
        <f>'ALL VARS'!H8</f>
        <v>-1.0571054925893521E-2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2.5059465186356072E-2</v>
      </c>
    </row>
    <row r="9" spans="1:14" ht="15.75" thickBot="1" x14ac:dyDescent="0.3">
      <c r="A9" s="20">
        <f>'ALL VARS'!A9</f>
        <v>43971</v>
      </c>
      <c r="B9" s="16">
        <f>'ALL VARS'!F9</f>
        <v>-9.8762712486690808E-3</v>
      </c>
      <c r="C9" s="16">
        <f>'ALL VARS'!G9</f>
        <v>-1.0571054925893521E-2</v>
      </c>
      <c r="D9" s="16">
        <f>'ALL VARS'!H9</f>
        <v>2.2357572606402667E-2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-1.0571054925893521E-2</v>
      </c>
      <c r="C10" s="16">
        <f>'ALL VARS'!G10</f>
        <v>2.2357572606402667E-2</v>
      </c>
      <c r="D10" s="16">
        <f>'ALL VARS'!H10</f>
        <v>-1.3229743101110469E-2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2.2357572606402667E-2</v>
      </c>
      <c r="C11" s="16">
        <f>'ALL VARS'!G11</f>
        <v>-1.3229743101110469E-2</v>
      </c>
      <c r="D11" s="16">
        <f>'ALL VARS'!H11</f>
        <v>2.6087595532039223E-3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-1.3229743101110469E-2</v>
      </c>
      <c r="C12" s="16">
        <f>'ALL VARS'!G12</f>
        <v>2.6087595532039223E-3</v>
      </c>
      <c r="D12" s="16">
        <f>'ALL VARS'!H12</f>
        <v>-3.1906946964037883E-2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2.6087595532039223E-3</v>
      </c>
      <c r="C13" s="16">
        <f>'ALL VARS'!G13</f>
        <v>-3.1906946964037883E-2</v>
      </c>
      <c r="D13" s="16">
        <f>'ALL VARS'!H13</f>
        <v>-2.2360550841563524E-2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1.4101585756292903E-2</v>
      </c>
      <c r="L13" s="18">
        <v>2.8203171512585805E-3</v>
      </c>
      <c r="M13" s="18">
        <v>4.4911168243796373</v>
      </c>
      <c r="N13" s="18">
        <v>2.3506519852939658E-3</v>
      </c>
    </row>
    <row r="14" spans="1:14" x14ac:dyDescent="0.25">
      <c r="A14" s="20">
        <f>'ALL VARS'!A14</f>
        <v>43963</v>
      </c>
      <c r="B14" s="16">
        <f>'ALL VARS'!F14</f>
        <v>-3.1906946964037883E-2</v>
      </c>
      <c r="C14" s="16">
        <f>'ALL VARS'!G14</f>
        <v>-2.2360550841563524E-2</v>
      </c>
      <c r="D14" s="16">
        <f>'ALL VARS'!H14</f>
        <v>2.2326507394766888E-2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2.6375025407900064E-2</v>
      </c>
      <c r="L14" s="18">
        <v>6.2797679542619196E-4</v>
      </c>
    </row>
    <row r="15" spans="1:14" ht="15.75" thickBot="1" x14ac:dyDescent="0.3">
      <c r="A15" s="20">
        <f>'ALL VARS'!A15</f>
        <v>43962</v>
      </c>
      <c r="B15" s="16">
        <f>'ALL VARS'!F15</f>
        <v>-2.2360550841563524E-2</v>
      </c>
      <c r="C15" s="16">
        <f>'ALL VARS'!G15</f>
        <v>2.2326507394766888E-2</v>
      </c>
      <c r="D15" s="16">
        <f>'ALL VARS'!H15</f>
        <v>1.1071171818835313E-2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4.0476611164192967E-2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2.2326507394766888E-2</v>
      </c>
      <c r="C16" s="16">
        <f>'ALL VARS'!G16</f>
        <v>1.1071171818835313E-2</v>
      </c>
      <c r="D16" s="16">
        <f>'ALL VARS'!H16</f>
        <v>-9.0828138913624634E-3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1.1071171818835313E-2</v>
      </c>
      <c r="C17" s="16">
        <f>'ALL VARS'!G17</f>
        <v>-9.0828138913624634E-3</v>
      </c>
      <c r="D17" s="16">
        <f>'ALL VARS'!H17</f>
        <v>-3.1246671164293417E-3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-9.0828138913624634E-3</v>
      </c>
      <c r="C18" s="16">
        <f>'ALL VARS'!G18</f>
        <v>-3.1246671164293417E-3</v>
      </c>
      <c r="D18" s="16">
        <f>'ALL VARS'!H18</f>
        <v>1.9364412914434716E-2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-3.1246671164293417E-3</v>
      </c>
      <c r="C19" s="16">
        <f>'ALL VARS'!G19</f>
        <v>1.9364412914434716E-2</v>
      </c>
      <c r="D19" s="16">
        <f>'ALL VARS'!H19</f>
        <v>4.6180138904039197E-3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0.12043745575689156</v>
      </c>
      <c r="K19" s="18">
        <v>0.11451587666804532</v>
      </c>
      <c r="L19" s="18">
        <v>1.0517096778293153</v>
      </c>
      <c r="M19" s="18">
        <v>0.29894639018579555</v>
      </c>
      <c r="N19" s="18">
        <v>-0.11066493962910449</v>
      </c>
      <c r="O19" s="18">
        <v>0.3515398511428876</v>
      </c>
      <c r="P19" s="18">
        <v>-0.11066493962910449</v>
      </c>
      <c r="Q19" s="18">
        <v>0.3515398511428876</v>
      </c>
    </row>
    <row r="20" spans="1:17" x14ac:dyDescent="0.25">
      <c r="A20" s="20">
        <f>'ALL VARS'!A20</f>
        <v>43955</v>
      </c>
      <c r="B20" s="16">
        <f>'ALL VARS'!F20</f>
        <v>1.9364412914434716E-2</v>
      </c>
      <c r="C20" s="16">
        <f>'ALL VARS'!G20</f>
        <v>4.6180138904039197E-3</v>
      </c>
      <c r="D20" s="16">
        <f>'ALL VARS'!H20</f>
        <v>-2.0445235975066818E-2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-0.33331415665942138</v>
      </c>
      <c r="K20" s="18">
        <v>9.8856120213104845E-2</v>
      </c>
      <c r="L20" s="18">
        <v>-3.3717098743193001</v>
      </c>
      <c r="M20" s="18">
        <v>1.6133746767019396E-3</v>
      </c>
      <c r="N20" s="18">
        <v>-0.53281388407310903</v>
      </c>
      <c r="O20" s="18">
        <v>-0.13381442924573375</v>
      </c>
      <c r="P20" s="18">
        <v>-0.53281388407310903</v>
      </c>
      <c r="Q20" s="18">
        <v>-0.13381442924573375</v>
      </c>
    </row>
    <row r="21" spans="1:17" x14ac:dyDescent="0.25">
      <c r="A21" s="20">
        <f>'ALL VARS'!A21</f>
        <v>43952</v>
      </c>
      <c r="B21" s="16">
        <f>'ALL VARS'!F21</f>
        <v>4.6180138904039197E-3</v>
      </c>
      <c r="C21" s="16">
        <f>'ALL VARS'!G21</f>
        <v>-2.0445235975066818E-2</v>
      </c>
      <c r="D21" s="16">
        <f>'ALL VARS'!H21</f>
        <v>-2.8781955927629964E-2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-0.42576124065940496</v>
      </c>
      <c r="K21" s="18">
        <v>0.18796357833404029</v>
      </c>
      <c r="L21" s="18">
        <v>-2.2651262783620854</v>
      </c>
      <c r="M21" s="18">
        <v>2.8724201434400305E-2</v>
      </c>
      <c r="N21" s="18">
        <v>-0.80508709889161345</v>
      </c>
      <c r="O21" s="18">
        <v>-4.6435382427196525E-2</v>
      </c>
      <c r="P21" s="18">
        <v>-0.80508709889161345</v>
      </c>
      <c r="Q21" s="18">
        <v>-4.6435382427196525E-2</v>
      </c>
    </row>
    <row r="22" spans="1:17" x14ac:dyDescent="0.25">
      <c r="A22" s="20">
        <f>'ALL VARS'!A22</f>
        <v>43951</v>
      </c>
      <c r="B22" s="16">
        <f>'ALL VARS'!F22</f>
        <v>-2.0445235975066818E-2</v>
      </c>
      <c r="C22" s="16">
        <f>'ALL VARS'!G22</f>
        <v>-2.8781955927629964E-2</v>
      </c>
      <c r="D22" s="16">
        <f>'ALL VARS'!H22</f>
        <v>1.5599198960053394E-2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-7.7513007832531924E-3</v>
      </c>
      <c r="K22" s="18">
        <v>1.4448038757175544E-2</v>
      </c>
      <c r="L22" s="18">
        <v>-0.53649501593450177</v>
      </c>
      <c r="M22" s="18">
        <v>0.59444699047615779</v>
      </c>
      <c r="N22" s="18">
        <v>-3.690862344072092E-2</v>
      </c>
      <c r="O22" s="18">
        <v>2.1406021874214538E-2</v>
      </c>
      <c r="P22" s="18">
        <v>-3.690862344072092E-2</v>
      </c>
      <c r="Q22" s="18">
        <v>2.1406021874214538E-2</v>
      </c>
    </row>
    <row r="23" spans="1:17" ht="15.75" thickBot="1" x14ac:dyDescent="0.3">
      <c r="A23" s="20">
        <f>'ALL VARS'!A23</f>
        <v>43950</v>
      </c>
      <c r="B23" s="16">
        <f>'ALL VARS'!F23</f>
        <v>-2.8781955927629964E-2</v>
      </c>
      <c r="C23" s="16">
        <f>'ALL VARS'!G23</f>
        <v>1.5599198960053394E-2</v>
      </c>
      <c r="D23" s="16">
        <f>'ALL VARS'!H23</f>
        <v>6.9695039977356902E-3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8.1641193634495387E-5</v>
      </c>
      <c r="K23" s="22">
        <v>9.0039386866221875E-5</v>
      </c>
      <c r="L23" s="22">
        <v>0.90672756085951256</v>
      </c>
      <c r="M23" s="22">
        <v>0.36972382214343114</v>
      </c>
      <c r="N23" s="22">
        <v>-1.0006564553321848E-4</v>
      </c>
      <c r="O23" s="22">
        <v>2.6334803280220925E-4</v>
      </c>
      <c r="P23" s="22">
        <v>-1.0006564553321848E-4</v>
      </c>
      <c r="Q23" s="22">
        <v>2.6334803280220925E-4</v>
      </c>
    </row>
    <row r="24" spans="1:17" x14ac:dyDescent="0.25">
      <c r="A24" s="20">
        <f>'ALL VARS'!A24</f>
        <v>43949</v>
      </c>
      <c r="B24" s="16">
        <f>'ALL VARS'!F24</f>
        <v>1.5599198960053394E-2</v>
      </c>
      <c r="C24" s="16">
        <f>'ALL VARS'!G24</f>
        <v>6.9695039977356902E-3</v>
      </c>
      <c r="D24" s="16">
        <f>'ALL VARS'!H24</f>
        <v>3.5764016123122203E-2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6.9695039977356902E-3</v>
      </c>
      <c r="C25" s="16">
        <f>'ALL VARS'!G25</f>
        <v>3.5764016123122203E-2</v>
      </c>
      <c r="D25" s="16">
        <f>'ALL VARS'!H25</f>
        <v>-1.1712173340167264E-3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3.5764016123122203E-2</v>
      </c>
      <c r="C26" s="16">
        <f>'ALL VARS'!G26</f>
        <v>-1.1712173340167264E-3</v>
      </c>
      <c r="D26" s="16">
        <f>'ALL VARS'!H26</f>
        <v>-1.6592880538458615E-2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-1.1712173340167264E-3</v>
      </c>
      <c r="C27" s="16">
        <f>'ALL VARS'!G27</f>
        <v>-1.6592880538458615E-2</v>
      </c>
      <c r="D27" s="16">
        <f>'ALL VARS'!H27</f>
        <v>2.7439813616360189E-2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-1.6592880538458615E-2</v>
      </c>
      <c r="C28" s="16">
        <f>'ALL VARS'!G28</f>
        <v>2.7439813616360189E-2</v>
      </c>
      <c r="D28" s="16">
        <f>'ALL VARS'!H28</f>
        <v>-3.5145935916648705E-2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2.7439813616360189E-2</v>
      </c>
      <c r="C29" s="16">
        <f>'ALL VARS'!G29</f>
        <v>-3.5145935916648705E-2</v>
      </c>
      <c r="D29" s="16">
        <f>'ALL VARS'!H29</f>
        <v>-1.0556045895851754E-2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-3.5145935916648705E-2</v>
      </c>
      <c r="C30" s="16">
        <f>'ALL VARS'!G30</f>
        <v>-1.0556045895851754E-2</v>
      </c>
      <c r="D30" s="16">
        <f>'ALL VARS'!H30</f>
        <v>2.7720329451035832E-2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-1.0556045895851754E-2</v>
      </c>
      <c r="C31" s="16">
        <f>'ALL VARS'!G31</f>
        <v>2.7720329451035832E-2</v>
      </c>
      <c r="D31" s="16">
        <f>'ALL VARS'!H31</f>
        <v>6.2798933878565385E-3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2.7720329451035832E-2</v>
      </c>
      <c r="C32" s="16">
        <f>'ALL VARS'!G32</f>
        <v>6.2798933878565385E-3</v>
      </c>
      <c r="D32" s="16">
        <f>'ALL VARS'!H32</f>
        <v>-3.2805989123525746E-2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6.2798933878565385E-3</v>
      </c>
      <c r="C33" s="16">
        <f>'ALL VARS'!G33</f>
        <v>-3.2805989123525746E-2</v>
      </c>
      <c r="D33" s="16">
        <f>'ALL VARS'!H33</f>
        <v>1.0202625570776305E-2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-3.2805989123525746E-2</v>
      </c>
      <c r="C34" s="16">
        <f>'ALL VARS'!G34</f>
        <v>1.0202625570776305E-2</v>
      </c>
      <c r="D34" s="16">
        <f>'ALL VARS'!H34</f>
        <v>-1.6248464642919794E-2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1.0202625570776305E-2</v>
      </c>
      <c r="C35" s="16">
        <f>'ALL VARS'!G35</f>
        <v>-1.6248464642919794E-2</v>
      </c>
      <c r="D35" s="16">
        <f>'ALL VARS'!H35</f>
        <v>1.279545050648646E-2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-1.6248464642919794E-2</v>
      </c>
      <c r="C36" s="16">
        <f>'ALL VARS'!G36</f>
        <v>1.279545050648646E-2</v>
      </c>
      <c r="D36" s="16">
        <f>'ALL VARS'!H36</f>
        <v>2.2013149769334165E-2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1.279545050648646E-2</v>
      </c>
      <c r="C37" s="16">
        <f>'ALL VARS'!G37</f>
        <v>2.2013149769334165E-2</v>
      </c>
      <c r="D37" s="16">
        <f>'ALL VARS'!H37</f>
        <v>-1.450905001994912E-3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2.2013149769334165E-2</v>
      </c>
      <c r="C38" s="16">
        <f>'ALL VARS'!G38</f>
        <v>-1.450905001994912E-3</v>
      </c>
      <c r="D38" s="16">
        <f>'ALL VARS'!H38</f>
        <v>7.3559190031152591E-2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-1.450905001994912E-3</v>
      </c>
      <c r="C39" s="16">
        <f>'ALL VARS'!G39</f>
        <v>7.3559190031152591E-2</v>
      </c>
      <c r="D39" s="16">
        <f>'ALL VARS'!H39</f>
        <v>-1.7447199265381092E-2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7.3559190031152591E-2</v>
      </c>
      <c r="C40" s="16">
        <f>'ALL VARS'!G40</f>
        <v>-1.7447199265381092E-2</v>
      </c>
      <c r="D40" s="16">
        <f>'ALL VARS'!H40</f>
        <v>1.6964980544747134E-2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-1.7447199265381092E-2</v>
      </c>
      <c r="C41" s="16">
        <f>'ALL VARS'!G41</f>
        <v>1.6964980544747134E-2</v>
      </c>
      <c r="D41" s="16">
        <f>'ALL VARS'!H41</f>
        <v>-5.0960118168389995E-2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1.6964980544747134E-2</v>
      </c>
      <c r="C42" s="16">
        <f>'ALL VARS'!G42</f>
        <v>-5.0960118168389995E-2</v>
      </c>
      <c r="D42" s="16">
        <f>'ALL VARS'!H42</f>
        <v>2.9344686027064117E-2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-5.0960118168389995E-2</v>
      </c>
      <c r="C43" s="16">
        <f>'ALL VARS'!G43</f>
        <v>2.9344686027064117E-2</v>
      </c>
      <c r="D43" s="16">
        <f>'ALL VARS'!H43</f>
        <v>4.5212554628526004E-2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2.9344686027064117E-2</v>
      </c>
      <c r="C44" s="16">
        <f>'ALL VARS'!G44</f>
        <v>4.5212554628526004E-2</v>
      </c>
      <c r="D44" s="16">
        <f>'ALL VARS'!H44</f>
        <v>-4.0777439024390204E-2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4.5212554628526004E-2</v>
      </c>
      <c r="C45" s="16">
        <f>'ALL VARS'!G45</f>
        <v>-4.0777439024390204E-2</v>
      </c>
      <c r="D45" s="16">
        <f>'ALL VARS'!H45</f>
        <v>3.2176854692785695E-2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-4.0777439024390204E-2</v>
      </c>
      <c r="C46" s="16">
        <f>'ALL VARS'!G46</f>
        <v>3.2176854692785695E-2</v>
      </c>
      <c r="D46" s="16">
        <f>'ALL VARS'!H46</f>
        <v>0.1187290969899665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3.2176854692785695E-2</v>
      </c>
      <c r="C47" s="16">
        <f>'ALL VARS'!G47</f>
        <v>0.1187290969899665</v>
      </c>
      <c r="D47" s="16">
        <f>'ALL VARS'!H47</f>
        <v>0.11797697530256823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0.1187290969899665</v>
      </c>
      <c r="C48" s="16">
        <f>'ALL VARS'!G48</f>
        <v>0.11797697530256823</v>
      </c>
      <c r="D48" s="16">
        <f>'ALL VARS'!H48</f>
        <v>-0.1311447379670001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>
        <f>IF('Eq7 avec Sent_t'!M21&lt;0.1,'Eq7 avec Sent_t'!J21,"-")</f>
        <v>-4.5019541789322978E-2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-0.76975386042446281</v>
      </c>
      <c r="E6" s="7">
        <f>IF('Eq7 avec Sent__t_k, k=0'!M22&lt;0.1,'Eq7 avec Sent__t_k, k=0'!J22,"-")</f>
        <v>-5.85029619137417E-2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>
        <f>IF('Eq7 avec Sent__t_k, k=1'!M21&lt;0.1,'Eq7 avec Sent__t_k, k=1'!J21,"-")</f>
        <v>-1.2045882604510203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-0.47751932373030531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>
        <f>IF('Eq7 avec Sent__t_k, k=5'!M21&lt;0.1,'Eq7 avec Sent__t_k, k=5'!J21,"-")</f>
        <v>-0.25659210335830296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 t="str">
        <f>IF('Eq4 avec Sent__t_+_1_k, k=6'!M21&lt;0.1,'Eq4 avec Sent__t_+_1_k, k=6'!J21,"-")</f>
        <v>-</v>
      </c>
      <c r="C12" s="7">
        <f>IF('Eq4 avec Sent__t_+_1_k, k=6'!M22&lt;0.1,'Eq4 avec Sent__t_+_1_k, k=6'!J22,"-")</f>
        <v>9.415347305193068E-3</v>
      </c>
      <c r="D12" s="7">
        <f>IF('Eq7 avec Sent__t_k, k=6'!M21&lt;0.1,'Eq7 avec Sent__t_k, k=6'!J21,"-")</f>
        <v>-0.22191361151546576</v>
      </c>
      <c r="E12" s="7">
        <f>IF('Eq7 avec Sent__t_k, k=6'!M22&lt;0.1,'Eq7 avec Sent__t_k, k=6'!J22,"-")</f>
        <v>-1.356156161482824E-2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>
        <f>IF('Eq7 avec Sent__t_k, k=7'!M21&lt;0.1,'Eq7 avec Sent__t_k, k=7'!J21,"-")</f>
        <v>-0.14198809365018314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>
        <f>IF('Eq7 avec Sent__t_k, k=9'!M21&lt;0.1,'Eq7 avec Sent__t_k, k=9'!J21,"-")</f>
        <v>-0.42576124065940496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