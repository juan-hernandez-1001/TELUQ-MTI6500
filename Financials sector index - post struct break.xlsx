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47E3D842-8D08-4CAE-8271-069AF82748B0}" xr6:coauthVersionLast="47" xr6:coauthVersionMax="47" xr10:uidLastSave="{00000000-0000-0000-0000-000000000000}"/>
  <bookViews>
    <workbookView xWindow="-120" yWindow="-120" windowWidth="20730" windowHeight="11160" firstSheet="2" activeTab="2" xr2:uid="{795554E3-061B-4252-AEC4-092F66015514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/>
  <c r="D15" i="112"/>
  <c r="E14" i="112"/>
  <c r="D14" i="112"/>
  <c r="E13" i="112"/>
  <c r="D13" i="112"/>
  <c r="E12" i="112"/>
  <c r="D12" i="112"/>
  <c r="E11" i="112"/>
  <c r="D11" i="112"/>
  <c r="E10" i="112"/>
  <c r="D10" i="112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15" i="112" l="1"/>
  <c r="I15" i="112" s="1"/>
  <c r="G14" i="112"/>
  <c r="I14" i="112" s="1"/>
  <c r="G13" i="112"/>
  <c r="I13" i="112" s="1"/>
  <c r="G12" i="112"/>
  <c r="I12" i="112" s="1"/>
  <c r="G11" i="112"/>
  <c r="I11" i="112" s="1"/>
  <c r="G10" i="112"/>
  <c r="I10" i="112" s="1"/>
  <c r="G9" i="112"/>
  <c r="I9" i="112" s="1"/>
  <c r="G8" i="112"/>
  <c r="I8" i="112" s="1"/>
  <c r="G7" i="112"/>
  <c r="I7" i="112" s="1"/>
  <c r="G6" i="112"/>
  <c r="I6" i="112" s="1"/>
  <c r="G5" i="112"/>
  <c r="I5" i="112" s="1"/>
  <c r="H15" i="112" l="1"/>
  <c r="J15" i="112" s="1"/>
  <c r="H14" i="112"/>
  <c r="J14" i="112" s="1"/>
  <c r="H13" i="112"/>
  <c r="J13" i="112" s="1"/>
  <c r="H12" i="112"/>
  <c r="J12" i="112" s="1"/>
  <c r="H11" i="112"/>
  <c r="J11" i="112" s="1"/>
  <c r="H10" i="112"/>
  <c r="J10" i="112" s="1"/>
  <c r="H9" i="112"/>
  <c r="J9" i="112" s="1"/>
  <c r="H8" i="112"/>
  <c r="J8" i="112" s="1"/>
  <c r="H7" i="112"/>
  <c r="J7" i="112" s="1"/>
  <c r="H6" i="112"/>
  <c r="J6" i="112" s="1"/>
  <c r="H5" i="112"/>
  <c r="J5" i="112" s="1"/>
  <c r="B16" i="112"/>
  <c r="A1" i="97" l="1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6" i="99" l="1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<sst xmlns="http://schemas.openxmlformats.org/spreadsheetml/2006/main" count="768" uniqueCount="106">
  <si>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</si>
  <si>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</si>
  <si>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</si>
  <si>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</si>
  <si>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</si>
  <si>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</si>
  <si>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</si>
  <si>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</si>
  <si>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</si>
  <si>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</si>
  <si>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</si>
  <si>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</si>
  <si>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</si>
  <si>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</si>
  <si>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</si>
  <si>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</si>
  <si>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</si>
  <si>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</si>
  <si>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</si>
  <si>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</si>
  <si>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</si>
  <si>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</si>
  <si>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</si>
  <si>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</si>
  <si>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</si>
  <si>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</si>
  <si>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</si>
  <si>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</si>
  <si>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</si>
  <si>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</si>
  <si>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</si>
  <si>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</si>
  <si>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</si>
  <si>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</si>
  <si>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</si>
  <si>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</si>
  <si>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</si>
  <si>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</si>
  <si>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</si>
  <si>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</si>
  <si>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</si>
  <si>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</si>
  <si>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</si>
  <si>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</si>
  <si>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</si>
  <si>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</si>
  <si>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</si>
  <si>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</si>
  <si>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</si>
  <si>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</si>
  <si>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</si>
  <si>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</si>
  <si>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</si>
  <si>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</si>
  <si>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</si>
  <si>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</si>
  <si>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</si>
  <si>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</si>
  <si>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</si>
  <si>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</si>
  <si>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</si>
  <si>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</si>
  <si>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</si>
  <si>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</si>
  <si>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</si>
  <si>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</si>
  <si>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</si>
  <si>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</si>
  <si>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</si>
  <si>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</si>
  <si>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</si>
  <si>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</si>
  <si>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</si>
  <si>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</si>
  <si>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</si>
  <si>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</si>
  <si>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</si>
  <si>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</si>
  <si>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</si>
  <si>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</si>
  <si>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</si>
  <si>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</si>
  <si>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</si>
  <si>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</si>
  <si>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</si>
  <si>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</si>
  <si>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</si>
  <si>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</si>
  <si>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</si>
  <si>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</si>
  <si>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</si>
  <si>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</si>
  <si>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</si>
  <si>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</si>
  <si>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</si>
  <si>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</si>
  <si>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</si>
  <si>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</si>
  <si>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c3 ou d3 null?</t>
  </si>
  <si>
    <t>Overreaction + -</t>
  </si>
  <si>
    <t>Overreaction -+</t>
  </si>
  <si>
    <t>Overreaction</t>
  </si>
  <si>
    <t>Overreaction =</t>
  </si>
  <si>
    <t>S&amp;P/TSX Financials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</si>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</sst>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1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0</c:formatCode>
                <c:ptCount val="47"/>
                <c:pt idx="0">
                  <c:v>249.63</c:v>
                </c:pt>
                <c:pt idx="1">
                  <c:v>254.94</c:v>
                </c:pt>
                <c:pt idx="2">
                  <c:v>258.52</c:v>
                </c:pt>
                <c:pt idx="3">
                  <c:v>250.43</c:v>
                </c:pt>
                <c:pt idx="4">
                  <c:v>238.04</c:v>
                </c:pt>
                <c:pt idx="5">
                  <c:v>234.06</c:v>
                </c:pt>
                <c:pt idx="6">
                  <c:v>236.16</c:v>
                </c:pt>
                <c:pt idx="7">
                  <c:v>238.45</c:v>
                </c:pt>
                <c:pt idx="8">
                  <c:v>235.26</c:v>
                </c:pt>
                <c:pt idx="9">
                  <c:v>230.9</c:v>
                </c:pt>
                <c:pt idx="10">
                  <c:v>232.65</c:v>
                </c:pt>
                <c:pt idx="11">
                  <c:v>232.66</c:v>
                </c:pt>
                <c:pt idx="12">
                  <c:v>241.99</c:v>
                </c:pt>
                <c:pt idx="13">
                  <c:v>246.96</c:v>
                </c:pt>
                <c:pt idx="14">
                  <c:v>244.39</c:v>
                </c:pt>
                <c:pt idx="15">
                  <c:v>240.9</c:v>
                </c:pt>
                <c:pt idx="16">
                  <c:v>242.61</c:v>
                </c:pt>
                <c:pt idx="17">
                  <c:v>242.25</c:v>
                </c:pt>
                <c:pt idx="18">
                  <c:v>243.92</c:v>
                </c:pt>
                <c:pt idx="19">
                  <c:v>243.26</c:v>
                </c:pt>
                <c:pt idx="20">
                  <c:v>248.54</c:v>
                </c:pt>
                <c:pt idx="21">
                  <c:v>257.58</c:v>
                </c:pt>
                <c:pt idx="22">
                  <c:v>247.01</c:v>
                </c:pt>
                <c:pt idx="23">
                  <c:v>243.65</c:v>
                </c:pt>
                <c:pt idx="24">
                  <c:v>236.55</c:v>
                </c:pt>
                <c:pt idx="25">
                  <c:v>234.83</c:v>
                </c:pt>
                <c:pt idx="26">
                  <c:v>236.83</c:v>
                </c:pt>
                <c:pt idx="27">
                  <c:v>235.39</c:v>
                </c:pt>
                <c:pt idx="28">
                  <c:v>245.33</c:v>
                </c:pt>
                <c:pt idx="29">
                  <c:v>246.82</c:v>
                </c:pt>
                <c:pt idx="30">
                  <c:v>236.14</c:v>
                </c:pt>
                <c:pt idx="31">
                  <c:v>241.89</c:v>
                </c:pt>
                <c:pt idx="32">
                  <c:v>250.33</c:v>
                </c:pt>
                <c:pt idx="33">
                  <c:v>249.01</c:v>
                </c:pt>
                <c:pt idx="34">
                  <c:v>256.08</c:v>
                </c:pt>
                <c:pt idx="35">
                  <c:v>252.2</c:v>
                </c:pt>
                <c:pt idx="36">
                  <c:v>245.9</c:v>
                </c:pt>
                <c:pt idx="37">
                  <c:v>243.74</c:v>
                </c:pt>
                <c:pt idx="38">
                  <c:v>231.77</c:v>
                </c:pt>
                <c:pt idx="39">
                  <c:v>236.73</c:v>
                </c:pt>
                <c:pt idx="40">
                  <c:v>233.83</c:v>
                </c:pt>
                <c:pt idx="41">
                  <c:v>246.26</c:v>
                </c:pt>
                <c:pt idx="42">
                  <c:v>238.87</c:v>
                </c:pt>
                <c:pt idx="43">
                  <c:v>232.37</c:v>
                </c:pt>
                <c:pt idx="44">
                  <c:v>244.98</c:v>
                </c:pt>
                <c:pt idx="45">
                  <c:v>240.83</c:v>
                </c:pt>
                <c:pt idx="46">
                  <c:v>225.68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260"/>
          <c:min val="22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Financials%20sector%20index%20-%20pre%20struct%20break.xlsx" TargetMode="External"/><Relationship Id="rId1" Type="http://schemas.openxmlformats.org/officeDocument/2006/relationships/externalLinkPath" Target="Financials%20sector%20index%20-%20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 refreshError="1"/>
      <sheetData sheetId="1" refreshError="1"/>
      <sheetData sheetId="2">
        <row r="2">
          <cell r="B2">
            <v>199.01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88</v>
      </c>
      <c r="V1" s="11" t="s">
        <v>78</v>
      </c>
      <c r="W1" s="12" t="s">
        <v>21</v>
      </c>
      <c r="X1" s="12" t="s">
        <v>9</v>
      </c>
      <c r="Y1" s="11" t="s">
        <v>89</v>
      </c>
      <c r="Z1" s="11" t="s">
        <v>79</v>
      </c>
      <c r="AA1" s="12" t="s">
        <v>22</v>
      </c>
      <c r="AB1" s="12" t="s">
        <v>10</v>
      </c>
      <c r="AC1" s="11" t="s">
        <v>90</v>
      </c>
      <c r="AD1" s="11" t="s">
        <v>80</v>
      </c>
      <c r="AE1" s="12" t="s">
        <v>23</v>
      </c>
      <c r="AF1" s="12" t="s">
        <v>11</v>
      </c>
      <c r="AG1" s="11" t="s">
        <v>91</v>
      </c>
      <c r="AH1" s="11" t="s">
        <v>81</v>
      </c>
      <c r="AI1" s="12" t="s">
        <v>24</v>
      </c>
      <c r="AJ1" s="12" t="s">
        <v>12</v>
      </c>
      <c r="AK1" s="11" t="s">
        <v>92</v>
      </c>
      <c r="AL1" s="11" t="s">
        <v>82</v>
      </c>
      <c r="AM1" s="12" t="s">
        <v>25</v>
      </c>
      <c r="AN1" s="12" t="s">
        <v>13</v>
      </c>
      <c r="AO1" s="11" t="s">
        <v>93</v>
      </c>
      <c r="AP1" s="11" t="s">
        <v>83</v>
      </c>
      <c r="AQ1" s="12" t="s">
        <v>26</v>
      </c>
      <c r="AR1" s="12" t="s">
        <v>14</v>
      </c>
      <c r="AS1" s="11" t="s">
        <v>94</v>
      </c>
      <c r="AT1" s="11" t="s">
        <v>84</v>
      </c>
      <c r="AU1" s="12" t="s">
        <v>27</v>
      </c>
      <c r="AV1" s="12" t="s">
        <v>15</v>
      </c>
      <c r="AW1" s="11" t="s">
        <v>95</v>
      </c>
      <c r="AX1" s="11" t="s">
        <v>85</v>
      </c>
      <c r="AY1" s="12" t="s">
        <v>28</v>
      </c>
      <c r="AZ1" s="12" t="s">
        <v>16</v>
      </c>
      <c r="BA1" s="11" t="s">
        <v>96</v>
      </c>
      <c r="BB1" s="11" t="s">
        <v>86</v>
      </c>
      <c r="BC1" s="12" t="s">
        <v>29</v>
      </c>
      <c r="BD1" s="12" t="s">
        <v>17</v>
      </c>
      <c r="BE1" s="11" t="s">
        <v>97</v>
      </c>
      <c r="BF1" s="11" t="s">
        <v>87</v>
      </c>
      <c r="BH1" s="13" t="s">
        <v>19</v>
      </c>
      <c r="BI1" s="13" t="s">
        <v>30</v>
      </c>
      <c r="BJ1" s="14" t="s">
        <v>20</v>
      </c>
      <c r="BK1" s="13" t="s">
        <v>88</v>
      </c>
      <c r="BL1" s="14" t="s">
        <v>21</v>
      </c>
      <c r="BM1" s="13" t="s">
        <v>89</v>
      </c>
      <c r="BN1" s="14" t="s">
        <v>22</v>
      </c>
      <c r="BO1" s="13" t="s">
        <v>90</v>
      </c>
      <c r="BP1" s="14" t="s">
        <v>23</v>
      </c>
      <c r="BQ1" s="13" t="s">
        <v>91</v>
      </c>
      <c r="BR1" s="14" t="s">
        <v>24</v>
      </c>
      <c r="BS1" s="13" t="s">
        <v>92</v>
      </c>
      <c r="BT1" s="14" t="s">
        <v>25</v>
      </c>
      <c r="BU1" s="13" t="s">
        <v>93</v>
      </c>
      <c r="BV1" s="14" t="s">
        <v>26</v>
      </c>
      <c r="BW1" s="13" t="s">
        <v>94</v>
      </c>
      <c r="BX1" s="14" t="s">
        <v>27</v>
      </c>
      <c r="BY1" s="13" t="s">
        <v>95</v>
      </c>
      <c r="BZ1" s="14" t="s">
        <v>28</v>
      </c>
      <c r="CA1" s="13" t="s">
        <v>96</v>
      </c>
      <c r="CB1" s="14" t="s">
        <v>29</v>
      </c>
      <c r="CC1" s="13" t="s">
        <v>97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249.63</v>
      </c>
      <c r="C2" s="16">
        <v>-2.0828430218875038E-2</v>
      </c>
      <c r="D2" s="17">
        <v>-0.24457772169262171</v>
      </c>
      <c r="F2" s="16">
        <v>1.4661699314986166E-2</v>
      </c>
      <c r="G2" s="16">
        <v>-2.0828430218875038E-2</v>
      </c>
      <c r="H2" s="16">
        <v>-1.3848058177316975E-2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254.94</v>
      </c>
      <c r="C3" s="16">
        <v>-1.3848058177316975E-2</v>
      </c>
      <c r="D3" s="17">
        <v>6.2640197575092316E-3</v>
      </c>
      <c r="F3" s="16">
        <v>-2.0828430218875038E-2</v>
      </c>
      <c r="G3" s="16">
        <v>-1.3848058177316975E-2</v>
      </c>
      <c r="H3" s="16">
        <v>3.2304436369444453E-2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258.52</v>
      </c>
      <c r="C4" s="16">
        <v>3.2304436369444453E-2</v>
      </c>
      <c r="D4" s="17">
        <v>-0.23609326717754206</v>
      </c>
      <c r="F4" s="16">
        <v>-1.3848058177316975E-2</v>
      </c>
      <c r="G4" s="16">
        <v>3.2304436369444453E-2</v>
      </c>
      <c r="H4" s="16">
        <v>5.2050075617543337E-2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250.43</v>
      </c>
      <c r="C5" s="16">
        <v>5.2050075617543337E-2</v>
      </c>
      <c r="D5" s="17">
        <v>0.13119693499590671</v>
      </c>
      <c r="F5" s="16">
        <v>3.2304436369444453E-2</v>
      </c>
      <c r="G5" s="16">
        <v>5.2050075617543337E-2</v>
      </c>
      <c r="H5" s="16">
        <v>1.7004186960608347E-2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238.04</v>
      </c>
      <c r="C6" s="16">
        <v>1.7004186960608347E-2</v>
      </c>
      <c r="D6" s="17">
        <v>-0.66873623467981813</v>
      </c>
      <c r="F6" s="16">
        <v>5.2050075617543337E-2</v>
      </c>
      <c r="G6" s="16">
        <v>1.7004186960608347E-2</v>
      </c>
      <c r="H6" s="16">
        <v>-8.8922764227642032E-3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234.06</v>
      </c>
      <c r="C7" s="16">
        <v>-8.8922764227642032E-3</v>
      </c>
      <c r="D7" s="17">
        <v>5.5399095018704735E-2</v>
      </c>
      <c r="F7" s="16">
        <v>1.7004186960608347E-2</v>
      </c>
      <c r="G7" s="16">
        <v>-8.8922764227642032E-3</v>
      </c>
      <c r="H7" s="16">
        <v>-9.6036905011532489E-3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236.16</v>
      </c>
      <c r="C8" s="16">
        <v>-9.6036905011532489E-3</v>
      </c>
      <c r="D8" s="17">
        <v>9.735283938546975E-2</v>
      </c>
      <c r="F8" s="16">
        <v>-8.8922764227642032E-3</v>
      </c>
      <c r="G8" s="16">
        <v>-9.6036905011532489E-3</v>
      </c>
      <c r="H8" s="16">
        <v>1.3559466122587766E-2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238.45</v>
      </c>
      <c r="C9" s="16">
        <v>1.3559466122587766E-2</v>
      </c>
      <c r="D9" s="17">
        <v>0.49790565359095734</v>
      </c>
      <c r="F9" s="16">
        <v>-9.6036905011532489E-3</v>
      </c>
      <c r="G9" s="16">
        <v>1.3559466122587766E-2</v>
      </c>
      <c r="H9" s="16">
        <v>1.8882633174534365E-2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235.26</v>
      </c>
      <c r="C10" s="16">
        <v>1.8882633174534365E-2</v>
      </c>
      <c r="D10" s="17">
        <v>0.48645331314764917</v>
      </c>
      <c r="F10" s="16">
        <v>1.3559466122587766E-2</v>
      </c>
      <c r="G10" s="16">
        <v>1.8882633174534365E-2</v>
      </c>
      <c r="H10" s="16">
        <v>-7.5220287986245433E-3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230.9</v>
      </c>
      <c r="C11" s="16">
        <v>-7.5220287986245433E-3</v>
      </c>
      <c r="D11" s="17">
        <v>-0.19248065624672633</v>
      </c>
      <c r="F11" s="16">
        <v>1.8882633174534365E-2</v>
      </c>
      <c r="G11" s="16">
        <v>-7.5220287986245433E-3</v>
      </c>
      <c r="H11" s="16">
        <v>-4.29811742456413E-5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232.65</v>
      </c>
      <c r="C12" s="16">
        <v>-4.29811742456413E-5</v>
      </c>
      <c r="D12" s="17">
        <v>0.27620824612677097</v>
      </c>
      <c r="F12" s="16">
        <v>-7.5220287986245433E-3</v>
      </c>
      <c r="G12" s="16">
        <v>-4.29811742456413E-5</v>
      </c>
      <c r="H12" s="16">
        <v>-3.8555312202983645E-2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232.66</v>
      </c>
      <c r="C13" s="16">
        <v>-3.8555312202983645E-2</v>
      </c>
      <c r="D13" s="17">
        <v>0.1164589305408299</v>
      </c>
      <c r="F13" s="16">
        <v>-4.29811742456413E-5</v>
      </c>
      <c r="G13" s="16">
        <v>-3.8555312202983645E-2</v>
      </c>
      <c r="H13" s="16">
        <v>-2.0124716553287975E-2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241.99</v>
      </c>
      <c r="C14" s="16">
        <v>-2.0124716553287975E-2</v>
      </c>
      <c r="D14" s="17">
        <v>-0.15498585706915369</v>
      </c>
      <c r="F14" s="16">
        <v>-3.8555312202983645E-2</v>
      </c>
      <c r="G14" s="16">
        <v>-2.0124716553287975E-2</v>
      </c>
      <c r="H14" s="16">
        <v>1.0515978558860927E-2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246.96</v>
      </c>
      <c r="C15" s="16">
        <v>1.0515978558860927E-2</v>
      </c>
      <c r="D15" s="17">
        <v>9.5311682671308517E-2</v>
      </c>
      <c r="F15" s="16">
        <v>-2.0124716553287975E-2</v>
      </c>
      <c r="G15" s="16">
        <v>1.0515978558860927E-2</v>
      </c>
      <c r="H15" s="16">
        <v>1.4487339144873311E-2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244.39</v>
      </c>
      <c r="C16" s="16">
        <v>1.4487339144873311E-2</v>
      </c>
      <c r="D16" s="17">
        <v>0.29172629743282286</v>
      </c>
      <c r="F16" s="16">
        <v>1.0515978558860927E-2</v>
      </c>
      <c r="G16" s="16">
        <v>1.4487339144873311E-2</v>
      </c>
      <c r="H16" s="16">
        <v>-7.0483492024236757E-3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240.9</v>
      </c>
      <c r="C17" s="16">
        <v>-7.0483492024236757E-3</v>
      </c>
      <c r="D17" s="17">
        <v>-0.23442382345508253</v>
      </c>
      <c r="F17" s="16">
        <v>1.4487339144873311E-2</v>
      </c>
      <c r="G17" s="16">
        <v>-7.0483492024236757E-3</v>
      </c>
      <c r="H17" s="16">
        <v>1.4860681114551647E-3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242.61</v>
      </c>
      <c r="C18" s="16">
        <v>1.4860681114551647E-3</v>
      </c>
      <c r="D18" s="17">
        <v>-2.1146204477796953E-2</v>
      </c>
      <c r="F18" s="16">
        <v>-7.0483492024236757E-3</v>
      </c>
      <c r="G18" s="16">
        <v>1.4860681114551647E-3</v>
      </c>
      <c r="H18" s="16">
        <v>-6.8465070514922418E-3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242.25</v>
      </c>
      <c r="C19" s="16">
        <v>-6.8465070514922418E-3</v>
      </c>
      <c r="D19" s="17">
        <v>0.23377028697480759</v>
      </c>
      <c r="F19" s="16">
        <v>1.4860681114551647E-3</v>
      </c>
      <c r="G19" s="16">
        <v>-6.8465070514922418E-3</v>
      </c>
      <c r="H19" s="16">
        <v>2.7131464276905228E-3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243.92</v>
      </c>
      <c r="C20" s="16">
        <v>2.7131464276905228E-3</v>
      </c>
      <c r="D20" s="17">
        <v>-0.15081174378948553</v>
      </c>
      <c r="F20" s="16">
        <v>-6.8465070514922418E-3</v>
      </c>
      <c r="G20" s="16">
        <v>2.7131464276905228E-3</v>
      </c>
      <c r="H20" s="16">
        <v>-2.1244065341594918E-2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243.26</v>
      </c>
      <c r="C21" s="16">
        <v>-2.1244065341594918E-2</v>
      </c>
      <c r="D21" s="17">
        <v>-0.15819044224917889</v>
      </c>
      <c r="F21" s="16">
        <v>2.7131464276905228E-3</v>
      </c>
      <c r="G21" s="16">
        <v>-2.1244065341594918E-2</v>
      </c>
      <c r="H21" s="16">
        <v>-3.5095892538240518E-2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248.54</v>
      </c>
      <c r="C22" s="16">
        <v>-3.5095892538240518E-2</v>
      </c>
      <c r="D22" s="17">
        <v>-0.11695043928921223</v>
      </c>
      <c r="F22" s="16">
        <v>-2.1244065341594918E-2</v>
      </c>
      <c r="G22" s="16">
        <v>-3.5095892538240518E-2</v>
      </c>
      <c r="H22" s="16">
        <v>4.2791789806080699E-2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257.58</v>
      </c>
      <c r="C23" s="16">
        <v>4.2791789806080699E-2</v>
      </c>
      <c r="D23" s="17">
        <v>6.6089130705222487E-3</v>
      </c>
      <c r="F23" s="16">
        <v>-3.5095892538240518E-2</v>
      </c>
      <c r="G23" s="16">
        <v>4.2791789806080699E-2</v>
      </c>
      <c r="H23" s="16">
        <v>1.3790272932485061E-2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247.01</v>
      </c>
      <c r="C24" s="16">
        <v>1.3790272932485061E-2</v>
      </c>
      <c r="D24" s="17">
        <v>-0.16266929442062975</v>
      </c>
      <c r="F24" s="16">
        <v>4.2791789806080699E-2</v>
      </c>
      <c r="G24" s="16">
        <v>1.3790272932485061E-2</v>
      </c>
      <c r="H24" s="16">
        <v>3.0014796026210079E-2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243.65</v>
      </c>
      <c r="C25" s="16">
        <v>3.0014796026210079E-2</v>
      </c>
      <c r="D25" s="17">
        <v>-0.43920171571274597</v>
      </c>
      <c r="F25" s="16">
        <v>1.3790272932485061E-2</v>
      </c>
      <c r="G25" s="16">
        <v>3.0014796026210079E-2</v>
      </c>
      <c r="H25" s="16">
        <v>7.3244474726397767E-3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236.55</v>
      </c>
      <c r="C26" s="16">
        <v>7.3244474726397767E-3</v>
      </c>
      <c r="D26" s="17">
        <v>-2.0552382688038051E-2</v>
      </c>
      <c r="F26" s="16">
        <v>3.0014796026210079E-2</v>
      </c>
      <c r="G26" s="16">
        <v>7.3244474726397767E-3</v>
      </c>
      <c r="H26" s="16">
        <v>-8.4448760714436518E-3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234.83</v>
      </c>
      <c r="C27" s="16">
        <v>-8.4448760714436518E-3</v>
      </c>
      <c r="D27" s="17">
        <v>-0.44359970150981098</v>
      </c>
      <c r="F27" s="16">
        <v>7.3244474726397767E-3</v>
      </c>
      <c r="G27" s="16">
        <v>-8.4448760714436518E-3</v>
      </c>
      <c r="H27" s="16">
        <v>6.1175071158504025E-3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236.83</v>
      </c>
      <c r="C28" s="16">
        <v>6.1175071158504025E-3</v>
      </c>
      <c r="D28" s="17">
        <v>7.0537303773952384E-2</v>
      </c>
      <c r="F28" s="16">
        <v>-8.4448760714436518E-3</v>
      </c>
      <c r="G28" s="16">
        <v>6.1175071158504025E-3</v>
      </c>
      <c r="H28" s="16">
        <v>-4.0516854848571419E-2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235.39</v>
      </c>
      <c r="C29" s="16">
        <v>-4.0516854848571419E-2</v>
      </c>
      <c r="D29" s="17">
        <v>6.1557356500998139E-2</v>
      </c>
      <c r="F29" s="16">
        <v>6.1175071158504025E-3</v>
      </c>
      <c r="G29" s="16">
        <v>-4.0516854848571419E-2</v>
      </c>
      <c r="H29" s="16">
        <v>-6.0367879426301788E-3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245.33</v>
      </c>
      <c r="C30" s="16">
        <v>-6.0367879426301788E-3</v>
      </c>
      <c r="D30" s="17">
        <v>0.33201583579648286</v>
      </c>
      <c r="F30" s="16">
        <v>-4.0516854848571419E-2</v>
      </c>
      <c r="G30" s="16">
        <v>-6.0367879426301788E-3</v>
      </c>
      <c r="H30" s="16">
        <v>4.5227407470144858E-2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246.82</v>
      </c>
      <c r="C31" s="16">
        <v>4.5227407470144858E-2</v>
      </c>
      <c r="D31" s="17">
        <v>-1.0891216807067394E-2</v>
      </c>
      <c r="F31" s="16">
        <v>-6.0367879426301788E-3</v>
      </c>
      <c r="G31" s="16">
        <v>4.5227407470144858E-2</v>
      </c>
      <c r="H31" s="16">
        <v>-2.3771135640167019E-2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236.14</v>
      </c>
      <c r="C32" s="16">
        <v>-2.3771135640167019E-2</v>
      </c>
      <c r="D32" s="17">
        <v>-1.8410735170949589E-2</v>
      </c>
      <c r="F32" s="16">
        <v>4.5227407470144858E-2</v>
      </c>
      <c r="G32" s="16">
        <v>-2.3771135640167019E-2</v>
      </c>
      <c r="H32" s="16">
        <v>-3.3715495545879541E-2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241.89</v>
      </c>
      <c r="C33" s="16">
        <v>-3.3715495545879541E-2</v>
      </c>
      <c r="D33" s="17">
        <v>-0.32017184949169558</v>
      </c>
      <c r="F33" s="16">
        <v>-2.3771135640167019E-2</v>
      </c>
      <c r="G33" s="16">
        <v>-3.3715495545879541E-2</v>
      </c>
      <c r="H33" s="16">
        <v>5.3009919280351059E-3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250.33</v>
      </c>
      <c r="C34" s="16">
        <v>5.3009919280351059E-3</v>
      </c>
      <c r="D34" s="17">
        <v>0.10925812500395946</v>
      </c>
      <c r="F34" s="16">
        <v>-3.3715495545879541E-2</v>
      </c>
      <c r="G34" s="16">
        <v>5.3009919280351059E-3</v>
      </c>
      <c r="H34" s="16">
        <v>-2.7608559825054644E-2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249.01</v>
      </c>
      <c r="C35" s="16">
        <v>-2.7608559825054644E-2</v>
      </c>
      <c r="D35" s="17">
        <v>-0.32851240194092196</v>
      </c>
      <c r="F35" s="16">
        <v>5.3009919280351059E-3</v>
      </c>
      <c r="G35" s="16">
        <v>-2.7608559825054644E-2</v>
      </c>
      <c r="H35" s="16">
        <v>1.5384615384615368E-2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256.08</v>
      </c>
      <c r="C36" s="16">
        <v>1.5384615384615368E-2</v>
      </c>
      <c r="D36" s="17">
        <v>8.9164984819944948E-2</v>
      </c>
      <c r="F36" s="16">
        <v>-2.7608559825054644E-2</v>
      </c>
      <c r="G36" s="16">
        <v>1.5384615384615368E-2</v>
      </c>
      <c r="H36" s="16">
        <v>2.5620170801138605E-2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252.2</v>
      </c>
      <c r="C37" s="16">
        <v>2.5620170801138605E-2</v>
      </c>
      <c r="D37" s="17">
        <v>-7.3048542439937594E-2</v>
      </c>
      <c r="F37" s="16">
        <v>1.5384615384615368E-2</v>
      </c>
      <c r="G37" s="16">
        <v>2.5620170801138605E-2</v>
      </c>
      <c r="H37" s="16">
        <v>8.8619020267498017E-3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245.9</v>
      </c>
      <c r="C38" s="16">
        <v>8.8619020267498017E-3</v>
      </c>
      <c r="D38" s="17">
        <v>-0.50390593466969824</v>
      </c>
      <c r="F38" s="16">
        <v>2.5620170801138605E-2</v>
      </c>
      <c r="G38" s="16">
        <v>8.8619020267498017E-3</v>
      </c>
      <c r="H38" s="16">
        <v>5.1646028390214427E-2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243.74</v>
      </c>
      <c r="C39" s="16">
        <v>5.1646028390214427E-2</v>
      </c>
      <c r="D39" s="17">
        <v>-2.5256967595355076E-2</v>
      </c>
      <c r="F39" s="16">
        <v>8.8619020267498017E-3</v>
      </c>
      <c r="G39" s="16">
        <v>5.1646028390214427E-2</v>
      </c>
      <c r="H39" s="16">
        <v>-2.0952139568284459E-2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231.77</v>
      </c>
      <c r="C40" s="16">
        <v>-2.0952139568284459E-2</v>
      </c>
      <c r="D40" s="17">
        <v>-0.62750590592622757</v>
      </c>
      <c r="F40" s="16">
        <v>5.1646028390214427E-2</v>
      </c>
      <c r="G40" s="16">
        <v>-2.0952139568284459E-2</v>
      </c>
      <c r="H40" s="16">
        <v>1.2402172518496245E-2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236.73</v>
      </c>
      <c r="C41" s="16">
        <v>1.2402172518496245E-2</v>
      </c>
      <c r="D41" s="17">
        <v>-0.28957627939858605</v>
      </c>
      <c r="F41" s="16">
        <v>-2.0952139568284459E-2</v>
      </c>
      <c r="G41" s="16">
        <v>1.2402172518496245E-2</v>
      </c>
      <c r="H41" s="16">
        <v>-5.0475107609843167E-2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233.83</v>
      </c>
      <c r="C42" s="16">
        <v>-5.0475107609843167E-2</v>
      </c>
      <c r="D42" s="17">
        <v>7.8005850501358512E-2</v>
      </c>
      <c r="F42" s="16">
        <v>1.2402172518496245E-2</v>
      </c>
      <c r="G42" s="16">
        <v>-5.0475107609843167E-2</v>
      </c>
      <c r="H42" s="16">
        <v>3.0937329928412888E-2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246.26</v>
      </c>
      <c r="C43" s="16">
        <v>3.0937329928412888E-2</v>
      </c>
      <c r="D43" s="17">
        <v>-5.0065291579812765E-2</v>
      </c>
      <c r="F43" s="16">
        <v>-5.0475107609843167E-2</v>
      </c>
      <c r="G43" s="16">
        <v>3.0937329928412888E-2</v>
      </c>
      <c r="H43" s="16">
        <v>2.7972629857554762E-2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238.87</v>
      </c>
      <c r="C44" s="16">
        <v>2.7972629857554762E-2</v>
      </c>
      <c r="D44" s="17">
        <v>6.451272894628346E-2</v>
      </c>
      <c r="F44" s="16">
        <v>3.0937329928412888E-2</v>
      </c>
      <c r="G44" s="16">
        <v>2.7972629857554762E-2</v>
      </c>
      <c r="H44" s="16">
        <v>-5.1473589680790209E-2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232.37</v>
      </c>
      <c r="C45" s="16">
        <v>-5.1473589680790209E-2</v>
      </c>
      <c r="D45" s="17">
        <v>-0.43549962999531999</v>
      </c>
      <c r="F45" s="16">
        <v>2.7972629857554762E-2</v>
      </c>
      <c r="G45" s="16">
        <v>-5.1473589680790209E-2</v>
      </c>
      <c r="H45" s="16">
        <v>1.723207241622712E-2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244.98</v>
      </c>
      <c r="C46" s="16">
        <v>1.723207241622712E-2</v>
      </c>
      <c r="D46" s="17">
        <v>-0.35762683051871136</v>
      </c>
      <c r="F46" s="16">
        <v>-5.1473589680790209E-2</v>
      </c>
      <c r="G46" s="16">
        <v>1.723207241622712E-2</v>
      </c>
      <c r="H46" s="16">
        <v>6.7130450194966343E-2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240.83</v>
      </c>
      <c r="C47" s="16">
        <v>6.7130450194966343E-2</v>
      </c>
      <c r="D47" s="17">
        <v>6.999037426430732E-2</v>
      </c>
      <c r="F47" s="16">
        <v>1.723207241622712E-2</v>
      </c>
      <c r="G47" s="16">
        <v>6.7130450194966343E-2</v>
      </c>
      <c r="H47" s="16">
        <v>0.13401336616250448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225.68</v>
      </c>
      <c r="C48" s="16">
        <v>0.13401336616250448</v>
      </c>
      <c r="D48" s="17">
        <v>-0.11966689694672823</v>
      </c>
      <c r="F48" s="16">
        <v>6.7130450194966343E-2</v>
      </c>
      <c r="G48" s="16">
        <v>0.13401336616250448</v>
      </c>
      <c r="H48" s="16">
        <v>-7.9126370829670181E-2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G50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5" bestFit="1" customWidth="1"/>
    <col min="3" max="16384" width="11.42578125" style="1"/>
  </cols>
  <sheetData>
    <row r="1" spans="1:2" x14ac:dyDescent="0.25">
      <c r="A1" s="4" t="str">
        <f>'ALL VARS'!A1</f>
        <v>Date</v>
      </c>
      <c r="B1" s="5" t="str">
        <f>'ALL VARS'!B1</f>
        <v>Close price</v>
      </c>
    </row>
    <row r="2" spans="1:2" x14ac:dyDescent="0.25">
      <c r="A2" s="4">
        <f>'ALL VARS'!A2</f>
        <v>43980</v>
      </c>
      <c r="B2" s="5">
        <f>'ALL VARS'!B2</f>
        <v>249.63</v>
      </c>
    </row>
    <row r="3" spans="1:2" x14ac:dyDescent="0.25">
      <c r="A3" s="4">
        <f>'ALL VARS'!A3</f>
        <v>43979</v>
      </c>
      <c r="B3" s="5">
        <f>'ALL VARS'!B3</f>
        <v>254.94</v>
      </c>
    </row>
    <row r="4" spans="1:2" x14ac:dyDescent="0.25">
      <c r="A4" s="4">
        <f>'ALL VARS'!A4</f>
        <v>43978</v>
      </c>
      <c r="B4" s="5">
        <f>'ALL VARS'!B4</f>
        <v>258.52</v>
      </c>
    </row>
    <row r="5" spans="1:2" x14ac:dyDescent="0.25">
      <c r="A5" s="4">
        <f>'ALL VARS'!A5</f>
        <v>43977</v>
      </c>
      <c r="B5" s="5">
        <f>'ALL VARS'!B5</f>
        <v>250.43</v>
      </c>
    </row>
    <row r="6" spans="1:2" x14ac:dyDescent="0.25">
      <c r="A6" s="4">
        <f>'ALL VARS'!A6</f>
        <v>43976</v>
      </c>
      <c r="B6" s="5">
        <f>'ALL VARS'!B6</f>
        <v>238.04</v>
      </c>
    </row>
    <row r="7" spans="1:2" x14ac:dyDescent="0.25">
      <c r="A7" s="4">
        <f>'ALL VARS'!A7</f>
        <v>43973</v>
      </c>
      <c r="B7" s="5">
        <f>'ALL VARS'!B7</f>
        <v>234.06</v>
      </c>
    </row>
    <row r="8" spans="1:2" x14ac:dyDescent="0.25">
      <c r="A8" s="4">
        <f>'ALL VARS'!A8</f>
        <v>43972</v>
      </c>
      <c r="B8" s="5">
        <f>'ALL VARS'!B8</f>
        <v>236.16</v>
      </c>
    </row>
    <row r="9" spans="1:2" x14ac:dyDescent="0.25">
      <c r="A9" s="4">
        <f>'ALL VARS'!A9</f>
        <v>43971</v>
      </c>
      <c r="B9" s="5">
        <f>'ALL VARS'!B9</f>
        <v>238.45</v>
      </c>
    </row>
    <row r="10" spans="1:2" x14ac:dyDescent="0.25">
      <c r="A10" s="4">
        <f>'ALL VARS'!A10</f>
        <v>43970</v>
      </c>
      <c r="B10" s="5">
        <f>'ALL VARS'!B10</f>
        <v>235.26</v>
      </c>
    </row>
    <row r="11" spans="1:2" x14ac:dyDescent="0.25">
      <c r="A11" s="4">
        <f>'ALL VARS'!A11</f>
        <v>43966</v>
      </c>
      <c r="B11" s="5">
        <f>'ALL VARS'!B11</f>
        <v>230.9</v>
      </c>
    </row>
    <row r="12" spans="1:2" x14ac:dyDescent="0.25">
      <c r="A12" s="4">
        <f>'ALL VARS'!A12</f>
        <v>43965</v>
      </c>
      <c r="B12" s="5">
        <f>'ALL VARS'!B12</f>
        <v>232.65</v>
      </c>
    </row>
    <row r="13" spans="1:2" x14ac:dyDescent="0.25">
      <c r="A13" s="4">
        <f>'ALL VARS'!A13</f>
        <v>43964</v>
      </c>
      <c r="B13" s="5">
        <f>'ALL VARS'!B13</f>
        <v>232.66</v>
      </c>
    </row>
    <row r="14" spans="1:2" x14ac:dyDescent="0.25">
      <c r="A14" s="4">
        <f>'ALL VARS'!A14</f>
        <v>43963</v>
      </c>
      <c r="B14" s="5">
        <f>'ALL VARS'!B14</f>
        <v>241.99</v>
      </c>
    </row>
    <row r="15" spans="1:2" x14ac:dyDescent="0.25">
      <c r="A15" s="4">
        <f>'ALL VARS'!A15</f>
        <v>43962</v>
      </c>
      <c r="B15" s="5">
        <f>'ALL VARS'!B15</f>
        <v>246.96</v>
      </c>
    </row>
    <row r="16" spans="1:2" x14ac:dyDescent="0.25">
      <c r="A16" s="4">
        <f>'ALL VARS'!A16</f>
        <v>43959</v>
      </c>
      <c r="B16" s="5">
        <f>'ALL VARS'!B16</f>
        <v>244.39</v>
      </c>
    </row>
    <row r="17" spans="1:7" x14ac:dyDescent="0.25">
      <c r="A17" s="4">
        <f>'ALL VARS'!A17</f>
        <v>43958</v>
      </c>
      <c r="B17" s="5">
        <f>'ALL VARS'!B17</f>
        <v>240.9</v>
      </c>
    </row>
    <row r="18" spans="1:7" x14ac:dyDescent="0.25">
      <c r="A18" s="4">
        <f>'ALL VARS'!A18</f>
        <v>43957</v>
      </c>
      <c r="B18" s="5">
        <f>'ALL VARS'!B18</f>
        <v>242.61</v>
      </c>
    </row>
    <row r="19" spans="1:7" x14ac:dyDescent="0.25">
      <c r="A19" s="4">
        <f>'ALL VARS'!A19</f>
        <v>43956</v>
      </c>
      <c r="B19" s="5">
        <f>'ALL VARS'!B19</f>
        <v>242.25</v>
      </c>
    </row>
    <row r="20" spans="1:7" x14ac:dyDescent="0.25">
      <c r="A20" s="4">
        <f>'ALL VARS'!A20</f>
        <v>43955</v>
      </c>
      <c r="B20" s="5">
        <f>'ALL VARS'!B20</f>
        <v>243.92</v>
      </c>
      <c r="D20" s="4" t="s">
        <v>104</v>
      </c>
      <c r="E20" s="5">
        <f>MAX(B2:B48)</f>
        <v>258.52</v>
      </c>
      <c r="G20" s="6"/>
    </row>
    <row r="21" spans="1:7" x14ac:dyDescent="0.25">
      <c r="A21" s="4">
        <f>'ALL VARS'!A21</f>
        <v>43952</v>
      </c>
      <c r="B21" s="5">
        <f>'ALL VARS'!B21</f>
        <v>243.26</v>
      </c>
      <c r="D21" s="4" t="s">
        <v>31</v>
      </c>
      <c r="E21" s="5">
        <f>QUARTILE(B2:B48, 3)</f>
        <v>246.89</v>
      </c>
    </row>
    <row r="22" spans="1:7" x14ac:dyDescent="0.25">
      <c r="A22" s="4">
        <f>'ALL VARS'!A22</f>
        <v>43951</v>
      </c>
      <c r="B22" s="5">
        <f>'ALL VARS'!B22</f>
        <v>248.54</v>
      </c>
      <c r="D22" s="4" t="s">
        <v>32</v>
      </c>
      <c r="E22" s="5">
        <f>MEDIAN(B2:B48)</f>
        <v>242.25</v>
      </c>
    </row>
    <row r="23" spans="1:7" x14ac:dyDescent="0.25">
      <c r="A23" s="4">
        <f>'ALL VARS'!A23</f>
        <v>43950</v>
      </c>
      <c r="B23" s="5">
        <f>'ALL VARS'!B23</f>
        <v>257.58</v>
      </c>
      <c r="D23" s="4" t="s">
        <v>33</v>
      </c>
      <c r="E23" s="5">
        <f>QUARTILE(B2:B48, 1)</f>
        <v>236.14999999999998</v>
      </c>
    </row>
    <row r="24" spans="1:7" x14ac:dyDescent="0.25">
      <c r="A24" s="4">
        <f>'ALL VARS'!A24</f>
        <v>43949</v>
      </c>
      <c r="B24" s="5">
        <f>'ALL VARS'!B24</f>
        <v>247.01</v>
      </c>
      <c r="D24" s="4" t="s">
        <v>105</v>
      </c>
      <c r="E24" s="5">
        <f>MIN(B2:B48)</f>
        <v>225.68</v>
      </c>
    </row>
    <row r="25" spans="1:7" x14ac:dyDescent="0.25">
      <c r="A25" s="4">
        <f>'ALL VARS'!A25</f>
        <v>43948</v>
      </c>
      <c r="B25" s="5">
        <f>'ALL VARS'!B25</f>
        <v>243.65</v>
      </c>
    </row>
    <row r="26" spans="1:7" x14ac:dyDescent="0.25">
      <c r="A26" s="4">
        <f>'ALL VARS'!A26</f>
        <v>43945</v>
      </c>
      <c r="B26" s="5">
        <f>'ALL VARS'!B26</f>
        <v>236.55</v>
      </c>
    </row>
    <row r="27" spans="1:7" x14ac:dyDescent="0.25">
      <c r="A27" s="4">
        <f>'ALL VARS'!A27</f>
        <v>43944</v>
      </c>
      <c r="B27" s="5">
        <f>'ALL VARS'!B27</f>
        <v>234.83</v>
      </c>
    </row>
    <row r="28" spans="1:7" x14ac:dyDescent="0.25">
      <c r="A28" s="4">
        <f>'ALL VARS'!A28</f>
        <v>43943</v>
      </c>
      <c r="B28" s="5">
        <f>'ALL VARS'!B28</f>
        <v>236.83</v>
      </c>
    </row>
    <row r="29" spans="1:7" x14ac:dyDescent="0.25">
      <c r="A29" s="4">
        <f>'ALL VARS'!A29</f>
        <v>43942</v>
      </c>
      <c r="B29" s="5">
        <f>'ALL VARS'!B29</f>
        <v>235.39</v>
      </c>
    </row>
    <row r="30" spans="1:7" x14ac:dyDescent="0.25">
      <c r="A30" s="4">
        <f>'ALL VARS'!A30</f>
        <v>43941</v>
      </c>
      <c r="B30" s="5">
        <f>'ALL VARS'!B30</f>
        <v>245.33</v>
      </c>
    </row>
    <row r="31" spans="1:7" x14ac:dyDescent="0.25">
      <c r="A31" s="4">
        <f>'ALL VARS'!A31</f>
        <v>43938</v>
      </c>
      <c r="B31" s="5">
        <f>'ALL VARS'!B31</f>
        <v>246.82</v>
      </c>
    </row>
    <row r="32" spans="1:7" x14ac:dyDescent="0.25">
      <c r="A32" s="4">
        <f>'ALL VARS'!A32</f>
        <v>43937</v>
      </c>
      <c r="B32" s="5">
        <f>'ALL VARS'!B32</f>
        <v>236.14</v>
      </c>
    </row>
    <row r="33" spans="1:2" x14ac:dyDescent="0.25">
      <c r="A33" s="4">
        <f>'ALL VARS'!A33</f>
        <v>43936</v>
      </c>
      <c r="B33" s="5">
        <f>'ALL VARS'!B33</f>
        <v>241.89</v>
      </c>
    </row>
    <row r="34" spans="1:2" x14ac:dyDescent="0.25">
      <c r="A34" s="4">
        <f>'ALL VARS'!A34</f>
        <v>43935</v>
      </c>
      <c r="B34" s="5">
        <f>'ALL VARS'!B34</f>
        <v>250.33</v>
      </c>
    </row>
    <row r="35" spans="1:2" x14ac:dyDescent="0.25">
      <c r="A35" s="4">
        <f>'ALL VARS'!A35</f>
        <v>43934</v>
      </c>
      <c r="B35" s="5">
        <f>'ALL VARS'!B35</f>
        <v>249.01</v>
      </c>
    </row>
    <row r="36" spans="1:2" x14ac:dyDescent="0.25">
      <c r="A36" s="4">
        <f>'ALL VARS'!A36</f>
        <v>43930</v>
      </c>
      <c r="B36" s="5">
        <f>'ALL VARS'!B36</f>
        <v>256.08</v>
      </c>
    </row>
    <row r="37" spans="1:2" x14ac:dyDescent="0.25">
      <c r="A37" s="4">
        <f>'ALL VARS'!A37</f>
        <v>43929</v>
      </c>
      <c r="B37" s="5">
        <f>'ALL VARS'!B37</f>
        <v>252.2</v>
      </c>
    </row>
    <row r="38" spans="1:2" x14ac:dyDescent="0.25">
      <c r="A38" s="4">
        <f>'ALL VARS'!A38</f>
        <v>43928</v>
      </c>
      <c r="B38" s="5">
        <f>'ALL VARS'!B38</f>
        <v>245.9</v>
      </c>
    </row>
    <row r="39" spans="1:2" x14ac:dyDescent="0.25">
      <c r="A39" s="4">
        <f>'ALL VARS'!A39</f>
        <v>43927</v>
      </c>
      <c r="B39" s="5">
        <f>'ALL VARS'!B39</f>
        <v>243.74</v>
      </c>
    </row>
    <row r="40" spans="1:2" x14ac:dyDescent="0.25">
      <c r="A40" s="4">
        <f>'ALL VARS'!A40</f>
        <v>43924</v>
      </c>
      <c r="B40" s="5">
        <f>'ALL VARS'!B40</f>
        <v>231.77</v>
      </c>
    </row>
    <row r="41" spans="1:2" x14ac:dyDescent="0.25">
      <c r="A41" s="4">
        <f>'ALL VARS'!A41</f>
        <v>43923</v>
      </c>
      <c r="B41" s="5">
        <f>'ALL VARS'!B41</f>
        <v>236.73</v>
      </c>
    </row>
    <row r="42" spans="1:2" x14ac:dyDescent="0.25">
      <c r="A42" s="4">
        <f>'ALL VARS'!A42</f>
        <v>43922</v>
      </c>
      <c r="B42" s="5">
        <f>'ALL VARS'!B42</f>
        <v>233.83</v>
      </c>
    </row>
    <row r="43" spans="1:2" x14ac:dyDescent="0.25">
      <c r="A43" s="4">
        <f>'ALL VARS'!A43</f>
        <v>43921</v>
      </c>
      <c r="B43" s="5">
        <f>'ALL VARS'!B43</f>
        <v>246.26</v>
      </c>
    </row>
    <row r="44" spans="1:2" x14ac:dyDescent="0.25">
      <c r="A44" s="4">
        <f>'ALL VARS'!A44</f>
        <v>43920</v>
      </c>
      <c r="B44" s="5">
        <f>'ALL VARS'!B44</f>
        <v>238.87</v>
      </c>
    </row>
    <row r="45" spans="1:2" x14ac:dyDescent="0.25">
      <c r="A45" s="4">
        <f>'ALL VARS'!A45</f>
        <v>43917</v>
      </c>
      <c r="B45" s="5">
        <f>'ALL VARS'!B45</f>
        <v>232.37</v>
      </c>
    </row>
    <row r="46" spans="1:2" x14ac:dyDescent="0.25">
      <c r="A46" s="4">
        <f>'ALL VARS'!A46</f>
        <v>43916</v>
      </c>
      <c r="B46" s="5">
        <f>'ALL VARS'!B46</f>
        <v>244.98</v>
      </c>
    </row>
    <row r="47" spans="1:2" x14ac:dyDescent="0.25">
      <c r="A47" s="4">
        <f>'ALL VARS'!A47</f>
        <v>43915</v>
      </c>
      <c r="B47" s="5">
        <f>'ALL VARS'!B47</f>
        <v>240.83</v>
      </c>
    </row>
    <row r="48" spans="1:2" x14ac:dyDescent="0.25">
      <c r="A48" s="4">
        <f>'ALL VARS'!A48</f>
        <v>43914</v>
      </c>
      <c r="B48" s="5">
        <f>'ALL VARS'!B48</f>
        <v>225.68</v>
      </c>
    </row>
    <row r="50" spans="2:2" x14ac:dyDescent="0.25">
      <c r="B50" s="6">
        <f>(B2-'[1]Close price'!$B$2)/'[1]Close price'!$B$2</f>
        <v>0.25435907743329483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1.140625" style="18"/>
    <col min="14" max="14" width="41.85546875" style="18" bestFit="1" customWidth="1"/>
    <col min="15" max="17" width="22.7109375" style="18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0.38961201024361819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0.15179751852607323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4.720680600474688E-2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2.6557589795677902E-2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5.3014142480250458E-3</v>
      </c>
      <c r="L13" s="18">
        <v>1.0602828496050092E-3</v>
      </c>
      <c r="M13" s="18">
        <v>1.5032957147251766</v>
      </c>
      <c r="N13" s="18">
        <v>0.20992962285912062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2.9622834181730794E-2</v>
      </c>
      <c r="L14" s="18">
        <v>7.0530557575549508E-4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0.13548777324010641</v>
      </c>
      <c r="K19" s="18">
        <v>0.11960577163980676</v>
      </c>
      <c r="L19" s="18">
        <v>1.1327862475410331</v>
      </c>
      <c r="M19" s="18">
        <v>0.26372954817605859</v>
      </c>
      <c r="N19" s="18">
        <v>-0.10588644605766903</v>
      </c>
      <c r="O19" s="18">
        <v>0.37686199253788188</v>
      </c>
      <c r="P19" s="18">
        <v>-0.10588644605766903</v>
      </c>
      <c r="Q19" s="18">
        <v>0.37686199253788188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-0.16955362988861769</v>
      </c>
      <c r="K20" s="18">
        <v>0.11353913154002702</v>
      </c>
      <c r="L20" s="18">
        <v>-1.4933497164265639</v>
      </c>
      <c r="M20" s="18">
        <v>0.1428206402098752</v>
      </c>
      <c r="N20" s="18">
        <v>-0.39868487380344297</v>
      </c>
      <c r="O20" s="18">
        <v>5.9577614026207593E-2</v>
      </c>
      <c r="P20" s="18">
        <v>-0.39868487380344297</v>
      </c>
      <c r="Q20" s="18">
        <v>5.9577614026207593E-2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2.064289287716314E-2</v>
      </c>
      <c r="K21" s="18">
        <v>1.5518934129726814E-2</v>
      </c>
      <c r="L21" s="18">
        <v>1.330174656622924</v>
      </c>
      <c r="M21" s="18">
        <v>0.19063898033086929</v>
      </c>
      <c r="N21" s="18">
        <v>-1.0675584137283253E-2</v>
      </c>
      <c r="O21" s="18">
        <v>5.196136989160953E-2</v>
      </c>
      <c r="P21" s="18">
        <v>-1.0675584137283253E-2</v>
      </c>
      <c r="Q21" s="18">
        <v>5.196136989160953E-2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1.0865225448701849E-3</v>
      </c>
      <c r="K22" s="18">
        <v>1.1421783865485052E-3</v>
      </c>
      <c r="L22" s="18">
        <v>0.95127219851663969</v>
      </c>
      <c r="M22" s="18">
        <v>0.34690868967778143</v>
      </c>
      <c r="N22" s="18">
        <v>-1.2184867583780478E-3</v>
      </c>
      <c r="O22" s="18">
        <v>3.3915318481184177E-3</v>
      </c>
      <c r="P22" s="18">
        <v>-1.2184867583780478E-3</v>
      </c>
      <c r="Q22" s="18">
        <v>3.3915318481184177E-3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1.3504729610925789E-4</v>
      </c>
      <c r="K23" s="22">
        <v>9.5998466531919702E-5</v>
      </c>
      <c r="L23" s="22">
        <v>1.4067651389447389</v>
      </c>
      <c r="M23" s="22">
        <v>0.16685389959768865</v>
      </c>
      <c r="N23" s="22">
        <v>-5.8685452697438236E-5</v>
      </c>
      <c r="O23" s="22">
        <v>3.2878004491595402E-4</v>
      </c>
      <c r="P23" s="22">
        <v>-5.8685452697438236E-5</v>
      </c>
      <c r="Q23" s="22">
        <v>3.2878004491595402E-4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0.38641916488991285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0.14931977099421764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4.4493082517476461E-2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2.6596351187297931E-2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5.2148807776763069E-3</v>
      </c>
      <c r="L13" s="18">
        <v>1.0429761555352615E-3</v>
      </c>
      <c r="M13" s="18">
        <v>1.4744507202399111</v>
      </c>
      <c r="N13" s="18">
        <v>0.21910263929223558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2.9709367652079533E-2</v>
      </c>
      <c r="L14" s="18">
        <v>7.073658964780841E-4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0.11694094998462358</v>
      </c>
      <c r="K19" s="18">
        <v>0.11947561086603771</v>
      </c>
      <c r="L19" s="18">
        <v>0.97878511887872977</v>
      </c>
      <c r="M19" s="18">
        <v>0.33329067622523101</v>
      </c>
      <c r="N19" s="18">
        <v>-0.12417059423718384</v>
      </c>
      <c r="O19" s="18">
        <v>0.35805249420643098</v>
      </c>
      <c r="P19" s="18">
        <v>-0.12417059423718384</v>
      </c>
      <c r="Q19" s="18">
        <v>0.35805249420643098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-0.16448919425116215</v>
      </c>
      <c r="K20" s="18">
        <v>0.11386653247214759</v>
      </c>
      <c r="L20" s="18">
        <v>-1.4445789353548388</v>
      </c>
      <c r="M20" s="18">
        <v>0.15599572237034454</v>
      </c>
      <c r="N20" s="18">
        <v>-0.39428115999658564</v>
      </c>
      <c r="O20" s="18">
        <v>6.5302771494261336E-2</v>
      </c>
      <c r="P20" s="18">
        <v>-0.39428115999658564</v>
      </c>
      <c r="Q20" s="18">
        <v>6.5302771494261336E-2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0.52994622136323588</v>
      </c>
      <c r="K21" s="18">
        <v>0.35560906593581676</v>
      </c>
      <c r="L21" s="18">
        <v>1.4902494681023821</v>
      </c>
      <c r="M21" s="18">
        <v>0.14363095669069753</v>
      </c>
      <c r="N21" s="18">
        <v>-0.18770192795819429</v>
      </c>
      <c r="O21" s="18">
        <v>1.2475943706846659</v>
      </c>
      <c r="P21" s="18">
        <v>-0.18770192795819429</v>
      </c>
      <c r="Q21" s="18">
        <v>1.2475943706846659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78</v>
      </c>
      <c r="J22" s="18">
        <v>2.6396280399536405E-2</v>
      </c>
      <c r="K22" s="18">
        <v>3.220122983174379E-2</v>
      </c>
      <c r="L22" s="18">
        <v>0.81972895251084799</v>
      </c>
      <c r="M22" s="18">
        <v>0.41699838635250341</v>
      </c>
      <c r="N22" s="18">
        <v>-3.8588432332157245E-2</v>
      </c>
      <c r="O22" s="18">
        <v>9.1380993131230048E-2</v>
      </c>
      <c r="P22" s="18">
        <v>-3.8588432332157245E-2</v>
      </c>
      <c r="Q22" s="18">
        <v>9.1380993131230048E-2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1.084349813345243E-4</v>
      </c>
      <c r="K23" s="22">
        <v>9.1044015682094232E-5</v>
      </c>
      <c r="L23" s="22">
        <v>1.1910171198198849</v>
      </c>
      <c r="M23" s="22">
        <v>0.2403345160045782</v>
      </c>
      <c r="N23" s="22">
        <v>-7.5299280864625745E-5</v>
      </c>
      <c r="O23" s="22">
        <v>2.9216924353367435E-4</v>
      </c>
      <c r="P23" s="22">
        <v>-7.5299280864625745E-5</v>
      </c>
      <c r="Q23" s="22">
        <v>2.9216924353367435E-4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0.37002978732470593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0.13692204350756709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3.0914619079716339E-2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2.6789456422251418E-2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4.7818994629681109E-3</v>
      </c>
      <c r="L13" s="18">
        <v>9.5637989259362221E-4</v>
      </c>
      <c r="M13" s="18">
        <v>1.3326086673998465</v>
      </c>
      <c r="N13" s="18">
        <v>0.26975488705833012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3.0142348966787729E-2</v>
      </c>
      <c r="L14" s="18">
        <v>7.1767497539970779E-4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0.1367043868492292</v>
      </c>
      <c r="K19" s="18">
        <v>0.121732172740598</v>
      </c>
      <c r="L19" s="18">
        <v>1.1229930738239253</v>
      </c>
      <c r="M19" s="18">
        <v>0.26781895208306244</v>
      </c>
      <c r="N19" s="18">
        <v>-0.10896108360290604</v>
      </c>
      <c r="O19" s="18">
        <v>0.38236985730136441</v>
      </c>
      <c r="P19" s="18">
        <v>-0.10896108360290604</v>
      </c>
      <c r="Q19" s="18">
        <v>0.38236985730136441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-0.18984810528218846</v>
      </c>
      <c r="K20" s="18">
        <v>0.11272030309690111</v>
      </c>
      <c r="L20" s="18">
        <v>-1.6842405499831179</v>
      </c>
      <c r="M20" s="18">
        <v>9.9553939482903531E-2</v>
      </c>
      <c r="N20" s="18">
        <v>-0.41732688649819399</v>
      </c>
      <c r="O20" s="18">
        <v>3.7630675933817082E-2</v>
      </c>
      <c r="P20" s="18">
        <v>-0.41732688649819399</v>
      </c>
      <c r="Q20" s="18">
        <v>3.7630675933817082E-2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0.78223737125749926</v>
      </c>
      <c r="K21" s="18">
        <v>0.65493959154314296</v>
      </c>
      <c r="L21" s="18">
        <v>1.1943656809850542</v>
      </c>
      <c r="M21" s="18">
        <v>0.23903673374103293</v>
      </c>
      <c r="N21" s="18">
        <v>-0.53948423488710429</v>
      </c>
      <c r="O21" s="18">
        <v>2.1039589774021028</v>
      </c>
      <c r="P21" s="18">
        <v>-0.53948423488710429</v>
      </c>
      <c r="Q21" s="18">
        <v>2.1039589774021028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79</v>
      </c>
      <c r="J22" s="18">
        <v>1.3592929377989914E-2</v>
      </c>
      <c r="K22" s="18">
        <v>4.662530514542413E-2</v>
      </c>
      <c r="L22" s="18">
        <v>0.29153545130897535</v>
      </c>
      <c r="M22" s="18">
        <v>0.7720769132110703</v>
      </c>
      <c r="N22" s="18">
        <v>-8.0500745824317266E-2</v>
      </c>
      <c r="O22" s="18">
        <v>0.10768660458029711</v>
      </c>
      <c r="P22" s="18">
        <v>-8.0500745824317266E-2</v>
      </c>
      <c r="Q22" s="18">
        <v>0.10768660458029711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7.7669657798521698E-5</v>
      </c>
      <c r="K23" s="22">
        <v>8.8582268582056687E-5</v>
      </c>
      <c r="L23" s="22">
        <v>0.87680818116069947</v>
      </c>
      <c r="M23" s="22">
        <v>0.3855786010142338</v>
      </c>
      <c r="N23" s="22">
        <v>-1.010965976210762E-4</v>
      </c>
      <c r="O23" s="22">
        <v>2.5643591321811957E-4</v>
      </c>
      <c r="P23" s="22">
        <v>-1.010965976210762E-4</v>
      </c>
      <c r="Q23" s="22">
        <v>2.5643591321811957E-4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0.3833319049857864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0.14694334938003198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4.1890335035273119E-2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2.6633474457687014E-2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5.1318860388486452E-3</v>
      </c>
      <c r="L13" s="18">
        <v>1.0263772077697291E-3</v>
      </c>
      <c r="M13" s="18">
        <v>1.4469427486383353</v>
      </c>
      <c r="N13" s="18">
        <v>0.22819218078312228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2.9792362390907195E-2</v>
      </c>
      <c r="L14" s="18">
        <v>7.0934196168826651E-4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0.12425546177362683</v>
      </c>
      <c r="K19" s="18">
        <v>0.12298612847611343</v>
      </c>
      <c r="L19" s="18">
        <v>1.0103209468680847</v>
      </c>
      <c r="M19" s="18">
        <v>0.31812689583834064</v>
      </c>
      <c r="N19" s="18">
        <v>-0.12394059380449633</v>
      </c>
      <c r="O19" s="18">
        <v>0.37245151735174997</v>
      </c>
      <c r="P19" s="18">
        <v>-0.12394059380449633</v>
      </c>
      <c r="Q19" s="18">
        <v>0.37245151735174997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-0.22933144725155324</v>
      </c>
      <c r="K20" s="18">
        <v>0.12230602216168406</v>
      </c>
      <c r="L20" s="18">
        <v>-1.8750625946152146</v>
      </c>
      <c r="M20" s="18">
        <v>6.774844360214248E-2</v>
      </c>
      <c r="N20" s="18">
        <v>-0.47615499272055517</v>
      </c>
      <c r="O20" s="18">
        <v>1.7492098217448709E-2</v>
      </c>
      <c r="P20" s="18">
        <v>-0.47615499272055517</v>
      </c>
      <c r="Q20" s="18">
        <v>1.7492098217448709E-2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0.10292123262381418</v>
      </c>
      <c r="K21" s="18">
        <v>0.11757585022931406</v>
      </c>
      <c r="L21" s="18">
        <v>0.87536030930741093</v>
      </c>
      <c r="M21" s="18">
        <v>0.38635662296535878</v>
      </c>
      <c r="N21" s="18">
        <v>-0.13435643941728653</v>
      </c>
      <c r="O21" s="18">
        <v>0.34019890466491487</v>
      </c>
      <c r="P21" s="18">
        <v>-0.13435643941728653</v>
      </c>
      <c r="Q21" s="18">
        <v>0.34019890466491487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80</v>
      </c>
      <c r="J22" s="18">
        <v>-9.4568353886054987E-3</v>
      </c>
      <c r="K22" s="18">
        <v>1.1993395714876688E-2</v>
      </c>
      <c r="L22" s="18">
        <v>-0.78850357425255113</v>
      </c>
      <c r="M22" s="18">
        <v>0.43483044546575933</v>
      </c>
      <c r="N22" s="18">
        <v>-3.3660487835459302E-2</v>
      </c>
      <c r="O22" s="18">
        <v>1.4746817058248301E-2</v>
      </c>
      <c r="P22" s="18">
        <v>-3.3660487835459302E-2</v>
      </c>
      <c r="Q22" s="18">
        <v>1.4746817058248301E-2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6.6196515184284611E-5</v>
      </c>
      <c r="K23" s="22">
        <v>9.1184281311124405E-5</v>
      </c>
      <c r="L23" s="22">
        <v>0.72596410513364096</v>
      </c>
      <c r="M23" s="22">
        <v>0.47188709137632967</v>
      </c>
      <c r="N23" s="22">
        <v>-1.1782081451434554E-4</v>
      </c>
      <c r="O23" s="22">
        <v>2.5021384488291477E-4</v>
      </c>
      <c r="P23" s="22">
        <v>-1.1782081451434554E-4</v>
      </c>
      <c r="Q23" s="22">
        <v>2.5021384488291477E-4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0.38538184246103124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0.1485191644986591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4.3616227784245683E-2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2.6608863646852401E-2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5.1869201975309441E-3</v>
      </c>
      <c r="L13" s="18">
        <v>1.0373840395061888E-3</v>
      </c>
      <c r="M13" s="18">
        <v>1.4651662489317081</v>
      </c>
      <c r="N13" s="18">
        <v>0.22213274802507357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2.9737328232224896E-2</v>
      </c>
      <c r="L14" s="18">
        <v>7.0803162457678322E-4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0.1382307811188451</v>
      </c>
      <c r="K19" s="18">
        <v>0.12045580165760315</v>
      </c>
      <c r="L19" s="18">
        <v>1.1475643282983372</v>
      </c>
      <c r="M19" s="18">
        <v>0.25764336986682479</v>
      </c>
      <c r="N19" s="18">
        <v>-0.10485886820469167</v>
      </c>
      <c r="O19" s="18">
        <v>0.38132043044238184</v>
      </c>
      <c r="P19" s="18">
        <v>-0.10485886820469167</v>
      </c>
      <c r="Q19" s="18">
        <v>0.38132043044238184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-0.17717950036944846</v>
      </c>
      <c r="K20" s="18">
        <v>0.11243790043322523</v>
      </c>
      <c r="L20" s="18">
        <v>-1.5757987270019513</v>
      </c>
      <c r="M20" s="18">
        <v>0.12257564434271824</v>
      </c>
      <c r="N20" s="18">
        <v>-0.40408836993706254</v>
      </c>
      <c r="O20" s="18">
        <v>4.9729369198165618E-2</v>
      </c>
      <c r="P20" s="18">
        <v>-0.40408836993706254</v>
      </c>
      <c r="Q20" s="18">
        <v>4.9729369198165618E-2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0.15062225382214742</v>
      </c>
      <c r="K21" s="18">
        <v>0.16345584947823885</v>
      </c>
      <c r="L21" s="18">
        <v>0.92148585873765265</v>
      </c>
      <c r="M21" s="18">
        <v>0.36205994868267166</v>
      </c>
      <c r="N21" s="18">
        <v>-0.17924500522853246</v>
      </c>
      <c r="O21" s="18">
        <v>0.48048951287282726</v>
      </c>
      <c r="P21" s="18">
        <v>-0.17924500522853246</v>
      </c>
      <c r="Q21" s="18">
        <v>0.48048951287282726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81</v>
      </c>
      <c r="J22" s="18">
        <v>9.6361964180799332E-3</v>
      </c>
      <c r="K22" s="18">
        <v>1.1916912706466555E-2</v>
      </c>
      <c r="L22" s="18">
        <v>0.80861517201942568</v>
      </c>
      <c r="M22" s="18">
        <v>0.423293423500537</v>
      </c>
      <c r="N22" s="18">
        <v>-1.4413107068924869E-2</v>
      </c>
      <c r="O22" s="18">
        <v>3.3685499905084737E-2</v>
      </c>
      <c r="P22" s="18">
        <v>-1.4413107068924869E-2</v>
      </c>
      <c r="Q22" s="18">
        <v>3.3685499905084737E-2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1.1275319402989038E-4</v>
      </c>
      <c r="K23" s="22">
        <v>9.3013491434523608E-5</v>
      </c>
      <c r="L23" s="22">
        <v>1.2122240794418779</v>
      </c>
      <c r="M23" s="22">
        <v>0.23220190959264678</v>
      </c>
      <c r="N23" s="22">
        <v>-7.4955631149381974E-5</v>
      </c>
      <c r="O23" s="22">
        <v>3.0046201920916273E-4</v>
      </c>
      <c r="P23" s="22">
        <v>-7.4955631149381974E-5</v>
      </c>
      <c r="Q23" s="22">
        <v>3.0046201920916273E-4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0.3458082516574788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0.11958334691440219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1.1924618049107156E-2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2.7057210074235727E-2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4.1763585157002583E-3</v>
      </c>
      <c r="L13" s="18">
        <v>8.3527170314005167E-4</v>
      </c>
      <c r="M13" s="18">
        <v>1.1409372034939425</v>
      </c>
      <c r="N13" s="18">
        <v>0.35447421121984435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3.0747889914055582E-2</v>
      </c>
      <c r="L14" s="18">
        <v>7.3209261700132335E-4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0.13459541672584033</v>
      </c>
      <c r="K19" s="18">
        <v>0.1229636401357652</v>
      </c>
      <c r="L19" s="18">
        <v>1.0945952525253186</v>
      </c>
      <c r="M19" s="18">
        <v>0.27993178666916813</v>
      </c>
      <c r="N19" s="18">
        <v>-0.11355525554409934</v>
      </c>
      <c r="O19" s="18">
        <v>0.38274608899578</v>
      </c>
      <c r="P19" s="18">
        <v>-0.11355525554409934</v>
      </c>
      <c r="Q19" s="18">
        <v>0.38274608899578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-0.19798824554629763</v>
      </c>
      <c r="K20" s="18">
        <v>0.11381335428246549</v>
      </c>
      <c r="L20" s="18">
        <v>-1.7395871230973854</v>
      </c>
      <c r="M20" s="18">
        <v>8.9256234047431965E-2</v>
      </c>
      <c r="N20" s="18">
        <v>-0.4276728933601347</v>
      </c>
      <c r="O20" s="18">
        <v>3.169640226753942E-2</v>
      </c>
      <c r="P20" s="18">
        <v>-0.4276728933601347</v>
      </c>
      <c r="Q20" s="18">
        <v>3.169640226753942E-2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7.4377759410224883E-2</v>
      </c>
      <c r="K21" s="18">
        <v>9.4685746802588011E-2</v>
      </c>
      <c r="L21" s="18">
        <v>0.78552223456922599</v>
      </c>
      <c r="M21" s="18">
        <v>0.43655656586294889</v>
      </c>
      <c r="N21" s="18">
        <v>-0.11670581372977816</v>
      </c>
      <c r="O21" s="18">
        <v>0.26546133255022791</v>
      </c>
      <c r="P21" s="18">
        <v>-0.11670581372977816</v>
      </c>
      <c r="Q21" s="18">
        <v>0.26546133255022791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82</v>
      </c>
      <c r="J22" s="18">
        <v>2.1402477630925705E-3</v>
      </c>
      <c r="K22" s="18">
        <v>7.2588240306077469E-3</v>
      </c>
      <c r="L22" s="18">
        <v>0.29484772658325176</v>
      </c>
      <c r="M22" s="18">
        <v>0.76956276837867577</v>
      </c>
      <c r="N22" s="18">
        <v>-1.2508652197055766E-2</v>
      </c>
      <c r="O22" s="18">
        <v>1.6789147723240909E-2</v>
      </c>
      <c r="P22" s="18">
        <v>-1.2508652197055766E-2</v>
      </c>
      <c r="Q22" s="18">
        <v>1.6789147723240909E-2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9.035662250479611E-5</v>
      </c>
      <c r="K23" s="22">
        <v>9.1378693644794643E-5</v>
      </c>
      <c r="L23" s="22">
        <v>0.98881499505813131</v>
      </c>
      <c r="M23" s="22">
        <v>0.32841629006900497</v>
      </c>
      <c r="N23" s="22">
        <v>-9.4053047167216194E-5</v>
      </c>
      <c r="O23" s="22">
        <v>2.7476629217680843E-4</v>
      </c>
      <c r="P23" s="22">
        <v>-9.4053047167216194E-5</v>
      </c>
      <c r="Q23" s="22">
        <v>2.7476629217680843E-4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0.34853739729773409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0.12147831731507855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1.4000061821276503E-2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2.7028076009699233E-2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4.2425389327405139E-3</v>
      </c>
      <c r="L13" s="18">
        <v>8.4850778654810277E-4</v>
      </c>
      <c r="M13" s="18">
        <v>1.1615169956057065</v>
      </c>
      <c r="N13" s="18">
        <v>0.34441353917594236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3.0681709497015326E-2</v>
      </c>
      <c r="L14" s="18">
        <v>7.3051689278607918E-4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0.11997613531909547</v>
      </c>
      <c r="K19" s="18">
        <v>0.1213785137396623</v>
      </c>
      <c r="L19" s="18">
        <v>0.98844623832209133</v>
      </c>
      <c r="M19" s="18">
        <v>0.32859464865178512</v>
      </c>
      <c r="N19" s="18">
        <v>-0.12497562237421438</v>
      </c>
      <c r="O19" s="18">
        <v>0.3649278930124053</v>
      </c>
      <c r="P19" s="18">
        <v>-0.12497562237421438</v>
      </c>
      <c r="Q19" s="18">
        <v>0.3649278930124053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-0.17243902868894906</v>
      </c>
      <c r="K20" s="18">
        <v>0.11698910389294519</v>
      </c>
      <c r="L20" s="18">
        <v>-1.4739751220485044</v>
      </c>
      <c r="M20" s="18">
        <v>0.14794467474993803</v>
      </c>
      <c r="N20" s="18">
        <v>-0.40853259868442798</v>
      </c>
      <c r="O20" s="18">
        <v>6.3654541306529866E-2</v>
      </c>
      <c r="P20" s="18">
        <v>-0.40853259868442798</v>
      </c>
      <c r="Q20" s="18">
        <v>6.3654541306529866E-2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0.10387668839734417</v>
      </c>
      <c r="K21" s="18">
        <v>0.12096197972195781</v>
      </c>
      <c r="L21" s="18">
        <v>0.85875486360354092</v>
      </c>
      <c r="M21" s="18">
        <v>0.39535050492952095</v>
      </c>
      <c r="N21" s="18">
        <v>-0.14023446961623481</v>
      </c>
      <c r="O21" s="18">
        <v>0.34798784641092312</v>
      </c>
      <c r="P21" s="18">
        <v>-0.14023446961623481</v>
      </c>
      <c r="Q21" s="18">
        <v>0.34798784641092312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83</v>
      </c>
      <c r="J22" s="18">
        <v>6.3636038249777586E-3</v>
      </c>
      <c r="K22" s="18">
        <v>8.9970526571710001E-3</v>
      </c>
      <c r="L22" s="18">
        <v>0.70729871964300661</v>
      </c>
      <c r="M22" s="18">
        <v>0.48328717953421962</v>
      </c>
      <c r="N22" s="18">
        <v>-1.1793183521753119E-2</v>
      </c>
      <c r="O22" s="18">
        <v>2.4520391171708636E-2</v>
      </c>
      <c r="P22" s="18">
        <v>-1.1793183521753119E-2</v>
      </c>
      <c r="Q22" s="18">
        <v>2.4520391171708636E-2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1.0410053267802925E-4</v>
      </c>
      <c r="K23" s="22">
        <v>9.4542616422071553E-5</v>
      </c>
      <c r="L23" s="22">
        <v>1.1010963797880078</v>
      </c>
      <c r="M23" s="22">
        <v>0.27712528531417774</v>
      </c>
      <c r="N23" s="22">
        <v>-8.6694191659936111E-5</v>
      </c>
      <c r="O23" s="22">
        <v>2.9489525701599463E-4</v>
      </c>
      <c r="P23" s="22">
        <v>-8.6694191659936111E-5</v>
      </c>
      <c r="Q23" s="22">
        <v>2.9489525701599463E-4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0.48603170388441203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0.23622681718078478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0.13967699024562144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2.5201192517495977E-2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8.2500440489922423E-3</v>
      </c>
      <c r="L13" s="18">
        <v>1.6500088097984485E-3</v>
      </c>
      <c r="M13" s="18">
        <v>2.5980295052965694</v>
      </c>
      <c r="N13" s="18">
        <v>3.9412729134046504E-2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2.6674204380763598E-2</v>
      </c>
      <c r="L14" s="18">
        <v>6.3510010430389515E-4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0.13413648016623234</v>
      </c>
      <c r="K19" s="18">
        <v>0.11307491585157381</v>
      </c>
      <c r="L19" s="18">
        <v>1.1862620383667115</v>
      </c>
      <c r="M19" s="18">
        <v>0.2421862418583689</v>
      </c>
      <c r="N19" s="18">
        <v>-9.4057938561564247E-2</v>
      </c>
      <c r="O19" s="18">
        <v>0.36233089889402892</v>
      </c>
      <c r="P19" s="18">
        <v>-9.4057938561564247E-2</v>
      </c>
      <c r="Q19" s="18">
        <v>0.36233089889402892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-0.19739996460914391</v>
      </c>
      <c r="K20" s="18">
        <v>0.1056665050778568</v>
      </c>
      <c r="L20" s="18">
        <v>-1.8681413231534101</v>
      </c>
      <c r="M20" s="18">
        <v>6.8729206396162215E-2</v>
      </c>
      <c r="N20" s="18">
        <v>-0.41064360510753917</v>
      </c>
      <c r="O20" s="18">
        <v>1.5843675889251313E-2</v>
      </c>
      <c r="P20" s="18">
        <v>-0.41064360510753917</v>
      </c>
      <c r="Q20" s="18">
        <v>1.5843675889251313E-2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0.12044331435170313</v>
      </c>
      <c r="K21" s="18">
        <v>5.8898304453549412E-2</v>
      </c>
      <c r="L21" s="18">
        <v>2.0449368699007566</v>
      </c>
      <c r="M21" s="18">
        <v>4.716053478359121E-2</v>
      </c>
      <c r="N21" s="18">
        <v>1.5817238069648631E-3</v>
      </c>
      <c r="O21" s="18">
        <v>0.23930490489644141</v>
      </c>
      <c r="P21" s="18">
        <v>1.5817238069648631E-3</v>
      </c>
      <c r="Q21" s="18">
        <v>0.23930490489644141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84</v>
      </c>
      <c r="J22" s="18">
        <v>8.9182870960520418E-3</v>
      </c>
      <c r="K22" s="18">
        <v>4.1181142058237244E-3</v>
      </c>
      <c r="L22" s="18">
        <v>2.1656240333111803</v>
      </c>
      <c r="M22" s="18">
        <v>3.6067144910588524E-2</v>
      </c>
      <c r="N22" s="18">
        <v>6.0759616716246634E-4</v>
      </c>
      <c r="O22" s="18">
        <v>1.7228978024941617E-2</v>
      </c>
      <c r="P22" s="18">
        <v>6.0759616716246634E-4</v>
      </c>
      <c r="Q22" s="18">
        <v>1.7228978024941617E-2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1.6574467697857151E-4</v>
      </c>
      <c r="K23" s="22">
        <v>8.9589626519616771E-5</v>
      </c>
      <c r="L23" s="22">
        <v>1.8500431737181049</v>
      </c>
      <c r="M23" s="22">
        <v>7.1351042544878049E-2</v>
      </c>
      <c r="N23" s="22">
        <v>-1.5054509063005313E-5</v>
      </c>
      <c r="O23" s="22">
        <v>3.4654386302014834E-4</v>
      </c>
      <c r="P23" s="22">
        <v>-1.5054509063005313E-5</v>
      </c>
      <c r="Q23" s="22">
        <v>3.4654386302014834E-4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0.39123379803849689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0.15306388472762736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4.8593778511210918E-2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2.6537757151213398E-2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5.3456411358511688E-3</v>
      </c>
      <c r="L13" s="18">
        <v>1.0691282271702337E-3</v>
      </c>
      <c r="M13" s="18">
        <v>1.5181034419562802</v>
      </c>
      <c r="N13" s="18">
        <v>0.20535960059160666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2.9578607293904671E-2</v>
      </c>
      <c r="L14" s="18">
        <v>7.042525546167779E-4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0.12638164639118726</v>
      </c>
      <c r="K19" s="18">
        <v>0.11903836400969305</v>
      </c>
      <c r="L19" s="18">
        <v>1.0616883678012936</v>
      </c>
      <c r="M19" s="18">
        <v>0.29444414527672019</v>
      </c>
      <c r="N19" s="18">
        <v>-0.11384749795021612</v>
      </c>
      <c r="O19" s="18">
        <v>0.36661079073259062</v>
      </c>
      <c r="P19" s="18">
        <v>-0.11384749795021612</v>
      </c>
      <c r="Q19" s="18">
        <v>0.36661079073259062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-0.14639068209951531</v>
      </c>
      <c r="K20" s="18">
        <v>0.11695902937804914</v>
      </c>
      <c r="L20" s="18">
        <v>-1.2516407059632277</v>
      </c>
      <c r="M20" s="18">
        <v>0.21762713704672695</v>
      </c>
      <c r="N20" s="18">
        <v>-0.38242355926676141</v>
      </c>
      <c r="O20" s="18">
        <v>8.9642195067730773E-2</v>
      </c>
      <c r="P20" s="18">
        <v>-0.38242355926676141</v>
      </c>
      <c r="Q20" s="18">
        <v>8.9642195067730773E-2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7.7032026432001882E-2</v>
      </c>
      <c r="K21" s="18">
        <v>6.2824336821884222E-2</v>
      </c>
      <c r="L21" s="18">
        <v>1.2261494562274242</v>
      </c>
      <c r="M21" s="18">
        <v>0.22697288169795432</v>
      </c>
      <c r="N21" s="18">
        <v>-4.9752618199945836E-2</v>
      </c>
      <c r="O21" s="18">
        <v>0.2038166710639496</v>
      </c>
      <c r="P21" s="18">
        <v>-4.9752618199945836E-2</v>
      </c>
      <c r="Q21" s="18">
        <v>0.2038166710639496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85</v>
      </c>
      <c r="J22" s="18">
        <v>6.796702132745679E-3</v>
      </c>
      <c r="K22" s="18">
        <v>4.9252835682901423E-3</v>
      </c>
      <c r="L22" s="18">
        <v>1.3799615876949836</v>
      </c>
      <c r="M22" s="18">
        <v>0.1749006065210082</v>
      </c>
      <c r="N22" s="18">
        <v>-3.1429225176130039E-3</v>
      </c>
      <c r="O22" s="18">
        <v>1.6736326783104362E-2</v>
      </c>
      <c r="P22" s="18">
        <v>-3.1429225176130039E-3</v>
      </c>
      <c r="Q22" s="18">
        <v>1.6736326783104362E-2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1.3410414901860761E-4</v>
      </c>
      <c r="K23" s="22">
        <v>9.5628496726326304E-5</v>
      </c>
      <c r="L23" s="22">
        <v>1.4023450499529713</v>
      </c>
      <c r="M23" s="22">
        <v>0.16816065120539356</v>
      </c>
      <c r="N23" s="22">
        <v>-5.8881970492825176E-5</v>
      </c>
      <c r="O23" s="22">
        <v>3.2709026853004037E-4</v>
      </c>
      <c r="P23" s="22">
        <v>-5.8881970492825176E-5</v>
      </c>
      <c r="Q23" s="22">
        <v>3.2709026853004037E-4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0.32710621897275127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0.10699847849064952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-1.858809272145762E-3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2.7249904755334863E-2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3.7368414444133302E-3</v>
      </c>
      <c r="L13" s="18">
        <v>7.4736828888266604E-4</v>
      </c>
      <c r="M13" s="18">
        <v>1.006478933879448</v>
      </c>
      <c r="N13" s="18">
        <v>0.42617949048031861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3.118740698534251E-2</v>
      </c>
      <c r="L14" s="18">
        <v>7.4255730917482162E-4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0.1205658475715293</v>
      </c>
      <c r="K19" s="18">
        <v>0.12257216343959076</v>
      </c>
      <c r="L19" s="18">
        <v>0.98363155375771538</v>
      </c>
      <c r="M19" s="18">
        <v>0.33092936359380898</v>
      </c>
      <c r="N19" s="18">
        <v>-0.12679479274078093</v>
      </c>
      <c r="O19" s="18">
        <v>0.36792648788383953</v>
      </c>
      <c r="P19" s="18">
        <v>-0.12679479274078093</v>
      </c>
      <c r="Q19" s="18">
        <v>0.36792648788383953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-0.20904968748457917</v>
      </c>
      <c r="K20" s="18">
        <v>0.11860042769138722</v>
      </c>
      <c r="L20" s="18">
        <v>-1.7626385634000574</v>
      </c>
      <c r="M20" s="18">
        <v>8.52374368361343E-2</v>
      </c>
      <c r="N20" s="18">
        <v>-0.44839504055500989</v>
      </c>
      <c r="O20" s="18">
        <v>3.0295665585851533E-2</v>
      </c>
      <c r="P20" s="18">
        <v>-0.44839504055500989</v>
      </c>
      <c r="Q20" s="18">
        <v>3.0295665585851533E-2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-2.868992518227954E-2</v>
      </c>
      <c r="K21" s="18">
        <v>0.10054632284332111</v>
      </c>
      <c r="L21" s="18">
        <v>-0.28534037218831315</v>
      </c>
      <c r="M21" s="18">
        <v>0.77678585921193877</v>
      </c>
      <c r="N21" s="18">
        <v>-0.23160061959806225</v>
      </c>
      <c r="O21" s="18">
        <v>0.17422076923350319</v>
      </c>
      <c r="P21" s="18">
        <v>-0.23160061959806225</v>
      </c>
      <c r="Q21" s="18">
        <v>0.17422076923350319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86</v>
      </c>
      <c r="J22" s="18">
        <v>-2.2793408238752258E-3</v>
      </c>
      <c r="K22" s="18">
        <v>6.6756769525628656E-3</v>
      </c>
      <c r="L22" s="18">
        <v>-0.34143965324747505</v>
      </c>
      <c r="M22" s="18">
        <v>0.73447504159513466</v>
      </c>
      <c r="N22" s="18">
        <v>-1.575140233576915E-2</v>
      </c>
      <c r="O22" s="18">
        <v>1.1192720688018697E-2</v>
      </c>
      <c r="P22" s="18">
        <v>-1.575140233576915E-2</v>
      </c>
      <c r="Q22" s="18">
        <v>1.1192720688018697E-2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6.3119611549916911E-5</v>
      </c>
      <c r="K23" s="22">
        <v>9.6437481870341669E-5</v>
      </c>
      <c r="L23" s="22">
        <v>0.65451326938191945</v>
      </c>
      <c r="M23" s="22">
        <v>0.51634959290344473</v>
      </c>
      <c r="N23" s="22">
        <v>-1.3149910607850523E-4</v>
      </c>
      <c r="O23" s="22">
        <v>2.5773832917833908E-4</v>
      </c>
      <c r="P23" s="22">
        <v>-1.3149910607850523E-4</v>
      </c>
      <c r="Q23" s="22">
        <v>2.5773832917833908E-4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0.33290679231849468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0.11082693237178935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2.3342592643407108E-3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2.719142945807939E-2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3.8705473188601208E-3</v>
      </c>
      <c r="L13" s="18">
        <v>7.7410946377202419E-4</v>
      </c>
      <c r="M13" s="18">
        <v>1.0469797903418803</v>
      </c>
      <c r="N13" s="18">
        <v>0.40348265191128529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3.1053701110895719E-2</v>
      </c>
      <c r="L14" s="18">
        <v>7.3937383597370756E-4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0.12690049698484177</v>
      </c>
      <c r="K19" s="18">
        <v>0.12409312806219536</v>
      </c>
      <c r="L19" s="18">
        <v>1.0226230812816592</v>
      </c>
      <c r="M19" s="18">
        <v>0.31234042168782306</v>
      </c>
      <c r="N19" s="18">
        <v>-0.12352957420298097</v>
      </c>
      <c r="O19" s="18">
        <v>0.37733056817266453</v>
      </c>
      <c r="P19" s="18">
        <v>-0.12352957420298097</v>
      </c>
      <c r="Q19" s="18">
        <v>0.37733056817266453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-0.19443213946977458</v>
      </c>
      <c r="K20" s="18">
        <v>0.11434778174202019</v>
      </c>
      <c r="L20" s="18">
        <v>-1.7003577726451446</v>
      </c>
      <c r="M20" s="18">
        <v>9.6458427484264253E-2</v>
      </c>
      <c r="N20" s="18">
        <v>-0.4251953055612227</v>
      </c>
      <c r="O20" s="18">
        <v>3.6331026621673534E-2</v>
      </c>
      <c r="P20" s="18">
        <v>-0.4251953055612227</v>
      </c>
      <c r="Q20" s="18">
        <v>3.6331026621673534E-2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4.6927814270567726E-2</v>
      </c>
      <c r="K21" s="18">
        <v>0.2142979110336945</v>
      </c>
      <c r="L21" s="18">
        <v>0.21898400243009913</v>
      </c>
      <c r="M21" s="18">
        <v>0.82772321527820347</v>
      </c>
      <c r="N21" s="18">
        <v>-0.38554287893874634</v>
      </c>
      <c r="O21" s="18">
        <v>0.47939850747988183</v>
      </c>
      <c r="P21" s="18">
        <v>-0.38554287893874634</v>
      </c>
      <c r="Q21" s="18">
        <v>0.47939850747988183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87</v>
      </c>
      <c r="J22" s="18">
        <v>4.4988081891887775E-3</v>
      </c>
      <c r="K22" s="18">
        <v>1.5404976725234972E-2</v>
      </c>
      <c r="L22" s="18">
        <v>0.29203602637187087</v>
      </c>
      <c r="M22" s="18">
        <v>0.77169679758744336</v>
      </c>
      <c r="N22" s="18">
        <v>-2.6589693472351947E-2</v>
      </c>
      <c r="O22" s="18">
        <v>3.5587309850729498E-2</v>
      </c>
      <c r="P22" s="18">
        <v>-2.6589693472351947E-2</v>
      </c>
      <c r="Q22" s="18">
        <v>3.5587309850729498E-2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9.1116485090213928E-5</v>
      </c>
      <c r="K23" s="22">
        <v>9.3782718345756594E-5</v>
      </c>
      <c r="L23" s="22">
        <v>0.97157010051987569</v>
      </c>
      <c r="M23" s="22">
        <v>0.33682684602502733</v>
      </c>
      <c r="N23" s="22">
        <v>-9.8144702843933269E-5</v>
      </c>
      <c r="O23" s="22">
        <v>2.8037767302436113E-4</v>
      </c>
      <c r="P23" s="22">
        <v>-9.8144702843933269E-5</v>
      </c>
      <c r="Q23" s="22">
        <v>2.8037767302436113E-4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0.43499297199158465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0.18921888568207154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8.8192112889887889E-2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2.596514195287946E-2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6.608327371162237E-3</v>
      </c>
      <c r="L13" s="18">
        <v>1.3216654742324474E-3</v>
      </c>
      <c r="M13" s="18">
        <v>1.9603794558862166</v>
      </c>
      <c r="N13" s="18">
        <v>0.10513303505038835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2.8315921058593603E-2</v>
      </c>
      <c r="L14" s="18">
        <v>6.7418859663318106E-4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0.15413831288518695</v>
      </c>
      <c r="K19" s="18">
        <v>0.11829185328857514</v>
      </c>
      <c r="L19" s="18">
        <v>1.3030340517969883</v>
      </c>
      <c r="M19" s="18">
        <v>0.19966196051270846</v>
      </c>
      <c r="N19" s="18">
        <v>-8.4584311828970582E-2</v>
      </c>
      <c r="O19" s="18">
        <v>0.39286093759934448</v>
      </c>
      <c r="P19" s="18">
        <v>-8.4584311828970582E-2</v>
      </c>
      <c r="Q19" s="18">
        <v>0.39286093759934448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-0.20860785959515915</v>
      </c>
      <c r="K20" s="18">
        <v>0.10908200454754806</v>
      </c>
      <c r="L20" s="18">
        <v>-1.912394812145467</v>
      </c>
      <c r="M20" s="18">
        <v>6.2661703703035268E-2</v>
      </c>
      <c r="N20" s="18">
        <v>-0.4287442570793244</v>
      </c>
      <c r="O20" s="18">
        <v>1.1528537889006124E-2</v>
      </c>
      <c r="P20" s="18">
        <v>-0.4287442570793244</v>
      </c>
      <c r="Q20" s="18">
        <v>1.1528537889006124E-2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-3.2121697549083138E-2</v>
      </c>
      <c r="K21" s="18">
        <v>1.5482516886538013E-2</v>
      </c>
      <c r="L21" s="18">
        <v>-2.074707735472443</v>
      </c>
      <c r="M21" s="18">
        <v>4.4177964196400209E-2</v>
      </c>
      <c r="N21" s="18">
        <v>-6.3366681591383117E-2</v>
      </c>
      <c r="O21" s="18">
        <v>-8.7671350678315829E-4</v>
      </c>
      <c r="P21" s="18">
        <v>-6.3366681591383117E-2</v>
      </c>
      <c r="Q21" s="18">
        <v>-8.7671350678315829E-4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-8.6934697863017704E-5</v>
      </c>
      <c r="K22" s="18">
        <v>1.1374478561072645E-3</v>
      </c>
      <c r="L22" s="18">
        <v>-7.6429611604823769E-2</v>
      </c>
      <c r="M22" s="18">
        <v>0.93944023592467252</v>
      </c>
      <c r="N22" s="18">
        <v>-2.3823974041831571E-3</v>
      </c>
      <c r="O22" s="18">
        <v>2.2085280084571217E-3</v>
      </c>
      <c r="P22" s="18">
        <v>-2.3823974041831571E-3</v>
      </c>
      <c r="Q22" s="18">
        <v>2.2085280084571217E-3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8.7615128673356276E-6</v>
      </c>
      <c r="K23" s="22">
        <v>9.7342607500501812E-5</v>
      </c>
      <c r="L23" s="22">
        <v>9.0006967065171958E-2</v>
      </c>
      <c r="M23" s="22">
        <v>0.92870954875981782</v>
      </c>
      <c r="N23" s="22">
        <v>-1.876838222340647E-4</v>
      </c>
      <c r="O23" s="22">
        <v>2.0520684796873596E-4</v>
      </c>
      <c r="P23" s="22">
        <v>-1.876838222340647E-4</v>
      </c>
      <c r="Q23" s="22">
        <v>2.0520684796873596E-4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0.40314464212891138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0.16252560247724801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5.8956612236985909E-2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2.6389104855280118E-2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5.6760845171111504E-3</v>
      </c>
      <c r="L13" s="18">
        <v>1.1352169034222301E-3</v>
      </c>
      <c r="M13" s="18">
        <v>1.630157369403993</v>
      </c>
      <c r="N13" s="18">
        <v>0.17366594906575192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2.924816391264469E-2</v>
      </c>
      <c r="L14" s="18">
        <v>6.9638485506296876E-4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0.14967544247497419</v>
      </c>
      <c r="K19" s="18">
        <v>0.11983306700119589</v>
      </c>
      <c r="L19" s="18">
        <v>1.2490328940131399</v>
      </c>
      <c r="M19" s="18">
        <v>0.2185698635289717</v>
      </c>
      <c r="N19" s="18">
        <v>-9.2157477432756152E-2</v>
      </c>
      <c r="O19" s="18">
        <v>0.39150836238270453</v>
      </c>
      <c r="P19" s="18">
        <v>-9.2157477432756152E-2</v>
      </c>
      <c r="Q19" s="18">
        <v>0.39150836238270453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-0.18222095777585184</v>
      </c>
      <c r="K20" s="18">
        <v>0.11100172810995092</v>
      </c>
      <c r="L20" s="18">
        <v>-1.6416046928148353</v>
      </c>
      <c r="M20" s="18">
        <v>0.10814014989116412</v>
      </c>
      <c r="N20" s="18">
        <v>-0.40623151425577175</v>
      </c>
      <c r="O20" s="18">
        <v>4.1789598704068093E-2</v>
      </c>
      <c r="P20" s="18">
        <v>-0.40623151425577175</v>
      </c>
      <c r="Q20" s="18">
        <v>4.1789598704068093E-2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-0.62535404006019157</v>
      </c>
      <c r="K21" s="18">
        <v>0.37042406164595987</v>
      </c>
      <c r="L21" s="18">
        <v>-1.688211174191719</v>
      </c>
      <c r="M21" s="18">
        <v>9.8783808473919835E-2</v>
      </c>
      <c r="N21" s="18">
        <v>-1.3729000611515954</v>
      </c>
      <c r="O21" s="18">
        <v>0.1221919810312122</v>
      </c>
      <c r="P21" s="18">
        <v>-1.3729000611515954</v>
      </c>
      <c r="Q21" s="18">
        <v>0.1221919810312122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88</v>
      </c>
      <c r="J22" s="18">
        <v>-2.0183959456416028E-2</v>
      </c>
      <c r="K22" s="18">
        <v>3.262499792685962E-2</v>
      </c>
      <c r="L22" s="18">
        <v>-0.61866546326425687</v>
      </c>
      <c r="M22" s="18">
        <v>0.5394778539615579</v>
      </c>
      <c r="N22" s="18">
        <v>-8.6023870827101168E-2</v>
      </c>
      <c r="O22" s="18">
        <v>4.5655951914269105E-2</v>
      </c>
      <c r="P22" s="18">
        <v>-8.6023870827101168E-2</v>
      </c>
      <c r="Q22" s="18">
        <v>4.5655951914269105E-2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2.7985774332911105E-5</v>
      </c>
      <c r="K23" s="22">
        <v>9.3311580256921845E-5</v>
      </c>
      <c r="L23" s="22">
        <v>0.29991748350907521</v>
      </c>
      <c r="M23" s="22">
        <v>0.76571949177713372</v>
      </c>
      <c r="N23" s="22">
        <v>-1.6032461844465781E-4</v>
      </c>
      <c r="O23" s="22">
        <v>2.1629616711048004E-4</v>
      </c>
      <c r="P23" s="22">
        <v>-1.6032461844465781E-4</v>
      </c>
      <c r="Q23" s="22">
        <v>2.1629616711048004E-4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0.3900801752295634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0.15216254310712687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4.7606594831615154E-2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2.6551874641278519E-2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5.3141624571767312E-3</v>
      </c>
      <c r="L13" s="18">
        <v>1.0628324914353463E-3</v>
      </c>
      <c r="M13" s="18">
        <v>1.5075594404427994</v>
      </c>
      <c r="N13" s="18">
        <v>0.2086041804413889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2.9610085972579109E-2</v>
      </c>
      <c r="L14" s="18">
        <v>7.0500204696616927E-4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0.1387476318635508</v>
      </c>
      <c r="K19" s="18">
        <v>0.11987565240623209</v>
      </c>
      <c r="L19" s="18">
        <v>1.157429628773704</v>
      </c>
      <c r="M19" s="18">
        <v>0.25363704276886417</v>
      </c>
      <c r="N19" s="18">
        <v>-0.10317122887089022</v>
      </c>
      <c r="O19" s="18">
        <v>0.38066649259799179</v>
      </c>
      <c r="P19" s="18">
        <v>-0.10317122887089022</v>
      </c>
      <c r="Q19" s="18">
        <v>0.38066649259799179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-0.20058320913831082</v>
      </c>
      <c r="K20" s="18">
        <v>0.1123868665128861</v>
      </c>
      <c r="L20" s="18">
        <v>-1.7847566656314977</v>
      </c>
      <c r="M20" s="18">
        <v>8.1524943320223378E-2</v>
      </c>
      <c r="N20" s="18">
        <v>-0.42738908808506537</v>
      </c>
      <c r="O20" s="18">
        <v>2.622266980844376E-2</v>
      </c>
      <c r="P20" s="18">
        <v>-0.42738908808506537</v>
      </c>
      <c r="Q20" s="18">
        <v>2.622266980844376E-2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-0.93855666122914283</v>
      </c>
      <c r="K21" s="18">
        <v>0.65012201628843291</v>
      </c>
      <c r="L21" s="18">
        <v>-1.443662324477784</v>
      </c>
      <c r="M21" s="18">
        <v>0.15625219688727321</v>
      </c>
      <c r="N21" s="18">
        <v>-2.2505560069002652</v>
      </c>
      <c r="O21" s="18">
        <v>0.37344268444197948</v>
      </c>
      <c r="P21" s="18">
        <v>-2.2505560069002652</v>
      </c>
      <c r="Q21" s="18">
        <v>0.37344268444197948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89</v>
      </c>
      <c r="J22" s="18">
        <v>3.0349108646422051E-2</v>
      </c>
      <c r="K22" s="18">
        <v>4.5935270733355876E-2</v>
      </c>
      <c r="L22" s="18">
        <v>0.66069293076755631</v>
      </c>
      <c r="M22" s="18">
        <v>0.51241706571883905</v>
      </c>
      <c r="N22" s="18">
        <v>-6.2352020734575103E-2</v>
      </c>
      <c r="O22" s="18">
        <v>0.12305023802741921</v>
      </c>
      <c r="P22" s="18">
        <v>-6.2352020734575103E-2</v>
      </c>
      <c r="Q22" s="18">
        <v>0.12305023802741921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6.175637749953159E-5</v>
      </c>
      <c r="K23" s="22">
        <v>8.7949204387721098E-5</v>
      </c>
      <c r="L23" s="22">
        <v>0.70218233273925579</v>
      </c>
      <c r="M23" s="22">
        <v>0.48643891765921754</v>
      </c>
      <c r="N23" s="22">
        <v>-1.1573230265276816E-4</v>
      </c>
      <c r="O23" s="22">
        <v>2.3924505765183135E-4</v>
      </c>
      <c r="P23" s="22">
        <v>-1.1573230265276816E-4</v>
      </c>
      <c r="Q23" s="22">
        <v>2.3924505765183135E-4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0.38671756608654645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0.14955047591990242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4.4745759340845508E-2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2.6592744470527757E-2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5.2229379738148903E-3</v>
      </c>
      <c r="L13" s="18">
        <v>1.0445875947629781E-3</v>
      </c>
      <c r="M13" s="18">
        <v>1.477129402930756</v>
      </c>
      <c r="N13" s="18">
        <v>0.21823549956034738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2.970131045594095E-2</v>
      </c>
      <c r="L14" s="18">
        <v>7.0717405847478456E-4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0.12742985748241814</v>
      </c>
      <c r="K19" s="18">
        <v>0.1201964108719913</v>
      </c>
      <c r="L19" s="18">
        <v>1.0601802213389753</v>
      </c>
      <c r="M19" s="18">
        <v>0.29512156329653388</v>
      </c>
      <c r="N19" s="18">
        <v>-0.11513632004279567</v>
      </c>
      <c r="O19" s="18">
        <v>0.36999603500763195</v>
      </c>
      <c r="P19" s="18">
        <v>-0.11513632004279567</v>
      </c>
      <c r="Q19" s="18">
        <v>0.36999603500763195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-0.1756697381536905</v>
      </c>
      <c r="K20" s="18">
        <v>0.11329366189787071</v>
      </c>
      <c r="L20" s="18">
        <v>-1.5505698660534875</v>
      </c>
      <c r="M20" s="18">
        <v>0.12850820391125051</v>
      </c>
      <c r="N20" s="18">
        <v>-0.40430560427508272</v>
      </c>
      <c r="O20" s="18">
        <v>5.2966127967701726E-2</v>
      </c>
      <c r="P20" s="18">
        <v>-0.40430560427508272</v>
      </c>
      <c r="Q20" s="18">
        <v>5.2966127967701726E-2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7.5144681365651805E-2</v>
      </c>
      <c r="K21" s="18">
        <v>0.116991812572697</v>
      </c>
      <c r="L21" s="18">
        <v>0.64230718127354425</v>
      </c>
      <c r="M21" s="18">
        <v>0.524164516544666</v>
      </c>
      <c r="N21" s="18">
        <v>-0.16095435496687305</v>
      </c>
      <c r="O21" s="18">
        <v>0.31124371769817666</v>
      </c>
      <c r="P21" s="18">
        <v>-0.16095435496687305</v>
      </c>
      <c r="Q21" s="18">
        <v>0.31124371769817666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90</v>
      </c>
      <c r="J22" s="18">
        <v>1.5874931581503174E-2</v>
      </c>
      <c r="K22" s="18">
        <v>1.0617656439730654E-2</v>
      </c>
      <c r="L22" s="18">
        <v>1.4951445897326363</v>
      </c>
      <c r="M22" s="18">
        <v>0.14235317539997402</v>
      </c>
      <c r="N22" s="18">
        <v>-5.5523666063297047E-3</v>
      </c>
      <c r="O22" s="18">
        <v>3.7302229769336052E-2</v>
      </c>
      <c r="P22" s="18">
        <v>-5.5523666063297047E-3</v>
      </c>
      <c r="Q22" s="18">
        <v>3.7302229769336052E-2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1.1920539974824371E-4</v>
      </c>
      <c r="K23" s="22">
        <v>9.2922744051964764E-5</v>
      </c>
      <c r="L23" s="22">
        <v>1.2828441622600062</v>
      </c>
      <c r="M23" s="22">
        <v>0.20658112822230498</v>
      </c>
      <c r="N23" s="22">
        <v>-6.8320289798707963E-5</v>
      </c>
      <c r="O23" s="22">
        <v>3.067310892951954E-4</v>
      </c>
      <c r="P23" s="22">
        <v>-6.8320289798707963E-5</v>
      </c>
      <c r="Q23" s="22">
        <v>3.067310892951954E-4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0.4356082175168931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0.18975451916824485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8.8778759089030074E-2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2.5956563745380103E-2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6.6270339681006492E-3</v>
      </c>
      <c r="L13" s="18">
        <v>1.3254067936201298E-3</v>
      </c>
      <c r="M13" s="18">
        <v>1.9672284495521088</v>
      </c>
      <c r="N13" s="18">
        <v>0.10403554623283674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2.8297214461655191E-2</v>
      </c>
      <c r="L14" s="18">
        <v>6.7374320146798073E-4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0.15326290561114889</v>
      </c>
      <c r="K19" s="18">
        <v>0.11800612407338296</v>
      </c>
      <c r="L19" s="18">
        <v>1.2987707783355484</v>
      </c>
      <c r="M19" s="18">
        <v>0.20110820871010263</v>
      </c>
      <c r="N19" s="18">
        <v>-8.4883094201868625E-2</v>
      </c>
      <c r="O19" s="18">
        <v>0.3914089054241664</v>
      </c>
      <c r="P19" s="18">
        <v>-8.4883094201868625E-2</v>
      </c>
      <c r="Q19" s="18">
        <v>0.3914089054241664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-0.22285530105231008</v>
      </c>
      <c r="K20" s="18">
        <v>0.10950624531427412</v>
      </c>
      <c r="L20" s="18">
        <v>-2.0350921576457424</v>
      </c>
      <c r="M20" s="18">
        <v>4.8184706214995147E-2</v>
      </c>
      <c r="N20" s="18">
        <v>-0.44384785106539493</v>
      </c>
      <c r="O20" s="18">
        <v>-1.8627510392252578E-3</v>
      </c>
      <c r="P20" s="18">
        <v>-0.44384785106539493</v>
      </c>
      <c r="Q20" s="18">
        <v>-1.8627510392252578E-3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-0.30956392927903964</v>
      </c>
      <c r="K21" s="18">
        <v>0.15622806771433678</v>
      </c>
      <c r="L21" s="18">
        <v>-1.9814872820745479</v>
      </c>
      <c r="M21" s="18">
        <v>5.4107498326960206E-2</v>
      </c>
      <c r="N21" s="18">
        <v>-0.62484493420002396</v>
      </c>
      <c r="O21" s="18">
        <v>5.7170756419446245E-3</v>
      </c>
      <c r="P21" s="18">
        <v>-0.62484493420002396</v>
      </c>
      <c r="Q21" s="18">
        <v>5.7170756419446245E-3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91</v>
      </c>
      <c r="J22" s="18">
        <v>-2.4731027855731716E-3</v>
      </c>
      <c r="K22" s="18">
        <v>1.2307265644193224E-2</v>
      </c>
      <c r="L22" s="18">
        <v>-0.20094656742377404</v>
      </c>
      <c r="M22" s="18">
        <v>0.84171033991947286</v>
      </c>
      <c r="N22" s="18">
        <v>-2.7310170393845593E-2</v>
      </c>
      <c r="O22" s="18">
        <v>2.2363964822699253E-2</v>
      </c>
      <c r="P22" s="18">
        <v>-2.7310170393845593E-2</v>
      </c>
      <c r="Q22" s="18">
        <v>2.2363964822699253E-2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3.3456147006509518E-5</v>
      </c>
      <c r="K23" s="22">
        <v>9.2989966813706893E-5</v>
      </c>
      <c r="L23" s="22">
        <v>0.35978233085655881</v>
      </c>
      <c r="M23" s="22">
        <v>0.7208127541087177</v>
      </c>
      <c r="N23" s="22">
        <v>-1.5420520356592687E-4</v>
      </c>
      <c r="O23" s="22">
        <v>2.211174975789459E-4</v>
      </c>
      <c r="P23" s="22">
        <v>-1.5420520356592687E-4</v>
      </c>
      <c r="Q23" s="22">
        <v>2.211174975789459E-4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0.38207299768552172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0.14597977556040068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4.0834992280438839E-2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2.6648512190384239E-2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5.0982339473914333E-3</v>
      </c>
      <c r="L13" s="18">
        <v>1.0196467894782867E-3</v>
      </c>
      <c r="M13" s="18">
        <v>1.4358326414482834</v>
      </c>
      <c r="N13" s="18">
        <v>0.23196010077138995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2.9826014482364407E-2</v>
      </c>
      <c r="L14" s="18">
        <v>7.1014320196105736E-4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0.13301907892541578</v>
      </c>
      <c r="K19" s="18">
        <v>0.11989970149401703</v>
      </c>
      <c r="L19" s="18">
        <v>1.1094196004487418</v>
      </c>
      <c r="M19" s="18">
        <v>0.27356126897216221</v>
      </c>
      <c r="N19" s="18">
        <v>-0.10894831483305351</v>
      </c>
      <c r="O19" s="18">
        <v>0.37498647268388507</v>
      </c>
      <c r="P19" s="18">
        <v>-0.10894831483305351</v>
      </c>
      <c r="Q19" s="18">
        <v>0.37498647268388507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-0.22311500887872746</v>
      </c>
      <c r="K20" s="18">
        <v>0.11336287487077709</v>
      </c>
      <c r="L20" s="18">
        <v>-1.968148824145977</v>
      </c>
      <c r="M20" s="18">
        <v>5.5675604322162266E-2</v>
      </c>
      <c r="N20" s="18">
        <v>-0.45189055243433973</v>
      </c>
      <c r="O20" s="18">
        <v>5.6605346768848208E-3</v>
      </c>
      <c r="P20" s="18">
        <v>-0.45189055243433973</v>
      </c>
      <c r="Q20" s="18">
        <v>5.6605346768848208E-3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-0.13116689131551656</v>
      </c>
      <c r="K21" s="18">
        <v>9.3196352771440102E-2</v>
      </c>
      <c r="L21" s="18">
        <v>-1.4074251557590189</v>
      </c>
      <c r="M21" s="18">
        <v>0.1666594530189148</v>
      </c>
      <c r="N21" s="18">
        <v>-0.319244745612973</v>
      </c>
      <c r="O21" s="18">
        <v>5.69109629819399E-2</v>
      </c>
      <c r="P21" s="18">
        <v>-0.319244745612973</v>
      </c>
      <c r="Q21" s="18">
        <v>5.69109629819399E-2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92</v>
      </c>
      <c r="J22" s="18">
        <v>-2.2159375319041898E-3</v>
      </c>
      <c r="K22" s="18">
        <v>7.4698756050984938E-3</v>
      </c>
      <c r="L22" s="18">
        <v>-0.29664985724684922</v>
      </c>
      <c r="M22" s="18">
        <v>0.76819593320316082</v>
      </c>
      <c r="N22" s="18">
        <v>-1.7290756812883327E-2</v>
      </c>
      <c r="O22" s="18">
        <v>1.2858881749074949E-2</v>
      </c>
      <c r="P22" s="18">
        <v>-1.7290756812883327E-2</v>
      </c>
      <c r="Q22" s="18">
        <v>1.2858881749074949E-2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4.9204010422559339E-5</v>
      </c>
      <c r="K23" s="22">
        <v>9.030781860384358E-5</v>
      </c>
      <c r="L23" s="22">
        <v>0.54484773503836104</v>
      </c>
      <c r="M23" s="22">
        <v>0.58873985375418436</v>
      </c>
      <c r="N23" s="22">
        <v>-1.3304454592330466E-4</v>
      </c>
      <c r="O23" s="22">
        <v>2.3145256676842334E-4</v>
      </c>
      <c r="P23" s="22">
        <v>-1.3304454592330466E-4</v>
      </c>
      <c r="Q23" s="22">
        <v>2.3145256676842334E-4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6" width="11.140625" style="18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0.40628499031799564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0.16506749335769383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6.1740587963188473E-2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2.634902649509839E-2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5.7648581457011711E-3</v>
      </c>
      <c r="L13" s="18">
        <v>1.1529716291402343E-3</v>
      </c>
      <c r="M13" s="18">
        <v>1.6606934490797685</v>
      </c>
      <c r="N13" s="18">
        <v>0.16586252705995921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2.9159390284054669E-2</v>
      </c>
      <c r="L14" s="18">
        <v>6.942711972393969E-4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0.13708013951900969</v>
      </c>
      <c r="K19" s="18">
        <v>0.11937947422476805</v>
      </c>
      <c r="L19" s="18">
        <v>1.1482722671479919</v>
      </c>
      <c r="M19" s="18">
        <v>0.2573543675631742</v>
      </c>
      <c r="N19" s="18">
        <v>-0.10383739310608103</v>
      </c>
      <c r="O19" s="18">
        <v>0.37799767214410041</v>
      </c>
      <c r="P19" s="18">
        <v>-0.10383739310608103</v>
      </c>
      <c r="Q19" s="18">
        <v>0.37799767214410041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-0.18892471203605254</v>
      </c>
      <c r="K20" s="18">
        <v>0.11060100673390651</v>
      </c>
      <c r="L20" s="18">
        <v>-1.7081644879651412</v>
      </c>
      <c r="M20" s="18">
        <v>9.4987971672192834E-2</v>
      </c>
      <c r="N20" s="18">
        <v>-0.41212658003904901</v>
      </c>
      <c r="O20" s="18">
        <v>3.4277155966943917E-2</v>
      </c>
      <c r="P20" s="18">
        <v>-0.41212658003904901</v>
      </c>
      <c r="Q20" s="18">
        <v>3.4277155966943917E-2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-0.17555009542761119</v>
      </c>
      <c r="K21" s="18">
        <v>0.12127124262447148</v>
      </c>
      <c r="L21" s="18">
        <v>-1.447582226655495</v>
      </c>
      <c r="M21" s="18">
        <v>0.15515769705886179</v>
      </c>
      <c r="N21" s="18">
        <v>-0.42028537124611354</v>
      </c>
      <c r="O21" s="18">
        <v>6.9185180390891138E-2</v>
      </c>
      <c r="P21" s="18">
        <v>-0.42028537124611354</v>
      </c>
      <c r="Q21" s="18">
        <v>6.9185180390891138E-2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93</v>
      </c>
      <c r="J22" s="18">
        <v>6.7989648394890334E-4</v>
      </c>
      <c r="K22" s="18">
        <v>8.8480593426058067E-3</v>
      </c>
      <c r="L22" s="18">
        <v>7.6841311481153529E-2</v>
      </c>
      <c r="M22" s="18">
        <v>0.93911467642285718</v>
      </c>
      <c r="N22" s="18">
        <v>-1.7176210180815683E-2</v>
      </c>
      <c r="O22" s="18">
        <v>1.8536003148713492E-2</v>
      </c>
      <c r="P22" s="18">
        <v>-1.7176210180815683E-2</v>
      </c>
      <c r="Q22" s="18">
        <v>1.8536003148713492E-2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4.3094633621718561E-5</v>
      </c>
      <c r="K23" s="22">
        <v>9.4993394552665919E-5</v>
      </c>
      <c r="L23" s="22">
        <v>0.45365926572743098</v>
      </c>
      <c r="M23" s="22">
        <v>0.65240957243959452</v>
      </c>
      <c r="N23" s="22">
        <v>-1.4860979781363001E-4</v>
      </c>
      <c r="O23" s="22">
        <v>2.347990650570671E-4</v>
      </c>
      <c r="P23" s="22">
        <v>-1.4860979781363001E-4</v>
      </c>
      <c r="Q23" s="22">
        <v>2.347990650570671E-4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0.5180737191244229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0.26840037844741149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0.1749147002043078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2.466468795195054E-2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9.3736814955378833E-3</v>
      </c>
      <c r="L13" s="18">
        <v>1.8747362991075767E-3</v>
      </c>
      <c r="M13" s="18">
        <v>3.0816899196498491</v>
      </c>
      <c r="N13" s="18">
        <v>1.8809488538418174E-2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2.5550566934217957E-2</v>
      </c>
      <c r="L14" s="18">
        <v>6.0834683176709417E-4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0.23588199025187462</v>
      </c>
      <c r="K19" s="18">
        <v>0.11726595310577109</v>
      </c>
      <c r="L19" s="18">
        <v>2.011513009569919</v>
      </c>
      <c r="M19" s="18">
        <v>5.0716723206264108E-2</v>
      </c>
      <c r="N19" s="18">
        <v>-7.7028407444795777E-4</v>
      </c>
      <c r="O19" s="18">
        <v>0.47253426457819719</v>
      </c>
      <c r="P19" s="18">
        <v>-7.7028407444795777E-4</v>
      </c>
      <c r="Q19" s="18">
        <v>0.47253426457819719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-0.21480620333556397</v>
      </c>
      <c r="K20" s="18">
        <v>0.10357556176787205</v>
      </c>
      <c r="L20" s="18">
        <v>-2.0739081658758076</v>
      </c>
      <c r="M20" s="18">
        <v>4.4255861905349601E-2</v>
      </c>
      <c r="N20" s="18">
        <v>-0.42383014939844832</v>
      </c>
      <c r="O20" s="18">
        <v>-5.7822572726795862E-3</v>
      </c>
      <c r="P20" s="18">
        <v>-0.42383014939844832</v>
      </c>
      <c r="Q20" s="18">
        <v>-5.7822572726795862E-3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-0.16984664111200812</v>
      </c>
      <c r="K21" s="18">
        <v>6.0832650353762577E-2</v>
      </c>
      <c r="L21" s="18">
        <v>-2.7920309262261642</v>
      </c>
      <c r="M21" s="18">
        <v>7.850569199333652E-3</v>
      </c>
      <c r="N21" s="18">
        <v>-0.29261189972488844</v>
      </c>
      <c r="O21" s="18">
        <v>-4.7081382499127786E-2</v>
      </c>
      <c r="P21" s="18">
        <v>-0.29261189972488844</v>
      </c>
      <c r="Q21" s="18">
        <v>-4.7081382499127786E-2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94</v>
      </c>
      <c r="J22" s="18">
        <v>-9.3824719824275021E-3</v>
      </c>
      <c r="K22" s="18">
        <v>4.3844787107568959E-3</v>
      </c>
      <c r="L22" s="18">
        <v>-2.1399287352926386</v>
      </c>
      <c r="M22" s="18">
        <v>3.8214531156029685E-2</v>
      </c>
      <c r="N22" s="18">
        <v>-1.8230708245003002E-2</v>
      </c>
      <c r="O22" s="18">
        <v>-5.3423571985200015E-4</v>
      </c>
      <c r="P22" s="18">
        <v>-1.8230708245003002E-2</v>
      </c>
      <c r="Q22" s="18">
        <v>-5.3423571985200015E-4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-4.6337500945278437E-5</v>
      </c>
      <c r="K23" s="22">
        <v>9.0851676537398289E-5</v>
      </c>
      <c r="L23" s="22">
        <v>-0.51003462689215218</v>
      </c>
      <c r="M23" s="22">
        <v>0.61269720673516126</v>
      </c>
      <c r="N23" s="22">
        <v>-2.2968360703578183E-4</v>
      </c>
      <c r="O23" s="22">
        <v>1.3700860514522499E-4</v>
      </c>
      <c r="P23" s="22">
        <v>-2.2968360703578183E-4</v>
      </c>
      <c r="Q23" s="22">
        <v>1.3700860514522499E-4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0.37727984710867968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0.1423400830343487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3.6848662370953335E-2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2.670523758524862E-2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4.9711204214036679E-3</v>
      </c>
      <c r="L13" s="18">
        <v>9.9422408428073358E-4</v>
      </c>
      <c r="M13" s="18">
        <v>1.3940918467061976</v>
      </c>
      <c r="N13" s="18">
        <v>0.24662714278476749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2.9953128008352172E-2</v>
      </c>
      <c r="L14" s="18">
        <v>7.131697144845755E-4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0.12553993764186291</v>
      </c>
      <c r="K19" s="18">
        <v>0.12015639367120715</v>
      </c>
      <c r="L19" s="18">
        <v>1.0448044736211637</v>
      </c>
      <c r="M19" s="18">
        <v>0.30208965513680813</v>
      </c>
      <c r="N19" s="18">
        <v>-0.11694548190265036</v>
      </c>
      <c r="O19" s="18">
        <v>0.36802535718637619</v>
      </c>
      <c r="P19" s="18">
        <v>-0.11694548190265036</v>
      </c>
      <c r="Q19" s="18">
        <v>0.36802535718637619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-0.19666400457391553</v>
      </c>
      <c r="K20" s="18">
        <v>0.11232366136810677</v>
      </c>
      <c r="L20" s="18">
        <v>-1.7508688924358407</v>
      </c>
      <c r="M20" s="18">
        <v>8.7270025634705081E-2</v>
      </c>
      <c r="N20" s="18">
        <v>-0.42334233037446695</v>
      </c>
      <c r="O20" s="18">
        <v>3.0014321226635887E-2</v>
      </c>
      <c r="P20" s="18">
        <v>-0.42334233037446695</v>
      </c>
      <c r="Q20" s="18">
        <v>3.0014321226635887E-2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-8.1116871120931425E-2</v>
      </c>
      <c r="K21" s="18">
        <v>6.3636931837377009E-2</v>
      </c>
      <c r="L21" s="18">
        <v>-1.2746823075666827</v>
      </c>
      <c r="M21" s="18">
        <v>0.20942888035422921</v>
      </c>
      <c r="N21" s="18">
        <v>-0.20954139888544659</v>
      </c>
      <c r="O21" s="18">
        <v>4.7307656643583759E-2</v>
      </c>
      <c r="P21" s="18">
        <v>-0.20954139888544659</v>
      </c>
      <c r="Q21" s="18">
        <v>4.7307656643583759E-2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95</v>
      </c>
      <c r="J22" s="18">
        <v>-3.237232078686157E-4</v>
      </c>
      <c r="K22" s="18">
        <v>4.7429804148642193E-3</v>
      </c>
      <c r="L22" s="18">
        <v>-6.8253119252629918E-2</v>
      </c>
      <c r="M22" s="18">
        <v>0.94590805179229309</v>
      </c>
      <c r="N22" s="18">
        <v>-9.895445199932339E-3</v>
      </c>
      <c r="O22" s="18">
        <v>9.2479987841951068E-3</v>
      </c>
      <c r="P22" s="18">
        <v>-9.895445199932339E-3</v>
      </c>
      <c r="Q22" s="18">
        <v>9.2479987841951068E-3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3.2794407733025909E-5</v>
      </c>
      <c r="K23" s="22">
        <v>1.0057288779347524E-4</v>
      </c>
      <c r="L23" s="22">
        <v>0.32607602757085669</v>
      </c>
      <c r="M23" s="22">
        <v>0.74598603979592348</v>
      </c>
      <c r="N23" s="22">
        <v>-1.7016989692259909E-4</v>
      </c>
      <c r="O23" s="22">
        <v>2.3575871238865092E-4</v>
      </c>
      <c r="P23" s="22">
        <v>-1.7016989692259909E-4</v>
      </c>
      <c r="Q23" s="22">
        <v>2.3575871238865092E-4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0.42102980179902066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0.17726609400292265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7.5100960098439085E-2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2.6155834878767773E-2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6.1908851051305225E-3</v>
      </c>
      <c r="L13" s="18">
        <v>1.2381770210261045E-3</v>
      </c>
      <c r="M13" s="18">
        <v>1.8098624339785503</v>
      </c>
      <c r="N13" s="18">
        <v>0.1323080891816551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2.8733363324625318E-2</v>
      </c>
      <c r="L14" s="18">
        <v>6.841276982053647E-4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0.11185720776202275</v>
      </c>
      <c r="K19" s="18">
        <v>0.11741001327006349</v>
      </c>
      <c r="L19" s="18">
        <v>0.95270586082578557</v>
      </c>
      <c r="M19" s="18">
        <v>0.34619013039180413</v>
      </c>
      <c r="N19" s="18">
        <v>-0.12508579174596335</v>
      </c>
      <c r="O19" s="18">
        <v>0.34880020727000882</v>
      </c>
      <c r="P19" s="18">
        <v>-0.12508579174596335</v>
      </c>
      <c r="Q19" s="18">
        <v>0.34880020727000882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-0.20001139861537828</v>
      </c>
      <c r="K20" s="18">
        <v>0.10997309509718554</v>
      </c>
      <c r="L20" s="18">
        <v>-1.8187302852449865</v>
      </c>
      <c r="M20" s="18">
        <v>7.6087819609775287E-2</v>
      </c>
      <c r="N20" s="18">
        <v>-0.42194608963332136</v>
      </c>
      <c r="O20" s="18">
        <v>2.1923292402564826E-2</v>
      </c>
      <c r="P20" s="18">
        <v>-0.42194608963332136</v>
      </c>
      <c r="Q20" s="18">
        <v>2.1923292402564826E-2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-4.0211575402356085E-2</v>
      </c>
      <c r="K21" s="18">
        <v>9.7215900688321505E-2</v>
      </c>
      <c r="L21" s="18">
        <v>-0.41363167051526051</v>
      </c>
      <c r="M21" s="18">
        <v>0.6812484249467734</v>
      </c>
      <c r="N21" s="18">
        <v>-0.23640120580447291</v>
      </c>
      <c r="O21" s="18">
        <v>0.15597805499976072</v>
      </c>
      <c r="P21" s="18">
        <v>-0.23640120580447291</v>
      </c>
      <c r="Q21" s="18">
        <v>0.15597805499976072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96</v>
      </c>
      <c r="J22" s="18">
        <v>1.0537243167123973E-2</v>
      </c>
      <c r="K22" s="18">
        <v>6.4999108478978563E-3</v>
      </c>
      <c r="L22" s="18">
        <v>1.6211365684395247</v>
      </c>
      <c r="M22" s="18">
        <v>0.11247292724719128</v>
      </c>
      <c r="N22" s="18">
        <v>-2.5801079849698226E-3</v>
      </c>
      <c r="O22" s="18">
        <v>2.3654594319217768E-2</v>
      </c>
      <c r="P22" s="18">
        <v>-2.5801079849698226E-3</v>
      </c>
      <c r="Q22" s="18">
        <v>2.3654594319217768E-2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8.2928747501500886E-5</v>
      </c>
      <c r="K23" s="22">
        <v>9.3240006639904442E-5</v>
      </c>
      <c r="L23" s="22">
        <v>0.88941164302759079</v>
      </c>
      <c r="M23" s="22">
        <v>0.37884801262558476</v>
      </c>
      <c r="N23" s="22">
        <v>-1.0523720386916068E-4</v>
      </c>
      <c r="O23" s="22">
        <v>2.7109469887216244E-4</v>
      </c>
      <c r="P23" s="22">
        <v>-1.0523720386916068E-4</v>
      </c>
      <c r="Q23" s="22">
        <v>2.7109469887216244E-4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1.4661699314986166E-2</v>
      </c>
      <c r="C2" s="16">
        <f>'ALL VARS'!G2</f>
        <v>-2.0828430218875038E-2</v>
      </c>
      <c r="D2" s="16">
        <f>'ALL VARS'!H2</f>
        <v>-1.3848058177316975E-2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-2.0828430218875038E-2</v>
      </c>
      <c r="C3" s="16">
        <f>'ALL VARS'!G3</f>
        <v>-1.3848058177316975E-2</v>
      </c>
      <c r="D3" s="16">
        <f>'ALL VARS'!H3</f>
        <v>3.2304436369444453E-2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-1.3848058177316975E-2</v>
      </c>
      <c r="C4" s="16">
        <f>'ALL VARS'!G4</f>
        <v>3.2304436369444453E-2</v>
      </c>
      <c r="D4" s="16">
        <f>'ALL VARS'!H4</f>
        <v>5.2050075617543337E-2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3.2304436369444453E-2</v>
      </c>
      <c r="C5" s="16">
        <f>'ALL VARS'!G5</f>
        <v>5.2050075617543337E-2</v>
      </c>
      <c r="D5" s="16">
        <f>'ALL VARS'!H5</f>
        <v>1.7004186960608347E-2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0.45555271840945283</v>
      </c>
    </row>
    <row r="6" spans="1:14" x14ac:dyDescent="0.25">
      <c r="A6" s="20">
        <f>'ALL VARS'!A6</f>
        <v>43976</v>
      </c>
      <c r="B6" s="16">
        <f>'ALL VARS'!F6</f>
        <v>5.2050075617543337E-2</v>
      </c>
      <c r="C6" s="16">
        <f>'ALL VARS'!G6</f>
        <v>1.7004186960608347E-2</v>
      </c>
      <c r="D6" s="16">
        <f>'ALL VARS'!H6</f>
        <v>-8.8922764227642032E-3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0.2075282792502422</v>
      </c>
    </row>
    <row r="7" spans="1:14" x14ac:dyDescent="0.25">
      <c r="A7" s="20">
        <f>'ALL VARS'!A7</f>
        <v>43973</v>
      </c>
      <c r="B7" s="16">
        <f>'ALL VARS'!F7</f>
        <v>1.7004186960608347E-2</v>
      </c>
      <c r="C7" s="16">
        <f>'ALL VARS'!G7</f>
        <v>-8.8922764227642032E-3</v>
      </c>
      <c r="D7" s="16">
        <f>'ALL VARS'!H7</f>
        <v>-9.6036905011532489E-3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0.10824525822645573</v>
      </c>
    </row>
    <row r="8" spans="1:14" x14ac:dyDescent="0.25">
      <c r="A8" s="20">
        <f>'ALL VARS'!A8</f>
        <v>43972</v>
      </c>
      <c r="B8" s="16">
        <f>'ALL VARS'!F8</f>
        <v>-8.8922764227642032E-3</v>
      </c>
      <c r="C8" s="16">
        <f>'ALL VARS'!G8</f>
        <v>-9.6036905011532489E-3</v>
      </c>
      <c r="D8" s="16">
        <f>'ALL VARS'!H8</f>
        <v>1.3559466122587766E-2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2.5670290057639562E-2</v>
      </c>
    </row>
    <row r="9" spans="1:14" ht="15.75" thickBot="1" x14ac:dyDescent="0.3">
      <c r="A9" s="20">
        <f>'ALL VARS'!A9</f>
        <v>43971</v>
      </c>
      <c r="B9" s="16">
        <f>'ALL VARS'!F9</f>
        <v>-9.6036905011532489E-3</v>
      </c>
      <c r="C9" s="16">
        <f>'ALL VARS'!G9</f>
        <v>1.3559466122587766E-2</v>
      </c>
      <c r="D9" s="16">
        <f>'ALL VARS'!H9</f>
        <v>1.8882633174534365E-2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1.3559466122587766E-2</v>
      </c>
      <c r="C10" s="16">
        <f>'ALL VARS'!G10</f>
        <v>1.8882633174534365E-2</v>
      </c>
      <c r="D10" s="16">
        <f>'ALL VARS'!H10</f>
        <v>-7.5220287986245433E-3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1.8882633174534365E-2</v>
      </c>
      <c r="C11" s="16">
        <f>'ALL VARS'!G11</f>
        <v>-7.5220287986245433E-3</v>
      </c>
      <c r="D11" s="16">
        <f>'ALL VARS'!H11</f>
        <v>-4.29811742456413E-5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-7.5220287986245433E-3</v>
      </c>
      <c r="C12" s="16">
        <f>'ALL VARS'!G12</f>
        <v>-4.29811742456413E-5</v>
      </c>
      <c r="D12" s="16">
        <f>'ALL VARS'!H12</f>
        <v>-3.8555312202983645E-2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-4.29811742456413E-5</v>
      </c>
      <c r="C13" s="16">
        <f>'ALL VARS'!G13</f>
        <v>-3.8555312202983645E-2</v>
      </c>
      <c r="D13" s="16">
        <f>'ALL VARS'!H13</f>
        <v>-2.0124716553287975E-2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7.2477691807352022E-3</v>
      </c>
      <c r="L13" s="18">
        <v>1.4495538361470404E-3</v>
      </c>
      <c r="M13" s="18">
        <v>2.1997473222801647</v>
      </c>
      <c r="N13" s="18">
        <v>7.2778051842521577E-2</v>
      </c>
    </row>
    <row r="14" spans="1:14" x14ac:dyDescent="0.25">
      <c r="A14" s="20">
        <f>'ALL VARS'!A14</f>
        <v>43963</v>
      </c>
      <c r="B14" s="16">
        <f>'ALL VARS'!F14</f>
        <v>-3.8555312202983645E-2</v>
      </c>
      <c r="C14" s="16">
        <f>'ALL VARS'!G14</f>
        <v>-2.0124716553287975E-2</v>
      </c>
      <c r="D14" s="16">
        <f>'ALL VARS'!H14</f>
        <v>1.0515978558860927E-2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2.7676479249020638E-2</v>
      </c>
      <c r="L14" s="18">
        <v>6.5896379164334857E-4</v>
      </c>
    </row>
    <row r="15" spans="1:14" ht="15.75" thickBot="1" x14ac:dyDescent="0.3">
      <c r="A15" s="20">
        <f>'ALL VARS'!A15</f>
        <v>43962</v>
      </c>
      <c r="B15" s="16">
        <f>'ALL VARS'!F15</f>
        <v>-2.0124716553287975E-2</v>
      </c>
      <c r="C15" s="16">
        <f>'ALL VARS'!G15</f>
        <v>1.0515978558860927E-2</v>
      </c>
      <c r="D15" s="16">
        <f>'ALL VARS'!H15</f>
        <v>1.4487339144873311E-2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3.492424842975584E-2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1.0515978558860927E-2</v>
      </c>
      <c r="C16" s="16">
        <f>'ALL VARS'!G16</f>
        <v>1.4487339144873311E-2</v>
      </c>
      <c r="D16" s="16">
        <f>'ALL VARS'!H16</f>
        <v>-7.0483492024236757E-3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1.4487339144873311E-2</v>
      </c>
      <c r="C17" s="16">
        <f>'ALL VARS'!G17</f>
        <v>-7.0483492024236757E-3</v>
      </c>
      <c r="D17" s="16">
        <f>'ALL VARS'!H17</f>
        <v>1.4860681114551647E-3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-7.0483492024236757E-3</v>
      </c>
      <c r="C18" s="16">
        <f>'ALL VARS'!G18</f>
        <v>1.4860681114551647E-3</v>
      </c>
      <c r="D18" s="16">
        <f>'ALL VARS'!H18</f>
        <v>-6.8465070514922418E-3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1.4860681114551647E-3</v>
      </c>
      <c r="C19" s="16">
        <f>'ALL VARS'!G19</f>
        <v>-6.8465070514922418E-3</v>
      </c>
      <c r="D19" s="16">
        <f>'ALL VARS'!H19</f>
        <v>2.7131464276905228E-3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0.13080993745776748</v>
      </c>
      <c r="K19" s="18">
        <v>0.11514765545691769</v>
      </c>
      <c r="L19" s="18">
        <v>1.1360191133610169</v>
      </c>
      <c r="M19" s="18">
        <v>0.26238942451952046</v>
      </c>
      <c r="N19" s="18">
        <v>-0.1015674391422807</v>
      </c>
      <c r="O19" s="18">
        <v>0.36318731405781568</v>
      </c>
      <c r="P19" s="18">
        <v>-0.1015674391422807</v>
      </c>
      <c r="Q19" s="18">
        <v>0.36318731405781568</v>
      </c>
    </row>
    <row r="20" spans="1:17" x14ac:dyDescent="0.25">
      <c r="A20" s="20">
        <f>'ALL VARS'!A20</f>
        <v>43955</v>
      </c>
      <c r="B20" s="16">
        <f>'ALL VARS'!F20</f>
        <v>-6.8465070514922418E-3</v>
      </c>
      <c r="C20" s="16">
        <f>'ALL VARS'!G20</f>
        <v>2.7131464276905228E-3</v>
      </c>
      <c r="D20" s="16">
        <f>'ALL VARS'!H20</f>
        <v>-2.1244065341594918E-2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-0.19656991679757299</v>
      </c>
      <c r="K20" s="18">
        <v>0.10891374862059852</v>
      </c>
      <c r="L20" s="18">
        <v>-1.8048218823348472</v>
      </c>
      <c r="M20" s="18">
        <v>7.8275528431359778E-2</v>
      </c>
      <c r="N20" s="18">
        <v>-0.41636676007417062</v>
      </c>
      <c r="O20" s="18">
        <v>2.3226926479024662E-2</v>
      </c>
      <c r="P20" s="18">
        <v>-0.41636676007417062</v>
      </c>
      <c r="Q20" s="18">
        <v>2.3226926479024662E-2</v>
      </c>
    </row>
    <row r="21" spans="1:17" x14ac:dyDescent="0.25">
      <c r="A21" s="20">
        <f>'ALL VARS'!A21</f>
        <v>43952</v>
      </c>
      <c r="B21" s="16">
        <f>'ALL VARS'!F21</f>
        <v>2.7131464276905228E-3</v>
      </c>
      <c r="C21" s="16">
        <f>'ALL VARS'!G21</f>
        <v>-2.1244065341594918E-2</v>
      </c>
      <c r="D21" s="16">
        <f>'ALL VARS'!H21</f>
        <v>-3.5095892538240518E-2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-0.43421591026793233</v>
      </c>
      <c r="K21" s="18">
        <v>0.19193817459414778</v>
      </c>
      <c r="L21" s="18">
        <v>-2.262269666709499</v>
      </c>
      <c r="M21" s="18">
        <v>2.8914877170392567E-2</v>
      </c>
      <c r="N21" s="18">
        <v>-0.82156282848875428</v>
      </c>
      <c r="O21" s="18">
        <v>-4.6868992047110369E-2</v>
      </c>
      <c r="P21" s="18">
        <v>-0.82156282848875428</v>
      </c>
      <c r="Q21" s="18">
        <v>-4.6868992047110369E-2</v>
      </c>
    </row>
    <row r="22" spans="1:17" x14ac:dyDescent="0.25">
      <c r="A22" s="20">
        <f>'ALL VARS'!A22</f>
        <v>43951</v>
      </c>
      <c r="B22" s="16">
        <f>'ALL VARS'!F22</f>
        <v>-2.1244065341594918E-2</v>
      </c>
      <c r="C22" s="16">
        <f>'ALL VARS'!G22</f>
        <v>-3.5095892538240518E-2</v>
      </c>
      <c r="D22" s="16">
        <f>'ALL VARS'!H22</f>
        <v>4.2791789806080699E-2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97</v>
      </c>
      <c r="J22" s="18">
        <v>1.0453745378114552E-2</v>
      </c>
      <c r="K22" s="18">
        <v>1.472892670093566E-2</v>
      </c>
      <c r="L22" s="18">
        <v>0.70974250808448081</v>
      </c>
      <c r="M22" s="18">
        <v>0.48178584730518481</v>
      </c>
      <c r="N22" s="18">
        <v>-1.9270432099197765E-2</v>
      </c>
      <c r="O22" s="18">
        <v>4.0177922855426866E-2</v>
      </c>
      <c r="P22" s="18">
        <v>-1.9270432099197765E-2</v>
      </c>
      <c r="Q22" s="18">
        <v>4.0177922855426866E-2</v>
      </c>
    </row>
    <row r="23" spans="1:17" ht="15.75" thickBot="1" x14ac:dyDescent="0.3">
      <c r="A23" s="20">
        <f>'ALL VARS'!A23</f>
        <v>43950</v>
      </c>
      <c r="B23" s="16">
        <f>'ALL VARS'!F23</f>
        <v>-3.5095892538240518E-2</v>
      </c>
      <c r="C23" s="16">
        <f>'ALL VARS'!G23</f>
        <v>4.2791789806080699E-2</v>
      </c>
      <c r="D23" s="16">
        <f>'ALL VARS'!H23</f>
        <v>1.3790272932485061E-2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3.0393463629315354E-5</v>
      </c>
      <c r="K23" s="22">
        <v>8.9769076254150239E-5</v>
      </c>
      <c r="L23" s="22">
        <v>0.33857387084241264</v>
      </c>
      <c r="M23" s="22">
        <v>0.73661760009704125</v>
      </c>
      <c r="N23" s="22">
        <v>-1.5076786663809909E-4</v>
      </c>
      <c r="O23" s="22">
        <v>2.1155479389672982E-4</v>
      </c>
      <c r="P23" s="22">
        <v>-1.5076786663809909E-4</v>
      </c>
      <c r="Q23" s="22">
        <v>2.1155479389672982E-4</v>
      </c>
    </row>
    <row r="24" spans="1:17" x14ac:dyDescent="0.25">
      <c r="A24" s="20">
        <f>'ALL VARS'!A24</f>
        <v>43949</v>
      </c>
      <c r="B24" s="16">
        <f>'ALL VARS'!F24</f>
        <v>4.2791789806080699E-2</v>
      </c>
      <c r="C24" s="16">
        <f>'ALL VARS'!G24</f>
        <v>1.3790272932485061E-2</v>
      </c>
      <c r="D24" s="16">
        <f>'ALL VARS'!H24</f>
        <v>3.0014796026210079E-2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1.3790272932485061E-2</v>
      </c>
      <c r="C25" s="16">
        <f>'ALL VARS'!G25</f>
        <v>3.0014796026210079E-2</v>
      </c>
      <c r="D25" s="16">
        <f>'ALL VARS'!H25</f>
        <v>7.3244474726397767E-3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3.0014796026210079E-2</v>
      </c>
      <c r="C26" s="16">
        <f>'ALL VARS'!G26</f>
        <v>7.3244474726397767E-3</v>
      </c>
      <c r="D26" s="16">
        <f>'ALL VARS'!H26</f>
        <v>-8.4448760714436518E-3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7.3244474726397767E-3</v>
      </c>
      <c r="C27" s="16">
        <f>'ALL VARS'!G27</f>
        <v>-8.4448760714436518E-3</v>
      </c>
      <c r="D27" s="16">
        <f>'ALL VARS'!H27</f>
        <v>6.1175071158504025E-3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-8.4448760714436518E-3</v>
      </c>
      <c r="C28" s="16">
        <f>'ALL VARS'!G28</f>
        <v>6.1175071158504025E-3</v>
      </c>
      <c r="D28" s="16">
        <f>'ALL VARS'!H28</f>
        <v>-4.0516854848571419E-2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6.1175071158504025E-3</v>
      </c>
      <c r="C29" s="16">
        <f>'ALL VARS'!G29</f>
        <v>-4.0516854848571419E-2</v>
      </c>
      <c r="D29" s="16">
        <f>'ALL VARS'!H29</f>
        <v>-6.0367879426301788E-3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-4.0516854848571419E-2</v>
      </c>
      <c r="C30" s="16">
        <f>'ALL VARS'!G30</f>
        <v>-6.0367879426301788E-3</v>
      </c>
      <c r="D30" s="16">
        <f>'ALL VARS'!H30</f>
        <v>4.5227407470144858E-2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-6.0367879426301788E-3</v>
      </c>
      <c r="C31" s="16">
        <f>'ALL VARS'!G31</f>
        <v>4.5227407470144858E-2</v>
      </c>
      <c r="D31" s="16">
        <f>'ALL VARS'!H31</f>
        <v>-2.3771135640167019E-2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4.5227407470144858E-2</v>
      </c>
      <c r="C32" s="16">
        <f>'ALL VARS'!G32</f>
        <v>-2.3771135640167019E-2</v>
      </c>
      <c r="D32" s="16">
        <f>'ALL VARS'!H32</f>
        <v>-3.3715495545879541E-2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-2.3771135640167019E-2</v>
      </c>
      <c r="C33" s="16">
        <f>'ALL VARS'!G33</f>
        <v>-3.3715495545879541E-2</v>
      </c>
      <c r="D33" s="16">
        <f>'ALL VARS'!H33</f>
        <v>5.3009919280351059E-3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-3.3715495545879541E-2</v>
      </c>
      <c r="C34" s="16">
        <f>'ALL VARS'!G34</f>
        <v>5.3009919280351059E-3</v>
      </c>
      <c r="D34" s="16">
        <f>'ALL VARS'!H34</f>
        <v>-2.7608559825054644E-2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5.3009919280351059E-3</v>
      </c>
      <c r="C35" s="16">
        <f>'ALL VARS'!G35</f>
        <v>-2.7608559825054644E-2</v>
      </c>
      <c r="D35" s="16">
        <f>'ALL VARS'!H35</f>
        <v>1.5384615384615368E-2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-2.7608559825054644E-2</v>
      </c>
      <c r="C36" s="16">
        <f>'ALL VARS'!G36</f>
        <v>1.5384615384615368E-2</v>
      </c>
      <c r="D36" s="16">
        <f>'ALL VARS'!H36</f>
        <v>2.5620170801138605E-2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1.5384615384615368E-2</v>
      </c>
      <c r="C37" s="16">
        <f>'ALL VARS'!G37</f>
        <v>2.5620170801138605E-2</v>
      </c>
      <c r="D37" s="16">
        <f>'ALL VARS'!H37</f>
        <v>8.8619020267498017E-3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2.5620170801138605E-2</v>
      </c>
      <c r="C38" s="16">
        <f>'ALL VARS'!G38</f>
        <v>8.8619020267498017E-3</v>
      </c>
      <c r="D38" s="16">
        <f>'ALL VARS'!H38</f>
        <v>5.1646028390214427E-2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8.8619020267498017E-3</v>
      </c>
      <c r="C39" s="16">
        <f>'ALL VARS'!G39</f>
        <v>5.1646028390214427E-2</v>
      </c>
      <c r="D39" s="16">
        <f>'ALL VARS'!H39</f>
        <v>-2.0952139568284459E-2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5.1646028390214427E-2</v>
      </c>
      <c r="C40" s="16">
        <f>'ALL VARS'!G40</f>
        <v>-2.0952139568284459E-2</v>
      </c>
      <c r="D40" s="16">
        <f>'ALL VARS'!H40</f>
        <v>1.2402172518496245E-2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-2.0952139568284459E-2</v>
      </c>
      <c r="C41" s="16">
        <f>'ALL VARS'!G41</f>
        <v>1.2402172518496245E-2</v>
      </c>
      <c r="D41" s="16">
        <f>'ALL VARS'!H41</f>
        <v>-5.0475107609843167E-2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1.2402172518496245E-2</v>
      </c>
      <c r="C42" s="16">
        <f>'ALL VARS'!G42</f>
        <v>-5.0475107609843167E-2</v>
      </c>
      <c r="D42" s="16">
        <f>'ALL VARS'!H42</f>
        <v>3.0937329928412888E-2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-5.0475107609843167E-2</v>
      </c>
      <c r="C43" s="16">
        <f>'ALL VARS'!G43</f>
        <v>3.0937329928412888E-2</v>
      </c>
      <c r="D43" s="16">
        <f>'ALL VARS'!H43</f>
        <v>2.7972629857554762E-2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3.0937329928412888E-2</v>
      </c>
      <c r="C44" s="16">
        <f>'ALL VARS'!G44</f>
        <v>2.7972629857554762E-2</v>
      </c>
      <c r="D44" s="16">
        <f>'ALL VARS'!H44</f>
        <v>-5.1473589680790209E-2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2.7972629857554762E-2</v>
      </c>
      <c r="C45" s="16">
        <f>'ALL VARS'!G45</f>
        <v>-5.1473589680790209E-2</v>
      </c>
      <c r="D45" s="16">
        <f>'ALL VARS'!H45</f>
        <v>1.723207241622712E-2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-5.1473589680790209E-2</v>
      </c>
      <c r="C46" s="16">
        <f>'ALL VARS'!G46</f>
        <v>1.723207241622712E-2</v>
      </c>
      <c r="D46" s="16">
        <f>'ALL VARS'!H46</f>
        <v>6.7130450194966343E-2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1.723207241622712E-2</v>
      </c>
      <c r="C47" s="16">
        <f>'ALL VARS'!G47</f>
        <v>6.7130450194966343E-2</v>
      </c>
      <c r="D47" s="16">
        <f>'ALL VARS'!H47</f>
        <v>0.13401336616250448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6.7130450194966343E-2</v>
      </c>
      <c r="C48" s="16">
        <f>'ALL VARS'!G48</f>
        <v>0.13401336616250448</v>
      </c>
      <c r="D48" s="16">
        <f>'ALL VARS'!H48</f>
        <v>-7.9126370829670181E-2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103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98</v>
      </c>
      <c r="H4" s="7" t="s">
        <v>99</v>
      </c>
      <c r="I4" s="7" t="s">
        <v>100</v>
      </c>
      <c r="J4" s="7" t="s">
        <v>101</v>
      </c>
    </row>
    <row r="5" spans="1:10" x14ac:dyDescent="0.25">
      <c r="A5" s="1" t="s">
        <v>37</v>
      </c>
      <c r="B5" s="7" t="str">
        <f>IF('Eq4 avec Sent_t__+__1'!M21&lt;0.1,'Eq4 avec Sent_t__+__1'!J21,"-")</f>
        <v>-</v>
      </c>
      <c r="C5" s="7" t="str">
        <f>IF('Eq4 avec Sent_t__+__1'!M22&lt;0.1,'Eq4 avec Sent_t__+__1'!J22,"-")</f>
        <v>-</v>
      </c>
      <c r="D5" s="7">
        <f>IF('Eq7 avec Sent_t'!M21&lt;0.1,'Eq7 avec Sent_t'!J21,"-")</f>
        <v>-3.2121697549083138E-2</v>
      </c>
      <c r="E5" s="7" t="str">
        <f>IF('Eq7 avec Sent_t'!M22&lt;0.1,'Eq7 avec Sent_t'!J22,"-")</f>
        <v>-</v>
      </c>
      <c r="G5" s="7" t="str">
        <f>IF(OR(B5="-",D5="-"),"Yes","No")</f>
        <v>Yes</v>
      </c>
      <c r="H5" s="7" t="str">
        <f>IF(G5="Yes","No",IF(AND(B5&gt;0,D5&lt;0),"Yes","No"))</f>
        <v>No</v>
      </c>
      <c r="I5" s="7" t="str">
        <f>IF(G5="Yes","No",IF(AND(B5&lt;0,D5&gt;0),"Yes","No"))</f>
        <v>No</v>
      </c>
      <c r="J5" s="7" t="str">
        <f>IF(OR(H5="Yes",I5="Yes"),"Yes","No")</f>
        <v>No</v>
      </c>
    </row>
    <row r="6" spans="1:10" x14ac:dyDescent="0.25">
      <c r="A6" s="1" t="s">
        <v>38</v>
      </c>
      <c r="B6" s="7" t="str">
        <f>IF('Eq4 avec Sent__t_+_1_k, k=0'!M21&lt;0.1,'Eq4 avec Sent__t_+_1_k, k=0'!J21,"-")</f>
        <v>-</v>
      </c>
      <c r="C6" s="7" t="str">
        <f>IF('Eq4 avec Sent__t_+_1_k, k=0'!M22&lt;0.1,'Eq4 avec Sent__t_+_1_k, k=0'!J22,"-")</f>
        <v>-</v>
      </c>
      <c r="D6" s="7">
        <f>IF('Eq7 avec Sent__t_k, k=0'!M21&lt;0.1,'Eq7 avec Sent__t_k, k=0'!J21,"-")</f>
        <v>-0.62535404006019157</v>
      </c>
      <c r="E6" s="7" t="str">
        <f>IF('Eq7 avec Sent__t_k, k=0'!M22&lt;0.1,'Eq7 avec Sent__t_k, k=0'!J22,"-")</f>
        <v>-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 t="str">
        <f>IF('Eq7 avec Sent__t_k, k=1'!M21&lt;0.1,'Eq7 avec Sent__t_k, k=1'!J21,"-")</f>
        <v>-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 t="str">
        <f>IF('Eq4 avec Sent__t_+_1_k, k=2'!M22&lt;0.1,'Eq4 avec Sent__t_+_1_k, k=2'!J22,"-")</f>
        <v>-</v>
      </c>
      <c r="D8" s="7" t="str">
        <f>IF('Eq7 avec Sent__t_k, k=2'!M21&lt;0.1,'Eq7 avec Sent__t_k, k=2'!J21,"-")</f>
        <v>-</v>
      </c>
      <c r="E8" s="7" t="str">
        <f>IF('Eq7 avec Sent__t_k, k=2'!M22&lt;0.1,'Eq7 avec Sent__t_k, k=2'!J22,"-")</f>
        <v>-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>
        <f>IF('Eq7 avec Sent__t_k, k=3'!M21&lt;0.1,'Eq7 avec Sent__t_k, k=3'!J21,"-")</f>
        <v>-0.30956392927903964</v>
      </c>
      <c r="E9" s="7" t="str">
        <f>IF('Eq7 avec Sent__t_k, k=3'!M22&lt;0.1,'Eq7 avec Sent__t_k, k=3'!J22,"-")</f>
        <v>-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 t="str">
        <f>IF('Eq7 avec Sent__t_k, k=4'!M21&lt;0.1,'Eq7 avec Sent__t_k, k=4'!J21,"-")</f>
        <v>-</v>
      </c>
      <c r="E10" s="7" t="str">
        <f>IF('Eq7 avec Sent__t_k, k=4'!M22&lt;0.1,'Eq7 avec Sent__t_k, k=4'!J22,"-")</f>
        <v>-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 t="str">
        <f>IF('Eq4 avec Sent__t_+_1_k, k=5'!M21&lt;0.1,'Eq4 avec Sent__t_+_1_k, k=5'!J21,"-")</f>
        <v>-</v>
      </c>
      <c r="C11" s="7" t="str">
        <f>IF('Eq4 avec Sent__t_+_1_k, k=5'!M22&lt;0.1,'Eq4 avec Sent__t_+_1_k, k=5'!J22,"-")</f>
        <v>-</v>
      </c>
      <c r="D11" s="7" t="str">
        <f>IF('Eq7 avec Sent__t_k, k=5'!M21&lt;0.1,'Eq7 avec Sent__t_k, k=5'!J21,"-")</f>
        <v>-</v>
      </c>
      <c r="E11" s="7" t="str">
        <f>IF('Eq7 avec Sent__t_k, k=5'!M22&lt;0.1,'Eq7 avec Sent__t_k, k=5'!J22,"-")</f>
        <v>-</v>
      </c>
      <c r="G11" s="7" t="str">
        <f t="shared" si="0"/>
        <v>Yes</v>
      </c>
      <c r="H11" s="7" t="str">
        <f t="shared" si="1"/>
        <v>No</v>
      </c>
      <c r="I11" s="7" t="str">
        <f t="shared" si="2"/>
        <v>No</v>
      </c>
      <c r="J11" s="7" t="str">
        <f t="shared" si="3"/>
        <v>No</v>
      </c>
    </row>
    <row r="12" spans="1:10" x14ac:dyDescent="0.25">
      <c r="A12" s="1" t="s">
        <v>44</v>
      </c>
      <c r="B12" s="7">
        <f>IF('Eq4 avec Sent__t_+_1_k, k=6'!M21&lt;0.1,'Eq4 avec Sent__t_+_1_k, k=6'!J21,"-")</f>
        <v>0.12044331435170313</v>
      </c>
      <c r="C12" s="7">
        <f>IF('Eq4 avec Sent__t_+_1_k, k=6'!M22&lt;0.1,'Eq4 avec Sent__t_+_1_k, k=6'!J22,"-")</f>
        <v>8.9182870960520418E-3</v>
      </c>
      <c r="D12" s="7">
        <f>IF('Eq7 avec Sent__t_k, k=6'!M21&lt;0.1,'Eq7 avec Sent__t_k, k=6'!J21,"-")</f>
        <v>-0.16984664111200812</v>
      </c>
      <c r="E12" s="7">
        <f>IF('Eq7 avec Sent__t_k, k=6'!M22&lt;0.1,'Eq7 avec Sent__t_k, k=6'!J22,"-")</f>
        <v>-9.3824719824275021E-3</v>
      </c>
      <c r="G12" s="7" t="str">
        <f t="shared" si="0"/>
        <v>No</v>
      </c>
      <c r="H12" s="7" t="str">
        <f t="shared" si="1"/>
        <v>Yes</v>
      </c>
      <c r="I12" s="7" t="str">
        <f t="shared" si="2"/>
        <v>No</v>
      </c>
      <c r="J12" s="7" t="str">
        <f t="shared" si="3"/>
        <v>Yes</v>
      </c>
    </row>
    <row r="13" spans="1:10" x14ac:dyDescent="0.25">
      <c r="A13" s="1" t="s">
        <v>45</v>
      </c>
      <c r="B13" s="7" t="str">
        <f>IF('Eq4 avec Sent__t_+_1_k, k=7'!M21&lt;0.1,'Eq4 avec Sent__t_+_1_k, k=7'!J21,"-")</f>
        <v>-</v>
      </c>
      <c r="C13" s="7" t="str">
        <f>IF('Eq4 avec Sent__t_+_1_k, k=7'!M22&lt;0.1,'Eq4 avec Sent__t_+_1_k, k=7'!J22,"-")</f>
        <v>-</v>
      </c>
      <c r="D13" s="7" t="str">
        <f>IF('Eq7 avec Sent__t_k, k=7'!M21&lt;0.1,'Eq7 avec Sent__t_k, k=7'!J21,"-")</f>
        <v>-</v>
      </c>
      <c r="E13" s="7" t="str">
        <f>IF('Eq7 avec Sent__t_k, k=7'!M22&lt;0.1,'Eq7 avec Sent__t_k, k=7'!J22,"-")</f>
        <v>-</v>
      </c>
      <c r="G13" s="7" t="str">
        <f t="shared" si="0"/>
        <v>Yes</v>
      </c>
      <c r="H13" s="7" t="str">
        <f t="shared" si="1"/>
        <v>No</v>
      </c>
      <c r="I13" s="7" t="str">
        <f t="shared" si="2"/>
        <v>No</v>
      </c>
      <c r="J13" s="7" t="str">
        <f t="shared" si="3"/>
        <v>No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 t="str">
        <f>IF('Eq4 avec Sent__t_+_1_k, k=8'!M22&lt;0.1,'Eq4 avec Sent__t_+_1_k, k=8'!J22,"-")</f>
        <v>-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>
        <f>IF('Eq7 avec Sent__t_k, k=9'!M21&lt;0.1,'Eq7 avec Sent__t_k, k=9'!J21,"-")</f>
        <v>-0.43421591026793233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102</v>
      </c>
      <c r="B16" s="9">
        <f>COUNTIF(J5:J15,"Yes")</f>
        <v>1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2026-03-31T03:26:55Z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