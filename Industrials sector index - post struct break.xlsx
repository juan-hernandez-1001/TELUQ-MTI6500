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6D60C887-639E-4DF0-BF1A-D9304280DE1A}" xr6:coauthVersionLast="47" xr6:coauthVersionMax="47" xr10:uidLastSave="{00000000-0000-0000-0000-000000000000}"/>
  <bookViews>
    <workbookView xWindow="-120" yWindow="-120" windowWidth="20730" windowHeight="11160" tabRatio="830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15" i="112" l="1"/>
  <c r="I15" i="112" s="1"/>
  <c r="G14" i="112"/>
  <c r="H14" i="112" s="1"/>
  <c r="G13" i="112"/>
  <c r="H13" i="112" s="1"/>
  <c r="G12" i="112"/>
  <c r="I12" i="112" s="1"/>
  <c r="G11" i="112"/>
  <c r="H11" i="112" s="1"/>
  <c r="G10" i="112"/>
  <c r="H10" i="112" s="1"/>
  <c r="G9" i="112"/>
  <c r="H9" i="112" s="1"/>
  <c r="G8" i="112"/>
  <c r="I8" i="112" s="1"/>
  <c r="G7" i="112"/>
  <c r="H7" i="112" s="1"/>
  <c r="G6" i="112"/>
  <c r="H6" i="112" s="1"/>
  <c r="G5" i="112"/>
  <c r="H5" i="112" s="1"/>
  <c r="H15" i="112" l="1"/>
  <c r="J15" i="112" s="1"/>
  <c r="I14" i="112"/>
  <c r="J14" i="112" s="1"/>
  <c r="I13" i="112"/>
  <c r="J13" i="112" s="1"/>
  <c r="H12" i="112"/>
  <c r="J12" i="112" s="1"/>
  <c r="I11" i="112"/>
  <c r="J11" i="112" s="1"/>
  <c r="I10" i="112"/>
  <c r="J10" i="112" s="1"/>
  <c r="I9" i="112"/>
  <c r="J9" i="112" s="1"/>
  <c r="H8" i="112"/>
  <c r="J8" i="112" s="1"/>
  <c r="I7" i="112"/>
  <c r="J7" i="112" s="1"/>
  <c r="I6" i="112"/>
  <c r="J6" i="112" s="1"/>
  <c r="I5" i="112"/>
  <c r="J5" i="112" s="1"/>
  <c r="B16" i="112" s="1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<sst xmlns="http://schemas.openxmlformats.org/spreadsheetml/2006/main" count="768" uniqueCount="106">
  <si>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</si>
  <si>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</si>
  <si>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</si>
  <si>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</si>
  <si>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</si>
  <si>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</si>
  <si>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</si>
  <si>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</si>
  <si>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</si>
  <si>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</si>
  <si>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</si>
  <si>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</si>
  <si>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</si>
  <si>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</si>
  <si>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</si>
  <si>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</si>
  <si>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</si>
  <si>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</si>
  <si>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</si>
  <si>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</si>
  <si>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</si>
  <si>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</si>
  <si>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</si>
  <si>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</si>
  <si>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</si>
  <si>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</si>
  <si>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</si>
  <si>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</si>
  <si>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</si>
  <si>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</si>
  <si>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</si>
  <si>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</si>
  <si>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</si>
  <si>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</si>
  <si>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</si>
  <si>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</si>
  <si>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</si>
  <si>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</si>
  <si>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</si>
  <si>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</si>
  <si>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</si>
  <si>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</si>
  <si>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</si>
  <si>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</si>
  <si>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</si>
  <si>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</si>
  <si>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</si>
  <si>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</si>
  <si>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</si>
  <si>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</si>
  <si>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</si>
  <si>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</si>
  <si>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</si>
  <si>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</si>
  <si>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</si>
  <si>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</si>
  <si>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</si>
  <si>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</si>
  <si>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</si>
  <si>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</si>
  <si>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</si>
  <si>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</si>
  <si>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</si>
  <si>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</si>
  <si>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</si>
  <si>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</si>
  <si>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</si>
  <si>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</si>
  <si>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</si>
  <si>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</si>
  <si>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</si>
  <si>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</si>
  <si>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</si>
  <si>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</si>
  <si>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</si>
  <si>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</si>
  <si>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</si>
  <si>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</si>
  <si>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</si>
  <si>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</si>
  <si>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</si>
  <si>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</si>
  <si>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</si>
  <si>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</si>
  <si>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</si>
  <si>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</si>
  <si>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</si>
  <si>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</si>
  <si>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</si>
  <si>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</si>
  <si>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</si>
  <si>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</si>
  <si>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</si>
  <si>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</si>
  <si>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</si>
  <si>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</si>
  <si>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</si>
  <si>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</si>
  <si>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Industrials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</si>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</sst>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1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0</c:formatCode>
                <c:ptCount val="47"/>
                <c:pt idx="0">
                  <c:v>267.35000000000002</c:v>
                </c:pt>
                <c:pt idx="1">
                  <c:v>267.86</c:v>
                </c:pt>
                <c:pt idx="2">
                  <c:v>266.26</c:v>
                </c:pt>
                <c:pt idx="3">
                  <c:v>265.88</c:v>
                </c:pt>
                <c:pt idx="4">
                  <c:v>263.63</c:v>
                </c:pt>
                <c:pt idx="5">
                  <c:v>261.64999999999998</c:v>
                </c:pt>
                <c:pt idx="6">
                  <c:v>260.86</c:v>
                </c:pt>
                <c:pt idx="7">
                  <c:v>263.35000000000002</c:v>
                </c:pt>
                <c:pt idx="8">
                  <c:v>258.51</c:v>
                </c:pt>
                <c:pt idx="9">
                  <c:v>251.05</c:v>
                </c:pt>
                <c:pt idx="10">
                  <c:v>251.24</c:v>
                </c:pt>
                <c:pt idx="11">
                  <c:v>253.83</c:v>
                </c:pt>
                <c:pt idx="12">
                  <c:v>259.45999999999998</c:v>
                </c:pt>
                <c:pt idx="13">
                  <c:v>263.25</c:v>
                </c:pt>
                <c:pt idx="14">
                  <c:v>260.88</c:v>
                </c:pt>
                <c:pt idx="15">
                  <c:v>258.83</c:v>
                </c:pt>
                <c:pt idx="16">
                  <c:v>257.82</c:v>
                </c:pt>
                <c:pt idx="17">
                  <c:v>256.3</c:v>
                </c:pt>
                <c:pt idx="18">
                  <c:v>255.31</c:v>
                </c:pt>
                <c:pt idx="19">
                  <c:v>256.76</c:v>
                </c:pt>
                <c:pt idx="20">
                  <c:v>261.79000000000002</c:v>
                </c:pt>
                <c:pt idx="21">
                  <c:v>267.33999999999997</c:v>
                </c:pt>
                <c:pt idx="22">
                  <c:v>262.17</c:v>
                </c:pt>
                <c:pt idx="23">
                  <c:v>260.33</c:v>
                </c:pt>
                <c:pt idx="24">
                  <c:v>256.41000000000003</c:v>
                </c:pt>
                <c:pt idx="25">
                  <c:v>253.25</c:v>
                </c:pt>
                <c:pt idx="26">
                  <c:v>253.95</c:v>
                </c:pt>
                <c:pt idx="27">
                  <c:v>248.12</c:v>
                </c:pt>
                <c:pt idx="28">
                  <c:v>253.58</c:v>
                </c:pt>
                <c:pt idx="29">
                  <c:v>255.31</c:v>
                </c:pt>
                <c:pt idx="30">
                  <c:v>249.1</c:v>
                </c:pt>
                <c:pt idx="31">
                  <c:v>247.21</c:v>
                </c:pt>
                <c:pt idx="32">
                  <c:v>252.09</c:v>
                </c:pt>
                <c:pt idx="33">
                  <c:v>247.68</c:v>
                </c:pt>
                <c:pt idx="34">
                  <c:v>252.85</c:v>
                </c:pt>
                <c:pt idx="35">
                  <c:v>250.92</c:v>
                </c:pt>
                <c:pt idx="36">
                  <c:v>244.37</c:v>
                </c:pt>
                <c:pt idx="37">
                  <c:v>242.84</c:v>
                </c:pt>
                <c:pt idx="38">
                  <c:v>232.14</c:v>
                </c:pt>
                <c:pt idx="39">
                  <c:v>235.19</c:v>
                </c:pt>
                <c:pt idx="40">
                  <c:v>230.53</c:v>
                </c:pt>
                <c:pt idx="41">
                  <c:v>239.01</c:v>
                </c:pt>
                <c:pt idx="42">
                  <c:v>235.83</c:v>
                </c:pt>
                <c:pt idx="43">
                  <c:v>227.93</c:v>
                </c:pt>
                <c:pt idx="44">
                  <c:v>238.41</c:v>
                </c:pt>
                <c:pt idx="45">
                  <c:v>230.76</c:v>
                </c:pt>
                <c:pt idx="46">
                  <c:v>229.74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270"/>
          <c:min val="225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Industrials%20sector%20index%20-%20pre%20struct%20break.xlsx" TargetMode="External"/><Relationship Id="rId1" Type="http://schemas.openxmlformats.org/officeDocument/2006/relationships/externalLinkPath" Target="Industrials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 refreshError="1"/>
      <sheetData sheetId="1" refreshError="1"/>
      <sheetData sheetId="2">
        <row r="2">
          <cell r="B2">
            <v>209.65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2" activePane="bottomLeft" state="frozen"/>
      <selection activeCell="D1" sqref="D1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267.35000000000002</v>
      </c>
      <c r="C2" s="16">
        <v>-1.9039796908832632E-3</v>
      </c>
      <c r="D2" s="17">
        <v>-0.24457772169262171</v>
      </c>
      <c r="F2" s="16">
        <v>-6.0594726014587784E-3</v>
      </c>
      <c r="G2" s="16">
        <v>-1.9039796908832632E-3</v>
      </c>
      <c r="H2" s="16">
        <v>6.0091639750620551E-3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267.86</v>
      </c>
      <c r="C3" s="16">
        <v>6.0091639750620551E-3</v>
      </c>
      <c r="D3" s="17">
        <v>6.2640197575092316E-3</v>
      </c>
      <c r="F3" s="16">
        <v>-1.9039796908832632E-3</v>
      </c>
      <c r="G3" s="16">
        <v>6.0091639750620551E-3</v>
      </c>
      <c r="H3" s="16">
        <v>1.4292161877538568E-3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266.26</v>
      </c>
      <c r="C4" s="16">
        <v>1.4292161877538568E-3</v>
      </c>
      <c r="D4" s="17">
        <v>-0.23609326717754206</v>
      </c>
      <c r="F4" s="16">
        <v>6.0091639750620551E-3</v>
      </c>
      <c r="G4" s="16">
        <v>1.4292161877538568E-3</v>
      </c>
      <c r="H4" s="16">
        <v>8.5346887683495805E-3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265.88</v>
      </c>
      <c r="C5" s="16">
        <v>8.5346887683495805E-3</v>
      </c>
      <c r="D5" s="17">
        <v>0.13119693499590671</v>
      </c>
      <c r="F5" s="16">
        <v>1.4292161877538568E-3</v>
      </c>
      <c r="G5" s="16">
        <v>8.5346887683495805E-3</v>
      </c>
      <c r="H5" s="16">
        <v>7.5673609784063381E-3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263.63</v>
      </c>
      <c r="C6" s="16">
        <v>7.5673609784063381E-3</v>
      </c>
      <c r="D6" s="17">
        <v>-0.66873623467981813</v>
      </c>
      <c r="F6" s="16">
        <v>8.5346887683495805E-3</v>
      </c>
      <c r="G6" s="16">
        <v>7.5673609784063381E-3</v>
      </c>
      <c r="H6" s="16">
        <v>3.0284443762936576E-3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261.64999999999998</v>
      </c>
      <c r="C7" s="16">
        <v>3.0284443762936576E-3</v>
      </c>
      <c r="D7" s="17">
        <v>5.5399095018704735E-2</v>
      </c>
      <c r="F7" s="16">
        <v>7.5673609784063381E-3</v>
      </c>
      <c r="G7" s="16">
        <v>3.0284443762936576E-3</v>
      </c>
      <c r="H7" s="16">
        <v>-9.4550977786216402E-3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260.86</v>
      </c>
      <c r="C8" s="16">
        <v>-9.4550977786216402E-3</v>
      </c>
      <c r="D8" s="17">
        <v>9.735283938546975E-2</v>
      </c>
      <c r="F8" s="16">
        <v>3.0284443762936576E-3</v>
      </c>
      <c r="G8" s="16">
        <v>-9.4550977786216402E-3</v>
      </c>
      <c r="H8" s="16">
        <v>1.8722679973695533E-2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263.35000000000002</v>
      </c>
      <c r="C9" s="16">
        <v>1.8722679973695533E-2</v>
      </c>
      <c r="D9" s="17">
        <v>0.49790565359095734</v>
      </c>
      <c r="F9" s="16">
        <v>-9.4550977786216402E-3</v>
      </c>
      <c r="G9" s="16">
        <v>1.8722679973695533E-2</v>
      </c>
      <c r="H9" s="16">
        <v>2.9715196176060464E-2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258.51</v>
      </c>
      <c r="C10" s="16">
        <v>2.9715196176060464E-2</v>
      </c>
      <c r="D10" s="17">
        <v>0.48645331314764917</v>
      </c>
      <c r="F10" s="16">
        <v>1.8722679973695533E-2</v>
      </c>
      <c r="G10" s="16">
        <v>2.9715196176060464E-2</v>
      </c>
      <c r="H10" s="16">
        <v>-7.5624900493551073E-4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251.05</v>
      </c>
      <c r="C11" s="16">
        <v>-7.5624900493551073E-4</v>
      </c>
      <c r="D11" s="17">
        <v>-0.19248065624672633</v>
      </c>
      <c r="F11" s="16">
        <v>2.9715196176060464E-2</v>
      </c>
      <c r="G11" s="16">
        <v>-7.5624900493551073E-4</v>
      </c>
      <c r="H11" s="16">
        <v>-1.0203679628097559E-2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251.24</v>
      </c>
      <c r="C12" s="16">
        <v>-1.0203679628097559E-2</v>
      </c>
      <c r="D12" s="17">
        <v>0.27620824612677097</v>
      </c>
      <c r="F12" s="16">
        <v>-7.5624900493551073E-4</v>
      </c>
      <c r="G12" s="16">
        <v>-1.0203679628097559E-2</v>
      </c>
      <c r="H12" s="16">
        <v>-2.1698913127264192E-2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253.83</v>
      </c>
      <c r="C13" s="16">
        <v>-2.1698913127264192E-2</v>
      </c>
      <c r="D13" s="17">
        <v>0.1164589305408299</v>
      </c>
      <c r="F13" s="16">
        <v>-1.0203679628097559E-2</v>
      </c>
      <c r="G13" s="16">
        <v>-2.1698913127264192E-2</v>
      </c>
      <c r="H13" s="16">
        <v>-1.4396961063627808E-2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259.45999999999998</v>
      </c>
      <c r="C14" s="16">
        <v>-1.4396961063627808E-2</v>
      </c>
      <c r="D14" s="17">
        <v>-0.15498585706915369</v>
      </c>
      <c r="F14" s="16">
        <v>-2.1698913127264192E-2</v>
      </c>
      <c r="G14" s="16">
        <v>-1.4396961063627808E-2</v>
      </c>
      <c r="H14" s="16">
        <v>9.0846366145354365E-3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263.25</v>
      </c>
      <c r="C15" s="16">
        <v>9.0846366145354365E-3</v>
      </c>
      <c r="D15" s="17">
        <v>9.5311682671308517E-2</v>
      </c>
      <c r="F15" s="16">
        <v>-1.4396961063627808E-2</v>
      </c>
      <c r="G15" s="16">
        <v>9.0846366145354365E-3</v>
      </c>
      <c r="H15" s="16">
        <v>7.9202565390411143E-3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260.88</v>
      </c>
      <c r="C16" s="16">
        <v>7.9202565390411143E-3</v>
      </c>
      <c r="D16" s="17">
        <v>0.29172629743282286</v>
      </c>
      <c r="F16" s="16">
        <v>9.0846366145354365E-3</v>
      </c>
      <c r="G16" s="16">
        <v>7.9202565390411143E-3</v>
      </c>
      <c r="H16" s="16">
        <v>3.9174617950507758E-3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258.83</v>
      </c>
      <c r="C17" s="16">
        <v>3.9174617950507758E-3</v>
      </c>
      <c r="D17" s="17">
        <v>-0.23442382345508253</v>
      </c>
      <c r="F17" s="16">
        <v>7.9202565390411143E-3</v>
      </c>
      <c r="G17" s="16">
        <v>3.9174617950507758E-3</v>
      </c>
      <c r="H17" s="16">
        <v>5.9305501365586486E-3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257.82</v>
      </c>
      <c r="C18" s="16">
        <v>5.9305501365586486E-3</v>
      </c>
      <c r="D18" s="17">
        <v>-2.1146204477796953E-2</v>
      </c>
      <c r="F18" s="16">
        <v>3.9174617950507758E-3</v>
      </c>
      <c r="G18" s="16">
        <v>5.9305501365586486E-3</v>
      </c>
      <c r="H18" s="16">
        <v>3.8776389487290316E-3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256.3</v>
      </c>
      <c r="C19" s="16">
        <v>3.8776389487290316E-3</v>
      </c>
      <c r="D19" s="17">
        <v>0.23377028697480759</v>
      </c>
      <c r="F19" s="16">
        <v>5.9305501365586486E-3</v>
      </c>
      <c r="G19" s="16">
        <v>3.8776389487290316E-3</v>
      </c>
      <c r="H19" s="16">
        <v>-5.6472970867735969E-3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255.31</v>
      </c>
      <c r="C20" s="16">
        <v>-5.6472970867735969E-3</v>
      </c>
      <c r="D20" s="17">
        <v>-0.15081174378948553</v>
      </c>
      <c r="F20" s="16">
        <v>3.8776389487290316E-3</v>
      </c>
      <c r="G20" s="16">
        <v>-5.6472970867735969E-3</v>
      </c>
      <c r="H20" s="16">
        <v>-1.9213873715573662E-2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256.76</v>
      </c>
      <c r="C21" s="16">
        <v>-1.9213873715573662E-2</v>
      </c>
      <c r="D21" s="17">
        <v>-0.15819044224917889</v>
      </c>
      <c r="F21" s="16">
        <v>-5.6472970867735969E-3</v>
      </c>
      <c r="G21" s="16">
        <v>-1.9213873715573662E-2</v>
      </c>
      <c r="H21" s="16">
        <v>-2.0760080795989958E-2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261.79000000000002</v>
      </c>
      <c r="C22" s="16">
        <v>-2.0760080795989958E-2</v>
      </c>
      <c r="D22" s="17">
        <v>-0.11695043928921223</v>
      </c>
      <c r="F22" s="16">
        <v>-1.9213873715573662E-2</v>
      </c>
      <c r="G22" s="16">
        <v>-2.0760080795989958E-2</v>
      </c>
      <c r="H22" s="16">
        <v>1.9720028988823888E-2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267.33999999999997</v>
      </c>
      <c r="C23" s="16">
        <v>1.9720028988823888E-2</v>
      </c>
      <c r="D23" s="17">
        <v>6.6089130705222487E-3</v>
      </c>
      <c r="F23" s="16">
        <v>-2.0760080795989958E-2</v>
      </c>
      <c r="G23" s="16">
        <v>1.9720028988823888E-2</v>
      </c>
      <c r="H23" s="16">
        <v>7.0679522144971073E-3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262.17</v>
      </c>
      <c r="C24" s="16">
        <v>7.0679522144971073E-3</v>
      </c>
      <c r="D24" s="17">
        <v>-0.16266929442062975</v>
      </c>
      <c r="F24" s="16">
        <v>1.9720028988823888E-2</v>
      </c>
      <c r="G24" s="16">
        <v>7.0679522144971073E-3</v>
      </c>
      <c r="H24" s="16">
        <v>1.5288015288015128E-2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260.33</v>
      </c>
      <c r="C25" s="16">
        <v>1.5288015288015128E-2</v>
      </c>
      <c r="D25" s="17">
        <v>-0.43920171571274597</v>
      </c>
      <c r="F25" s="16">
        <v>7.0679522144971073E-3</v>
      </c>
      <c r="G25" s="16">
        <v>1.5288015288015128E-2</v>
      </c>
      <c r="H25" s="16">
        <v>1.2477788746298223E-2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256.41000000000003</v>
      </c>
      <c r="C26" s="16">
        <v>1.2477788746298223E-2</v>
      </c>
      <c r="D26" s="17">
        <v>-2.0552382688038051E-2</v>
      </c>
      <c r="F26" s="16">
        <v>1.5288015288015128E-2</v>
      </c>
      <c r="G26" s="16">
        <v>1.2477788746298223E-2</v>
      </c>
      <c r="H26" s="16">
        <v>-2.7564481197085594E-3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253.25</v>
      </c>
      <c r="C27" s="16">
        <v>-2.7564481197085594E-3</v>
      </c>
      <c r="D27" s="17">
        <v>-0.44359970150981098</v>
      </c>
      <c r="F27" s="16">
        <v>1.2477788746298223E-2</v>
      </c>
      <c r="G27" s="16">
        <v>-2.7564481197085594E-3</v>
      </c>
      <c r="H27" s="16">
        <v>2.3496695147509204E-2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253.95</v>
      </c>
      <c r="C28" s="16">
        <v>2.3496695147509204E-2</v>
      </c>
      <c r="D28" s="17">
        <v>7.0537303773952384E-2</v>
      </c>
      <c r="F28" s="16">
        <v>-2.7564481197085594E-3</v>
      </c>
      <c r="G28" s="16">
        <v>2.3496695147509204E-2</v>
      </c>
      <c r="H28" s="16">
        <v>-2.1531666535215741E-2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248.12</v>
      </c>
      <c r="C29" s="16">
        <v>-2.1531666535215741E-2</v>
      </c>
      <c r="D29" s="17">
        <v>6.1557356500998139E-2</v>
      </c>
      <c r="F29" s="16">
        <v>2.3496695147509204E-2</v>
      </c>
      <c r="G29" s="16">
        <v>-2.1531666535215741E-2</v>
      </c>
      <c r="H29" s="16">
        <v>-6.7760761427284079E-3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253.58</v>
      </c>
      <c r="C30" s="16">
        <v>-6.7760761427284079E-3</v>
      </c>
      <c r="D30" s="17">
        <v>0.33201583579648286</v>
      </c>
      <c r="F30" s="16">
        <v>-2.1531666535215741E-2</v>
      </c>
      <c r="G30" s="16">
        <v>-6.7760761427284079E-3</v>
      </c>
      <c r="H30" s="16">
        <v>2.4929747089522312E-2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255.31</v>
      </c>
      <c r="C31" s="16">
        <v>2.4929747089522312E-2</v>
      </c>
      <c r="D31" s="17">
        <v>-1.0891216807067394E-2</v>
      </c>
      <c r="F31" s="16">
        <v>-6.7760761427284079E-3</v>
      </c>
      <c r="G31" s="16">
        <v>2.4929747089522312E-2</v>
      </c>
      <c r="H31" s="16">
        <v>7.6453217911896217E-3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249.1</v>
      </c>
      <c r="C32" s="16">
        <v>7.6453217911896217E-3</v>
      </c>
      <c r="D32" s="17">
        <v>-1.8410735170949589E-2</v>
      </c>
      <c r="F32" s="16">
        <v>2.4929747089522312E-2</v>
      </c>
      <c r="G32" s="16">
        <v>7.6453217911896217E-3</v>
      </c>
      <c r="H32" s="16">
        <v>-1.9358165734459896E-2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247.21</v>
      </c>
      <c r="C33" s="16">
        <v>-1.9358165734459896E-2</v>
      </c>
      <c r="D33" s="17">
        <v>-0.32017184949169558</v>
      </c>
      <c r="F33" s="16">
        <v>7.6453217911896217E-3</v>
      </c>
      <c r="G33" s="16">
        <v>-1.9358165734459896E-2</v>
      </c>
      <c r="H33" s="16">
        <v>1.7805232558139521E-2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252.09</v>
      </c>
      <c r="C34" s="16">
        <v>1.7805232558139521E-2</v>
      </c>
      <c r="D34" s="17">
        <v>0.10925812500395946</v>
      </c>
      <c r="F34" s="16">
        <v>-1.9358165734459896E-2</v>
      </c>
      <c r="G34" s="16">
        <v>1.7805232558139521E-2</v>
      </c>
      <c r="H34" s="16">
        <v>-2.0446905279810114E-2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247.68</v>
      </c>
      <c r="C35" s="16">
        <v>-2.0446905279810114E-2</v>
      </c>
      <c r="D35" s="17">
        <v>-0.32851240194092196</v>
      </c>
      <c r="F35" s="16">
        <v>1.7805232558139521E-2</v>
      </c>
      <c r="G35" s="16">
        <v>-2.0446905279810114E-2</v>
      </c>
      <c r="H35" s="16">
        <v>7.6916945640044913E-3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252.85</v>
      </c>
      <c r="C36" s="16">
        <v>7.6916945640044913E-3</v>
      </c>
      <c r="D36" s="17">
        <v>8.9164984819944948E-2</v>
      </c>
      <c r="F36" s="16">
        <v>-2.0446905279810114E-2</v>
      </c>
      <c r="G36" s="16">
        <v>7.6916945640044913E-3</v>
      </c>
      <c r="H36" s="16">
        <v>2.6803617465318914E-2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250.92</v>
      </c>
      <c r="C37" s="16">
        <v>2.6803617465318914E-2</v>
      </c>
      <c r="D37" s="17">
        <v>-7.3048542439937594E-2</v>
      </c>
      <c r="F37" s="16">
        <v>7.6916945640044913E-3</v>
      </c>
      <c r="G37" s="16">
        <v>2.6803617465318914E-2</v>
      </c>
      <c r="H37" s="16">
        <v>6.3004447372755771E-3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244.37</v>
      </c>
      <c r="C38" s="16">
        <v>6.3004447372755771E-3</v>
      </c>
      <c r="D38" s="17">
        <v>-0.50390593466969824</v>
      </c>
      <c r="F38" s="16">
        <v>2.6803617465318914E-2</v>
      </c>
      <c r="G38" s="16">
        <v>6.3004447372755771E-3</v>
      </c>
      <c r="H38" s="16">
        <v>4.609287498923071E-2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242.84</v>
      </c>
      <c r="C39" s="16">
        <v>4.609287498923071E-2</v>
      </c>
      <c r="D39" s="17">
        <v>-2.5256967595355076E-2</v>
      </c>
      <c r="F39" s="16">
        <v>6.3004447372755771E-3</v>
      </c>
      <c r="G39" s="16">
        <v>4.609287498923071E-2</v>
      </c>
      <c r="H39" s="16">
        <v>-1.2968238445512188E-2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232.14</v>
      </c>
      <c r="C40" s="16">
        <v>-1.2968238445512188E-2</v>
      </c>
      <c r="D40" s="17">
        <v>-0.62750590592622757</v>
      </c>
      <c r="F40" s="16">
        <v>4.609287498923071E-2</v>
      </c>
      <c r="G40" s="16">
        <v>-1.2968238445512188E-2</v>
      </c>
      <c r="H40" s="16">
        <v>2.0214288812735855E-2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235.19</v>
      </c>
      <c r="C41" s="16">
        <v>2.0214288812735855E-2</v>
      </c>
      <c r="D41" s="17">
        <v>-0.28957627939858605</v>
      </c>
      <c r="F41" s="16">
        <v>-1.2968238445512188E-2</v>
      </c>
      <c r="G41" s="16">
        <v>2.0214288812735855E-2</v>
      </c>
      <c r="H41" s="16">
        <v>-3.5479687042383121E-2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230.53</v>
      </c>
      <c r="C42" s="16">
        <v>-3.5479687042383121E-2</v>
      </c>
      <c r="D42" s="17">
        <v>7.8005850501358512E-2</v>
      </c>
      <c r="F42" s="16">
        <v>2.0214288812735855E-2</v>
      </c>
      <c r="G42" s="16">
        <v>-3.5479687042383121E-2</v>
      </c>
      <c r="H42" s="16">
        <v>1.348428953059398E-2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239.01</v>
      </c>
      <c r="C43" s="16">
        <v>1.348428953059398E-2</v>
      </c>
      <c r="D43" s="17">
        <v>-5.0065291579812765E-2</v>
      </c>
      <c r="F43" s="16">
        <v>-3.5479687042383121E-2</v>
      </c>
      <c r="G43" s="16">
        <v>1.348428953059398E-2</v>
      </c>
      <c r="H43" s="16">
        <v>3.4659763962620126E-2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235.83</v>
      </c>
      <c r="C44" s="16">
        <v>3.4659763962620126E-2</v>
      </c>
      <c r="D44" s="17">
        <v>6.451272894628346E-2</v>
      </c>
      <c r="F44" s="16">
        <v>1.348428953059398E-2</v>
      </c>
      <c r="G44" s="16">
        <v>3.4659763962620126E-2</v>
      </c>
      <c r="H44" s="16">
        <v>-4.3957887672496913E-2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227.93</v>
      </c>
      <c r="C45" s="16">
        <v>-4.3957887672496913E-2</v>
      </c>
      <c r="D45" s="17">
        <v>-0.43549962999531999</v>
      </c>
      <c r="F45" s="16">
        <v>3.4659763962620126E-2</v>
      </c>
      <c r="G45" s="16">
        <v>-4.3957887672496913E-2</v>
      </c>
      <c r="H45" s="16">
        <v>3.3151326053042149E-2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238.41</v>
      </c>
      <c r="C46" s="16">
        <v>3.3151326053042149E-2</v>
      </c>
      <c r="D46" s="17">
        <v>-0.35762683051871136</v>
      </c>
      <c r="F46" s="16">
        <v>-4.3957887672496913E-2</v>
      </c>
      <c r="G46" s="16">
        <v>3.3151326053042149E-2</v>
      </c>
      <c r="H46" s="16">
        <v>4.4398015147557313E-3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230.76</v>
      </c>
      <c r="C47" s="16">
        <v>4.4398015147557313E-3</v>
      </c>
      <c r="D47" s="17">
        <v>6.999037426430732E-2</v>
      </c>
      <c r="F47" s="16">
        <v>3.3151326053042149E-2</v>
      </c>
      <c r="G47" s="16">
        <v>4.4398015147557313E-3</v>
      </c>
      <c r="H47" s="16">
        <v>9.5826377295492496E-2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229.74</v>
      </c>
      <c r="C48" s="16">
        <v>9.5826377295492496E-2</v>
      </c>
      <c r="D48" s="17">
        <v>-0.11966689694672823</v>
      </c>
      <c r="F48" s="16">
        <v>4.4398015147557313E-3</v>
      </c>
      <c r="G48" s="16">
        <v>9.5826377295492496E-2</v>
      </c>
      <c r="H48" s="16">
        <v>-3.7065956274113507E-2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267.35000000000002</v>
      </c>
    </row>
    <row r="3" spans="1:2" x14ac:dyDescent="0.25">
      <c r="A3" s="4">
        <f>'ALL VARS'!A3</f>
        <v>43979</v>
      </c>
      <c r="B3" s="5">
        <f>'ALL VARS'!B3</f>
        <v>267.86</v>
      </c>
    </row>
    <row r="4" spans="1:2" x14ac:dyDescent="0.25">
      <c r="A4" s="4">
        <f>'ALL VARS'!A4</f>
        <v>43978</v>
      </c>
      <c r="B4" s="5">
        <f>'ALL VARS'!B4</f>
        <v>266.26</v>
      </c>
    </row>
    <row r="5" spans="1:2" x14ac:dyDescent="0.25">
      <c r="A5" s="4">
        <f>'ALL VARS'!A5</f>
        <v>43977</v>
      </c>
      <c r="B5" s="5">
        <f>'ALL VARS'!B5</f>
        <v>265.88</v>
      </c>
    </row>
    <row r="6" spans="1:2" x14ac:dyDescent="0.25">
      <c r="A6" s="4">
        <f>'ALL VARS'!A6</f>
        <v>43976</v>
      </c>
      <c r="B6" s="5">
        <f>'ALL VARS'!B6</f>
        <v>263.63</v>
      </c>
    </row>
    <row r="7" spans="1:2" x14ac:dyDescent="0.25">
      <c r="A7" s="4">
        <f>'ALL VARS'!A7</f>
        <v>43973</v>
      </c>
      <c r="B7" s="5">
        <f>'ALL VARS'!B7</f>
        <v>261.64999999999998</v>
      </c>
    </row>
    <row r="8" spans="1:2" x14ac:dyDescent="0.25">
      <c r="A8" s="4">
        <f>'ALL VARS'!A8</f>
        <v>43972</v>
      </c>
      <c r="B8" s="5">
        <f>'ALL VARS'!B8</f>
        <v>260.86</v>
      </c>
    </row>
    <row r="9" spans="1:2" x14ac:dyDescent="0.25">
      <c r="A9" s="4">
        <f>'ALL VARS'!A9</f>
        <v>43971</v>
      </c>
      <c r="B9" s="5">
        <f>'ALL VARS'!B9</f>
        <v>263.35000000000002</v>
      </c>
    </row>
    <row r="10" spans="1:2" x14ac:dyDescent="0.25">
      <c r="A10" s="4">
        <f>'ALL VARS'!A10</f>
        <v>43970</v>
      </c>
      <c r="B10" s="5">
        <f>'ALL VARS'!B10</f>
        <v>258.51</v>
      </c>
    </row>
    <row r="11" spans="1:2" x14ac:dyDescent="0.25">
      <c r="A11" s="4">
        <f>'ALL VARS'!A11</f>
        <v>43966</v>
      </c>
      <c r="B11" s="5">
        <f>'ALL VARS'!B11</f>
        <v>251.05</v>
      </c>
    </row>
    <row r="12" spans="1:2" x14ac:dyDescent="0.25">
      <c r="A12" s="4">
        <f>'ALL VARS'!A12</f>
        <v>43965</v>
      </c>
      <c r="B12" s="5">
        <f>'ALL VARS'!B12</f>
        <v>251.24</v>
      </c>
    </row>
    <row r="13" spans="1:2" x14ac:dyDescent="0.25">
      <c r="A13" s="4">
        <f>'ALL VARS'!A13</f>
        <v>43964</v>
      </c>
      <c r="B13" s="5">
        <f>'ALL VARS'!B13</f>
        <v>253.83</v>
      </c>
    </row>
    <row r="14" spans="1:2" x14ac:dyDescent="0.25">
      <c r="A14" s="4">
        <f>'ALL VARS'!A14</f>
        <v>43963</v>
      </c>
      <c r="B14" s="5">
        <f>'ALL VARS'!B14</f>
        <v>259.45999999999998</v>
      </c>
    </row>
    <row r="15" spans="1:2" x14ac:dyDescent="0.25">
      <c r="A15" s="4">
        <f>'ALL VARS'!A15</f>
        <v>43962</v>
      </c>
      <c r="B15" s="5">
        <f>'ALL VARS'!B15</f>
        <v>263.25</v>
      </c>
    </row>
    <row r="16" spans="1:2" x14ac:dyDescent="0.25">
      <c r="A16" s="4">
        <f>'ALL VARS'!A16</f>
        <v>43959</v>
      </c>
      <c r="B16" s="5">
        <f>'ALL VARS'!B16</f>
        <v>260.88</v>
      </c>
    </row>
    <row r="17" spans="1:7" x14ac:dyDescent="0.25">
      <c r="A17" s="4">
        <f>'ALL VARS'!A17</f>
        <v>43958</v>
      </c>
      <c r="B17" s="5">
        <f>'ALL VARS'!B17</f>
        <v>258.83</v>
      </c>
    </row>
    <row r="18" spans="1:7" x14ac:dyDescent="0.25">
      <c r="A18" s="4">
        <f>'ALL VARS'!A18</f>
        <v>43957</v>
      </c>
      <c r="B18" s="5">
        <f>'ALL VARS'!B18</f>
        <v>257.82</v>
      </c>
    </row>
    <row r="19" spans="1:7" x14ac:dyDescent="0.25">
      <c r="A19" s="4">
        <f>'ALL VARS'!A19</f>
        <v>43956</v>
      </c>
      <c r="B19" s="5">
        <f>'ALL VARS'!B19</f>
        <v>256.3</v>
      </c>
    </row>
    <row r="20" spans="1:7" x14ac:dyDescent="0.25">
      <c r="A20" s="4">
        <f>'ALL VARS'!A20</f>
        <v>43955</v>
      </c>
      <c r="B20" s="5">
        <f>'ALL VARS'!B20</f>
        <v>255.31</v>
      </c>
      <c r="D20" s="4" t="s">
        <v>104</v>
      </c>
      <c r="E20" s="5">
        <f>MAX(B2:B48)</f>
        <v>267.86</v>
      </c>
      <c r="G20" s="6"/>
    </row>
    <row r="21" spans="1:7" x14ac:dyDescent="0.25">
      <c r="A21" s="4">
        <f>'ALL VARS'!A21</f>
        <v>43952</v>
      </c>
      <c r="B21" s="5">
        <f>'ALL VARS'!B21</f>
        <v>256.76</v>
      </c>
      <c r="D21" s="4" t="s">
        <v>31</v>
      </c>
      <c r="E21" s="5">
        <f>QUARTILE(B2:B48, 3)</f>
        <v>260.87</v>
      </c>
    </row>
    <row r="22" spans="1:7" x14ac:dyDescent="0.25">
      <c r="A22" s="4">
        <f>'ALL VARS'!A22</f>
        <v>43951</v>
      </c>
      <c r="B22" s="5">
        <f>'ALL VARS'!B22</f>
        <v>261.79000000000002</v>
      </c>
      <c r="D22" s="4" t="s">
        <v>32</v>
      </c>
      <c r="E22" s="5">
        <f>MEDIAN(B2:B48)</f>
        <v>253.95</v>
      </c>
    </row>
    <row r="23" spans="1:7" x14ac:dyDescent="0.25">
      <c r="A23" s="4">
        <f>'ALL VARS'!A23</f>
        <v>43950</v>
      </c>
      <c r="B23" s="5">
        <f>'ALL VARS'!B23</f>
        <v>267.33999999999997</v>
      </c>
      <c r="D23" s="4" t="s">
        <v>33</v>
      </c>
      <c r="E23" s="5">
        <f>QUARTILE(B2:B48, 1)</f>
        <v>247.44499999999999</v>
      </c>
    </row>
    <row r="24" spans="1:7" x14ac:dyDescent="0.25">
      <c r="A24" s="4">
        <f>'ALL VARS'!A24</f>
        <v>43949</v>
      </c>
      <c r="B24" s="5">
        <f>'ALL VARS'!B24</f>
        <v>262.17</v>
      </c>
      <c r="D24" s="4" t="s">
        <v>105</v>
      </c>
      <c r="E24" s="5">
        <f>MIN(B2:B48)</f>
        <v>227.93</v>
      </c>
    </row>
    <row r="25" spans="1:7" x14ac:dyDescent="0.25">
      <c r="A25" s="4">
        <f>'ALL VARS'!A25</f>
        <v>43948</v>
      </c>
      <c r="B25" s="5">
        <f>'ALL VARS'!B25</f>
        <v>260.33</v>
      </c>
    </row>
    <row r="26" spans="1:7" x14ac:dyDescent="0.25">
      <c r="A26" s="4">
        <f>'ALL VARS'!A26</f>
        <v>43945</v>
      </c>
      <c r="B26" s="5">
        <f>'ALL VARS'!B26</f>
        <v>256.41000000000003</v>
      </c>
    </row>
    <row r="27" spans="1:7" x14ac:dyDescent="0.25">
      <c r="A27" s="4">
        <f>'ALL VARS'!A27</f>
        <v>43944</v>
      </c>
      <c r="B27" s="5">
        <f>'ALL VARS'!B27</f>
        <v>253.25</v>
      </c>
    </row>
    <row r="28" spans="1:7" x14ac:dyDescent="0.25">
      <c r="A28" s="4">
        <f>'ALL VARS'!A28</f>
        <v>43943</v>
      </c>
      <c r="B28" s="5">
        <f>'ALL VARS'!B28</f>
        <v>253.95</v>
      </c>
    </row>
    <row r="29" spans="1:7" x14ac:dyDescent="0.25">
      <c r="A29" s="4">
        <f>'ALL VARS'!A29</f>
        <v>43942</v>
      </c>
      <c r="B29" s="5">
        <f>'ALL VARS'!B29</f>
        <v>248.12</v>
      </c>
    </row>
    <row r="30" spans="1:7" x14ac:dyDescent="0.25">
      <c r="A30" s="4">
        <f>'ALL VARS'!A30</f>
        <v>43941</v>
      </c>
      <c r="B30" s="5">
        <f>'ALL VARS'!B30</f>
        <v>253.58</v>
      </c>
    </row>
    <row r="31" spans="1:7" x14ac:dyDescent="0.25">
      <c r="A31" s="4">
        <f>'ALL VARS'!A31</f>
        <v>43938</v>
      </c>
      <c r="B31" s="5">
        <f>'ALL VARS'!B31</f>
        <v>255.31</v>
      </c>
    </row>
    <row r="32" spans="1:7" x14ac:dyDescent="0.25">
      <c r="A32" s="4">
        <f>'ALL VARS'!A32</f>
        <v>43937</v>
      </c>
      <c r="B32" s="5">
        <f>'ALL VARS'!B32</f>
        <v>249.1</v>
      </c>
    </row>
    <row r="33" spans="1:2" x14ac:dyDescent="0.25">
      <c r="A33" s="4">
        <f>'ALL VARS'!A33</f>
        <v>43936</v>
      </c>
      <c r="B33" s="5">
        <f>'ALL VARS'!B33</f>
        <v>247.21</v>
      </c>
    </row>
    <row r="34" spans="1:2" x14ac:dyDescent="0.25">
      <c r="A34" s="4">
        <f>'ALL VARS'!A34</f>
        <v>43935</v>
      </c>
      <c r="B34" s="5">
        <f>'ALL VARS'!B34</f>
        <v>252.09</v>
      </c>
    </row>
    <row r="35" spans="1:2" x14ac:dyDescent="0.25">
      <c r="A35" s="4">
        <f>'ALL VARS'!A35</f>
        <v>43934</v>
      </c>
      <c r="B35" s="5">
        <f>'ALL VARS'!B35</f>
        <v>247.68</v>
      </c>
    </row>
    <row r="36" spans="1:2" x14ac:dyDescent="0.25">
      <c r="A36" s="4">
        <f>'ALL VARS'!A36</f>
        <v>43930</v>
      </c>
      <c r="B36" s="5">
        <f>'ALL VARS'!B36</f>
        <v>252.85</v>
      </c>
    </row>
    <row r="37" spans="1:2" x14ac:dyDescent="0.25">
      <c r="A37" s="4">
        <f>'ALL VARS'!A37</f>
        <v>43929</v>
      </c>
      <c r="B37" s="5">
        <f>'ALL VARS'!B37</f>
        <v>250.92</v>
      </c>
    </row>
    <row r="38" spans="1:2" x14ac:dyDescent="0.25">
      <c r="A38" s="4">
        <f>'ALL VARS'!A38</f>
        <v>43928</v>
      </c>
      <c r="B38" s="5">
        <f>'ALL VARS'!B38</f>
        <v>244.37</v>
      </c>
    </row>
    <row r="39" spans="1:2" x14ac:dyDescent="0.25">
      <c r="A39" s="4">
        <f>'ALL VARS'!A39</f>
        <v>43927</v>
      </c>
      <c r="B39" s="5">
        <f>'ALL VARS'!B39</f>
        <v>242.84</v>
      </c>
    </row>
    <row r="40" spans="1:2" x14ac:dyDescent="0.25">
      <c r="A40" s="4">
        <f>'ALL VARS'!A40</f>
        <v>43924</v>
      </c>
      <c r="B40" s="5">
        <f>'ALL VARS'!B40</f>
        <v>232.14</v>
      </c>
    </row>
    <row r="41" spans="1:2" x14ac:dyDescent="0.25">
      <c r="A41" s="4">
        <f>'ALL VARS'!A41</f>
        <v>43923</v>
      </c>
      <c r="B41" s="5">
        <f>'ALL VARS'!B41</f>
        <v>235.19</v>
      </c>
    </row>
    <row r="42" spans="1:2" x14ac:dyDescent="0.25">
      <c r="A42" s="4">
        <f>'ALL VARS'!A42</f>
        <v>43922</v>
      </c>
      <c r="B42" s="5">
        <f>'ALL VARS'!B42</f>
        <v>230.53</v>
      </c>
    </row>
    <row r="43" spans="1:2" x14ac:dyDescent="0.25">
      <c r="A43" s="4">
        <f>'ALL VARS'!A43</f>
        <v>43921</v>
      </c>
      <c r="B43" s="5">
        <f>'ALL VARS'!B43</f>
        <v>239.01</v>
      </c>
    </row>
    <row r="44" spans="1:2" x14ac:dyDescent="0.25">
      <c r="A44" s="4">
        <f>'ALL VARS'!A44</f>
        <v>43920</v>
      </c>
      <c r="B44" s="5">
        <f>'ALL VARS'!B44</f>
        <v>235.83</v>
      </c>
    </row>
    <row r="45" spans="1:2" x14ac:dyDescent="0.25">
      <c r="A45" s="4">
        <f>'ALL VARS'!A45</f>
        <v>43917</v>
      </c>
      <c r="B45" s="5">
        <f>'ALL VARS'!B45</f>
        <v>227.93</v>
      </c>
    </row>
    <row r="46" spans="1:2" x14ac:dyDescent="0.25">
      <c r="A46" s="4">
        <f>'ALL VARS'!A46</f>
        <v>43916</v>
      </c>
      <c r="B46" s="5">
        <f>'ALL VARS'!B46</f>
        <v>238.41</v>
      </c>
    </row>
    <row r="47" spans="1:2" x14ac:dyDescent="0.25">
      <c r="A47" s="4">
        <f>'ALL VARS'!A47</f>
        <v>43915</v>
      </c>
      <c r="B47" s="5">
        <f>'ALL VARS'!B47</f>
        <v>230.76</v>
      </c>
    </row>
    <row r="48" spans="1:2" x14ac:dyDescent="0.25">
      <c r="A48" s="4">
        <f>'ALL VARS'!A48</f>
        <v>43914</v>
      </c>
      <c r="B48" s="5">
        <f>'ALL VARS'!B48</f>
        <v>229.74</v>
      </c>
    </row>
    <row r="50" spans="2:2" x14ac:dyDescent="0.25">
      <c r="B50" s="6">
        <f>(B2-'[1]Close price'!$B$2)/'[1]Close price'!$B$2</f>
        <v>0.27522060577152402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8" width="22.5703125" style="18" customWidth="1"/>
    <col min="19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0.37027206222897824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0.13710140006730034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3.1111057216567047E-2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1.8280376165215214E-2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2.2299836160759642E-3</v>
      </c>
      <c r="L13" s="18">
        <v>4.4599672321519286E-4</v>
      </c>
      <c r="M13" s="18">
        <v>1.3346316249153076</v>
      </c>
      <c r="N13" s="18">
        <v>0.26896416572830467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1.4035230415154277E-2</v>
      </c>
      <c r="L14" s="18">
        <v>3.3417215274176849E-4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-0.15384057767495266</v>
      </c>
      <c r="K19" s="18">
        <v>0.12915274939712534</v>
      </c>
      <c r="L19" s="18">
        <v>-1.1911521697607532</v>
      </c>
      <c r="M19" s="18">
        <v>0.24028207614130931</v>
      </c>
      <c r="N19" s="18">
        <v>-0.41448137810198737</v>
      </c>
      <c r="O19" s="18">
        <v>0.10680022275208209</v>
      </c>
      <c r="P19" s="18">
        <v>-0.41448137810198737</v>
      </c>
      <c r="Q19" s="18">
        <v>0.10680022275208209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3.8634781416026387E-2</v>
      </c>
      <c r="K20" s="18">
        <v>0.12309263732381419</v>
      </c>
      <c r="L20" s="18">
        <v>0.3138675249470172</v>
      </c>
      <c r="M20" s="18">
        <v>0.75517532174080948</v>
      </c>
      <c r="N20" s="18">
        <v>-0.20977621771882995</v>
      </c>
      <c r="O20" s="18">
        <v>0.2870457805508827</v>
      </c>
      <c r="P20" s="18">
        <v>-0.20977621771882995</v>
      </c>
      <c r="Q20" s="18">
        <v>0.2870457805508827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1.548738916315833E-2</v>
      </c>
      <c r="K21" s="18">
        <v>1.0687088676006609E-2</v>
      </c>
      <c r="L21" s="18">
        <v>1.4491682096667531</v>
      </c>
      <c r="M21" s="18">
        <v>0.15471658224354196</v>
      </c>
      <c r="N21" s="18">
        <v>-6.0800289502888228E-3</v>
      </c>
      <c r="O21" s="18">
        <v>3.7054807276605484E-2</v>
      </c>
      <c r="P21" s="18">
        <v>-6.0800289502888228E-3</v>
      </c>
      <c r="Q21" s="18">
        <v>3.7054807276605484E-2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3.6762257214025142E-4</v>
      </c>
      <c r="K22" s="18">
        <v>7.7737023036599439E-4</v>
      </c>
      <c r="L22" s="18">
        <v>0.47290539022464329</v>
      </c>
      <c r="M22" s="18">
        <v>0.63872917701793996</v>
      </c>
      <c r="N22" s="18">
        <v>-1.2011740660771222E-3</v>
      </c>
      <c r="O22" s="18">
        <v>1.936419210357625E-3</v>
      </c>
      <c r="P22" s="18">
        <v>-1.2011740660771222E-3</v>
      </c>
      <c r="Q22" s="18">
        <v>1.936419210357625E-3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1.3502651434231546E-4</v>
      </c>
      <c r="K23" s="22">
        <v>6.9452597302370161E-5</v>
      </c>
      <c r="L23" s="22">
        <v>1.9441535606575149</v>
      </c>
      <c r="M23" s="22">
        <v>5.8595403779630857E-2</v>
      </c>
      <c r="N23" s="22">
        <v>-5.134501486815543E-6</v>
      </c>
      <c r="O23" s="22">
        <v>2.7518753017144644E-4</v>
      </c>
      <c r="P23" s="22">
        <v>-5.134501486815543E-6</v>
      </c>
      <c r="Q23" s="22">
        <v>2.7518753017144644E-4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0.39388572942015981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0.15514596784085136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5.0874155254265772E-2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1.8088230623817002E-2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2.5234823730138113E-3</v>
      </c>
      <c r="L13" s="18">
        <v>5.0469647460276226E-4</v>
      </c>
      <c r="M13" s="18">
        <v>1.5425459076434369</v>
      </c>
      <c r="N13" s="18">
        <v>0.19801738798159316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1.3741731658216429E-2</v>
      </c>
      <c r="L14" s="18">
        <v>3.2718408710039119E-4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-0.16353445868875788</v>
      </c>
      <c r="K19" s="18">
        <v>0.12716598201233695</v>
      </c>
      <c r="L19" s="18">
        <v>-1.2859921820357008</v>
      </c>
      <c r="M19" s="18">
        <v>0.20549056975552657</v>
      </c>
      <c r="N19" s="18">
        <v>-0.42016580020879474</v>
      </c>
      <c r="O19" s="18">
        <v>9.3096882831278982E-2</v>
      </c>
      <c r="P19" s="18">
        <v>-0.42016580020879474</v>
      </c>
      <c r="Q19" s="18">
        <v>9.3096882831278982E-2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5.8454761072176377E-2</v>
      </c>
      <c r="K20" s="18">
        <v>0.12236478915171055</v>
      </c>
      <c r="L20" s="18">
        <v>0.47770900009236222</v>
      </c>
      <c r="M20" s="18">
        <v>0.63533423817573409</v>
      </c>
      <c r="N20" s="18">
        <v>-0.18848738098412779</v>
      </c>
      <c r="O20" s="18">
        <v>0.30539690312848056</v>
      </c>
      <c r="P20" s="18">
        <v>-0.18848738098412779</v>
      </c>
      <c r="Q20" s="18">
        <v>0.30539690312848056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0.40473111670281636</v>
      </c>
      <c r="K21" s="18">
        <v>0.2378183747049665</v>
      </c>
      <c r="L21" s="18">
        <v>1.7018496455747754</v>
      </c>
      <c r="M21" s="18">
        <v>9.6175972285726039E-2</v>
      </c>
      <c r="N21" s="18">
        <v>-7.5205793883297734E-2</v>
      </c>
      <c r="O21" s="18">
        <v>0.88466802728893046</v>
      </c>
      <c r="P21" s="18">
        <v>-7.5205793883297734E-2</v>
      </c>
      <c r="Q21" s="18">
        <v>0.88466802728893046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2.5856955397998385E-2</v>
      </c>
      <c r="K22" s="18">
        <v>2.1836888994621367E-2</v>
      </c>
      <c r="L22" s="18">
        <v>1.1840951980095333</v>
      </c>
      <c r="M22" s="18">
        <v>0.24303349406996785</v>
      </c>
      <c r="N22" s="18">
        <v>-1.821167072852449E-2</v>
      </c>
      <c r="O22" s="18">
        <v>6.992558152452126E-2</v>
      </c>
      <c r="P22" s="18">
        <v>-1.821167072852449E-2</v>
      </c>
      <c r="Q22" s="18">
        <v>6.992558152452126E-2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1.274490710272536E-4</v>
      </c>
      <c r="K23" s="22">
        <v>6.5408956770100153E-5</v>
      </c>
      <c r="L23" s="22">
        <v>1.9484957002939591</v>
      </c>
      <c r="M23" s="22">
        <v>5.8057478432795802E-2</v>
      </c>
      <c r="N23" s="22">
        <v>-4.551547830928263E-6</v>
      </c>
      <c r="O23" s="22">
        <v>2.5944968988543548E-4</v>
      </c>
      <c r="P23" s="22">
        <v>-4.551547830928263E-6</v>
      </c>
      <c r="Q23" s="22">
        <v>2.5944968988543548E-4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0.36459773081179542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0.13293150531311043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2.6544029628644751E-2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1.8324492226979714E-2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2.1621593854113611E-3</v>
      </c>
      <c r="L13" s="18">
        <v>4.324318770822722E-4</v>
      </c>
      <c r="M13" s="18">
        <v>1.2878159585689435</v>
      </c>
      <c r="N13" s="18">
        <v>0.28779752965075306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1.410305464581888E-2</v>
      </c>
      <c r="L14" s="18">
        <v>3.3578701537664E-4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-0.16166723104583908</v>
      </c>
      <c r="K19" s="18">
        <v>0.13116248006147002</v>
      </c>
      <c r="L19" s="18">
        <v>-1.2325722338436482</v>
      </c>
      <c r="M19" s="18">
        <v>0.22459062823546949</v>
      </c>
      <c r="N19" s="18">
        <v>-0.426363832154181</v>
      </c>
      <c r="O19" s="18">
        <v>0.10302937006250285</v>
      </c>
      <c r="P19" s="18">
        <v>-0.426363832154181</v>
      </c>
      <c r="Q19" s="18">
        <v>0.10302937006250285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2.591935391557575E-2</v>
      </c>
      <c r="K20" s="18">
        <v>0.12330732355704788</v>
      </c>
      <c r="L20" s="18">
        <v>0.21020125299844186</v>
      </c>
      <c r="M20" s="18">
        <v>0.83452702637617482</v>
      </c>
      <c r="N20" s="18">
        <v>-0.22292489957841652</v>
      </c>
      <c r="O20" s="18">
        <v>0.27476360740956801</v>
      </c>
      <c r="P20" s="18">
        <v>-0.22292489957841652</v>
      </c>
      <c r="Q20" s="18">
        <v>0.27476360740956801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0.6332178733072461</v>
      </c>
      <c r="K21" s="18">
        <v>0.45107223792857165</v>
      </c>
      <c r="L21" s="18">
        <v>1.4038059097033537</v>
      </c>
      <c r="M21" s="18">
        <v>0.16772788593545263</v>
      </c>
      <c r="N21" s="18">
        <v>-0.27708275670577309</v>
      </c>
      <c r="O21" s="18">
        <v>1.5435185033202652</v>
      </c>
      <c r="P21" s="18">
        <v>-0.27708275670577309</v>
      </c>
      <c r="Q21" s="18">
        <v>1.5435185033202652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-6.6818146523244084E-3</v>
      </c>
      <c r="K22" s="18">
        <v>3.2184032441140639E-2</v>
      </c>
      <c r="L22" s="18">
        <v>-0.20761272424592414</v>
      </c>
      <c r="M22" s="18">
        <v>0.83653478142390303</v>
      </c>
      <c r="N22" s="18">
        <v>-7.1631821644705621E-2</v>
      </c>
      <c r="O22" s="18">
        <v>5.8268192340056799E-2</v>
      </c>
      <c r="P22" s="18">
        <v>-7.1631821644705621E-2</v>
      </c>
      <c r="Q22" s="18">
        <v>5.8268192340056799E-2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1.0573818665574634E-4</v>
      </c>
      <c r="K23" s="22">
        <v>6.4605188554605884E-5</v>
      </c>
      <c r="L23" s="22">
        <v>1.6366825795481401</v>
      </c>
      <c r="M23" s="22">
        <v>0.10916938591722651</v>
      </c>
      <c r="N23" s="22">
        <v>-2.4640362273439486E-5</v>
      </c>
      <c r="O23" s="22">
        <v>2.3611673558493219E-4</v>
      </c>
      <c r="P23" s="22">
        <v>-2.4640362273439486E-5</v>
      </c>
      <c r="Q23" s="22">
        <v>2.3611673558493219E-4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0.36259567182037056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0.13147562122286588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2.494948991075786E-2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1.8339869989770902E-2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2.1384791190788704E-3</v>
      </c>
      <c r="L13" s="18">
        <v>4.2769582381577408E-4</v>
      </c>
      <c r="M13" s="18">
        <v>1.2715765328626019</v>
      </c>
      <c r="N13" s="18">
        <v>0.29459555021300166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1.412673491215137E-2</v>
      </c>
      <c r="L14" s="18">
        <v>3.363508312416993E-4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-0.1672221530541467</v>
      </c>
      <c r="K19" s="18">
        <v>0.130969110418236</v>
      </c>
      <c r="L19" s="18">
        <v>-1.2768060538866031</v>
      </c>
      <c r="M19" s="18">
        <v>0.20868506411846252</v>
      </c>
      <c r="N19" s="18">
        <v>-0.43152851842359752</v>
      </c>
      <c r="O19" s="18">
        <v>9.7084212315304091E-2</v>
      </c>
      <c r="P19" s="18">
        <v>-0.43152851842359752</v>
      </c>
      <c r="Q19" s="18">
        <v>9.7084212315304091E-2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-3.1063377055634812E-3</v>
      </c>
      <c r="K20" s="18">
        <v>0.1328794823122954</v>
      </c>
      <c r="L20" s="18">
        <v>-2.3377105716463575E-2</v>
      </c>
      <c r="M20" s="18">
        <v>0.98146018211299269</v>
      </c>
      <c r="N20" s="18">
        <v>-0.27126798963999416</v>
      </c>
      <c r="O20" s="18">
        <v>0.26505531422886724</v>
      </c>
      <c r="P20" s="18">
        <v>-0.27126798963999416</v>
      </c>
      <c r="Q20" s="18">
        <v>0.26505531422886724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2.4894538379542721E-2</v>
      </c>
      <c r="K21" s="18">
        <v>8.0895257689607591E-2</v>
      </c>
      <c r="L21" s="18">
        <v>0.30773792049791393</v>
      </c>
      <c r="M21" s="18">
        <v>0.75980271291208135</v>
      </c>
      <c r="N21" s="18">
        <v>-0.13835870100863756</v>
      </c>
      <c r="O21" s="18">
        <v>0.18814777776772301</v>
      </c>
      <c r="P21" s="18">
        <v>-0.13835870100863756</v>
      </c>
      <c r="Q21" s="18">
        <v>0.18814777776772301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-9.3835610662364507E-3</v>
      </c>
      <c r="K22" s="18">
        <v>8.0469570715525681E-3</v>
      </c>
      <c r="L22" s="18">
        <v>-1.1661005499096071</v>
      </c>
      <c r="M22" s="18">
        <v>0.25015302730291089</v>
      </c>
      <c r="N22" s="18">
        <v>-2.5622977895702191E-2</v>
      </c>
      <c r="O22" s="18">
        <v>6.8558557632292915E-3</v>
      </c>
      <c r="P22" s="18">
        <v>-2.5622977895702191E-2</v>
      </c>
      <c r="Q22" s="18">
        <v>6.8558557632292915E-3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8.4555843943516802E-5</v>
      </c>
      <c r="K23" s="22">
        <v>6.6040698523049459E-5</v>
      </c>
      <c r="L23" s="22">
        <v>1.2803596242096864</v>
      </c>
      <c r="M23" s="22">
        <v>0.20744490817187788</v>
      </c>
      <c r="N23" s="22">
        <v>-4.8719681387198488E-5</v>
      </c>
      <c r="O23" s="22">
        <v>2.1783136927423211E-4</v>
      </c>
      <c r="P23" s="22">
        <v>-4.8719681387198488E-5</v>
      </c>
      <c r="Q23" s="22">
        <v>2.1783136927423211E-4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0.34751309781388301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0.12076535315220142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1.3219196309553942E-2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1.8452603193982824E-2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1.9642743165776619E-3</v>
      </c>
      <c r="L13" s="18">
        <v>3.9285486331553239E-4</v>
      </c>
      <c r="M13" s="18">
        <v>1.1537636399058973</v>
      </c>
      <c r="N13" s="18">
        <v>0.34817575331440109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1.4300939714652579E-2</v>
      </c>
      <c r="L14" s="18">
        <v>3.4049856463458519E-4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-0.16519595486475322</v>
      </c>
      <c r="K19" s="18">
        <v>0.13141152274110576</v>
      </c>
      <c r="L19" s="18">
        <v>-1.2570888109272296</v>
      </c>
      <c r="M19" s="18">
        <v>0.21566742177693179</v>
      </c>
      <c r="N19" s="18">
        <v>-0.43039514444808891</v>
      </c>
      <c r="O19" s="18">
        <v>0.10000323471858244</v>
      </c>
      <c r="P19" s="18">
        <v>-0.43039514444808891</v>
      </c>
      <c r="Q19" s="18">
        <v>0.10000323471858244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4.5051793572320253E-2</v>
      </c>
      <c r="K20" s="18">
        <v>0.12461995081952981</v>
      </c>
      <c r="L20" s="18">
        <v>0.3615134918289501</v>
      </c>
      <c r="M20" s="18">
        <v>0.71952799659555466</v>
      </c>
      <c r="N20" s="18">
        <v>-0.2064414489827075</v>
      </c>
      <c r="O20" s="18">
        <v>0.29654503612734801</v>
      </c>
      <c r="P20" s="18">
        <v>-0.2064414489827075</v>
      </c>
      <c r="Q20" s="18">
        <v>0.29654503612734801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4.5724645771147751E-2</v>
      </c>
      <c r="K21" s="18">
        <v>0.11410302362581112</v>
      </c>
      <c r="L21" s="18">
        <v>0.40073123672074568</v>
      </c>
      <c r="M21" s="18">
        <v>0.69064933864376044</v>
      </c>
      <c r="N21" s="18">
        <v>-0.18454457844436256</v>
      </c>
      <c r="O21" s="18">
        <v>0.27599386998665804</v>
      </c>
      <c r="P21" s="18">
        <v>-0.18454457844436256</v>
      </c>
      <c r="Q21" s="18">
        <v>0.27599386998665804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7.4530684862139738E-3</v>
      </c>
      <c r="K22" s="18">
        <v>8.2807216399144092E-3</v>
      </c>
      <c r="L22" s="18">
        <v>0.90005060069752685</v>
      </c>
      <c r="M22" s="18">
        <v>0.37322519428383449</v>
      </c>
      <c r="N22" s="18">
        <v>-9.2581043414300523E-3</v>
      </c>
      <c r="O22" s="18">
        <v>2.4164241313857998E-2</v>
      </c>
      <c r="P22" s="18">
        <v>-9.2581043414300523E-3</v>
      </c>
      <c r="Q22" s="18">
        <v>2.4164241313857998E-2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1.2427426424943232E-4</v>
      </c>
      <c r="K23" s="22">
        <v>6.872821331488447E-5</v>
      </c>
      <c r="L23" s="22">
        <v>1.8081986749758594</v>
      </c>
      <c r="M23" s="22">
        <v>7.7739560020281331E-2</v>
      </c>
      <c r="N23" s="22">
        <v>-1.4424885508739139E-5</v>
      </c>
      <c r="O23" s="22">
        <v>2.6297341400760381E-4</v>
      </c>
      <c r="P23" s="22">
        <v>-1.4424885508739139E-5</v>
      </c>
      <c r="Q23" s="22">
        <v>2.6297341400760381E-4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0.34579091557519215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0.11957135729432967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1.191148656045631E-2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1.8465128210477268E-2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1.9448537183969754E-3</v>
      </c>
      <c r="L13" s="18">
        <v>3.8897074367939507E-4</v>
      </c>
      <c r="M13" s="18">
        <v>1.1408072756307892</v>
      </c>
      <c r="N13" s="18">
        <v>0.35453848971251589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1.4320360312833265E-2</v>
      </c>
      <c r="L14" s="18">
        <v>3.4096095982936347E-4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-0.18201877400823044</v>
      </c>
      <c r="K19" s="18">
        <v>0.133151206610155</v>
      </c>
      <c r="L19" s="18">
        <v>-1.367008070314764</v>
      </c>
      <c r="M19" s="18">
        <v>0.1788954382255051</v>
      </c>
      <c r="N19" s="18">
        <v>-0.45072878777638281</v>
      </c>
      <c r="O19" s="18">
        <v>8.6691239759921906E-2</v>
      </c>
      <c r="P19" s="18">
        <v>-0.45072878777638281</v>
      </c>
      <c r="Q19" s="18">
        <v>8.6691239759921906E-2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3.5938074156657583E-2</v>
      </c>
      <c r="K20" s="18">
        <v>0.12397141871465638</v>
      </c>
      <c r="L20" s="18">
        <v>0.2898899966562119</v>
      </c>
      <c r="M20" s="18">
        <v>0.77332680110448759</v>
      </c>
      <c r="N20" s="18">
        <v>-0.21424637762383472</v>
      </c>
      <c r="O20" s="18">
        <v>0.28612252593714987</v>
      </c>
      <c r="P20" s="18">
        <v>-0.21424637762383472</v>
      </c>
      <c r="Q20" s="18">
        <v>0.28612252593714987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6.2818531798220278E-2</v>
      </c>
      <c r="K21" s="18">
        <v>6.4459726446578269E-2</v>
      </c>
      <c r="L21" s="18">
        <v>0.97453922411975868</v>
      </c>
      <c r="M21" s="18">
        <v>0.33536862573186244</v>
      </c>
      <c r="N21" s="18">
        <v>-6.7266462712301633E-2</v>
      </c>
      <c r="O21" s="18">
        <v>0.19290352630874219</v>
      </c>
      <c r="P21" s="18">
        <v>-6.7266462712301633E-2</v>
      </c>
      <c r="Q21" s="18">
        <v>0.19290352630874219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-3.3855948840468973E-3</v>
      </c>
      <c r="K22" s="18">
        <v>5.0687340566000355E-3</v>
      </c>
      <c r="L22" s="18">
        <v>-0.66793697326425905</v>
      </c>
      <c r="M22" s="18">
        <v>0.50782787926686268</v>
      </c>
      <c r="N22" s="18">
        <v>-1.3614714340124146E-2</v>
      </c>
      <c r="O22" s="18">
        <v>6.843524572030352E-3</v>
      </c>
      <c r="P22" s="18">
        <v>-1.3614714340124146E-2</v>
      </c>
      <c r="Q22" s="18">
        <v>6.843524572030352E-3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1.0435989828621551E-4</v>
      </c>
      <c r="K23" s="22">
        <v>6.5931251449452246E-5</v>
      </c>
      <c r="L23" s="22">
        <v>1.5828593571627485</v>
      </c>
      <c r="M23" s="22">
        <v>0.12095562663222162</v>
      </c>
      <c r="N23" s="22">
        <v>-2.8694753907846233E-5</v>
      </c>
      <c r="O23" s="22">
        <v>2.3741455048027725E-4</v>
      </c>
      <c r="P23" s="22">
        <v>-2.8694753907846233E-5</v>
      </c>
      <c r="Q23" s="22">
        <v>2.3741455048027725E-4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0.35256100875516044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0.12429926489445632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1.7089671074880738E-2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1.8415482541417959E-2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2.0217541474329154E-3</v>
      </c>
      <c r="L13" s="18">
        <v>4.0435082948658309E-4</v>
      </c>
      <c r="M13" s="18">
        <v>1.1923180868263077</v>
      </c>
      <c r="N13" s="18">
        <v>0.32980080564360204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1.4243459883797325E-2</v>
      </c>
      <c r="L14" s="18">
        <v>3.3912999723326967E-4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-0.17190218644690033</v>
      </c>
      <c r="K19" s="18">
        <v>0.12890223516520916</v>
      </c>
      <c r="L19" s="18">
        <v>-1.3335857692970161</v>
      </c>
      <c r="M19" s="18">
        <v>0.18952729349861616</v>
      </c>
      <c r="N19" s="18">
        <v>-0.43203742868620942</v>
      </c>
      <c r="O19" s="18">
        <v>8.8233055792408727E-2</v>
      </c>
      <c r="P19" s="18">
        <v>-0.43203742868620942</v>
      </c>
      <c r="Q19" s="18">
        <v>8.8233055792408727E-2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4.5103192221079398E-2</v>
      </c>
      <c r="K20" s="18">
        <v>0.12374334091148208</v>
      </c>
      <c r="L20" s="18">
        <v>0.36448985366689979</v>
      </c>
      <c r="M20" s="18">
        <v>0.71732104985948708</v>
      </c>
      <c r="N20" s="18">
        <v>-0.20462097991800784</v>
      </c>
      <c r="O20" s="18">
        <v>0.29482736436016665</v>
      </c>
      <c r="P20" s="18">
        <v>-0.20462097991800784</v>
      </c>
      <c r="Q20" s="18">
        <v>0.29482736436016665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0.10008471226892264</v>
      </c>
      <c r="K21" s="18">
        <v>8.0992451562797857E-2</v>
      </c>
      <c r="L21" s="18">
        <v>1.2357288900104662</v>
      </c>
      <c r="M21" s="18">
        <v>0.22342660870173281</v>
      </c>
      <c r="N21" s="18">
        <v>-6.3364672296368982E-2</v>
      </c>
      <c r="O21" s="18">
        <v>0.26353409683421425</v>
      </c>
      <c r="P21" s="18">
        <v>-6.3364672296368982E-2</v>
      </c>
      <c r="Q21" s="18">
        <v>0.26353409683421425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2.8376006718250045E-3</v>
      </c>
      <c r="K22" s="18">
        <v>5.9701154259141692E-3</v>
      </c>
      <c r="L22" s="18">
        <v>0.47530080566080496</v>
      </c>
      <c r="M22" s="18">
        <v>0.63703523669532269</v>
      </c>
      <c r="N22" s="18">
        <v>-9.2105800329265342E-3</v>
      </c>
      <c r="O22" s="18">
        <v>1.4885781376576543E-2</v>
      </c>
      <c r="P22" s="18">
        <v>-9.2105800329265342E-3</v>
      </c>
      <c r="Q22" s="18">
        <v>1.4885781376576543E-2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1.222082440896139E-4</v>
      </c>
      <c r="K23" s="22">
        <v>6.8255495792679917E-5</v>
      </c>
      <c r="L23" s="22">
        <v>1.7904528077974955</v>
      </c>
      <c r="M23" s="22">
        <v>8.0591164628067827E-2</v>
      </c>
      <c r="N23" s="22">
        <v>-1.5536923086394887E-5</v>
      </c>
      <c r="O23" s="22">
        <v>2.5995341126562268E-4</v>
      </c>
      <c r="P23" s="22">
        <v>-1.5536923086394887E-5</v>
      </c>
      <c r="Q23" s="22">
        <v>2.5995341126562268E-4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0.49089867951520333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0.24098151354977032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0.14488451484022466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1.7144760504495534E-2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3.9196158954568246E-3</v>
      </c>
      <c r="L13" s="18">
        <v>7.8392317909136496E-4</v>
      </c>
      <c r="M13" s="18">
        <v>2.6669241262950507</v>
      </c>
      <c r="N13" s="18">
        <v>3.5453434957307038E-2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1.2345598135773416E-2</v>
      </c>
      <c r="L14" s="18">
        <v>2.9394281275650993E-4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-0.13110226188518037</v>
      </c>
      <c r="K19" s="18">
        <v>0.12227557266044893</v>
      </c>
      <c r="L19" s="18">
        <v>-1.0721868565624515</v>
      </c>
      <c r="M19" s="18">
        <v>0.28975844005463791</v>
      </c>
      <c r="N19" s="18">
        <v>-0.37786435777287974</v>
      </c>
      <c r="O19" s="18">
        <v>0.11565983400251903</v>
      </c>
      <c r="P19" s="18">
        <v>-0.37786435777287974</v>
      </c>
      <c r="Q19" s="18">
        <v>0.11565983400251903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-1.6123313556582506E-2</v>
      </c>
      <c r="K20" s="18">
        <v>0.11663650151111461</v>
      </c>
      <c r="L20" s="18">
        <v>-0.13823557246396037</v>
      </c>
      <c r="M20" s="18">
        <v>0.89071489350294786</v>
      </c>
      <c r="N20" s="18">
        <v>-0.25150530313691893</v>
      </c>
      <c r="O20" s="18">
        <v>0.21925867602375393</v>
      </c>
      <c r="P20" s="18">
        <v>-0.25150530313691893</v>
      </c>
      <c r="Q20" s="18">
        <v>0.21925867602375393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0.10481117320139346</v>
      </c>
      <c r="K21" s="18">
        <v>4.071971915725426E-2</v>
      </c>
      <c r="L21" s="18">
        <v>2.5739660137788856</v>
      </c>
      <c r="M21" s="18">
        <v>1.3671914770108089E-2</v>
      </c>
      <c r="N21" s="18">
        <v>2.2635453026232891E-2</v>
      </c>
      <c r="O21" s="18">
        <v>0.18698689337655405</v>
      </c>
      <c r="P21" s="18">
        <v>2.2635453026232891E-2</v>
      </c>
      <c r="Q21" s="18">
        <v>0.18698689337655405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5.4160852677455767E-3</v>
      </c>
      <c r="K22" s="18">
        <v>2.9043686860532451E-3</v>
      </c>
      <c r="L22" s="18">
        <v>1.8648063841734606</v>
      </c>
      <c r="M22" s="18">
        <v>6.9206075135830158E-2</v>
      </c>
      <c r="N22" s="18">
        <v>-4.4516803581732926E-4</v>
      </c>
      <c r="O22" s="18">
        <v>1.1277338571308483E-2</v>
      </c>
      <c r="P22" s="18">
        <v>-4.4516803581732926E-4</v>
      </c>
      <c r="Q22" s="18">
        <v>1.1277338571308483E-2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1.6769914243510301E-4</v>
      </c>
      <c r="K23" s="22">
        <v>6.4767831633659573E-5</v>
      </c>
      <c r="L23" s="22">
        <v>2.5892350910193271</v>
      </c>
      <c r="M23" s="22">
        <v>1.3161465814484932E-2</v>
      </c>
      <c r="N23" s="22">
        <v>3.6992366483988895E-5</v>
      </c>
      <c r="O23" s="22">
        <v>2.9840591838621713E-4</v>
      </c>
      <c r="P23" s="22">
        <v>3.6992366483988895E-5</v>
      </c>
      <c r="Q23" s="22">
        <v>2.9840591838621713E-4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0.37415310039690042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0.13999054253661306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3.4275356111528578E-2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1.8249747483265539E-2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2.2769761367060527E-3</v>
      </c>
      <c r="L13" s="18">
        <v>4.5539522734121057E-4</v>
      </c>
      <c r="M13" s="18">
        <v>1.367334448595424</v>
      </c>
      <c r="N13" s="18">
        <v>0.25646460431605445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1.3988237894524188E-2</v>
      </c>
      <c r="L14" s="18">
        <v>3.3305328320295684E-4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-0.157656211385786</v>
      </c>
      <c r="K19" s="18">
        <v>0.12809674046033076</v>
      </c>
      <c r="L19" s="18">
        <v>-1.2307589624781223</v>
      </c>
      <c r="M19" s="18">
        <v>0.22526130055899884</v>
      </c>
      <c r="N19" s="18">
        <v>-0.41616589949946287</v>
      </c>
      <c r="O19" s="18">
        <v>0.10085347672789086</v>
      </c>
      <c r="P19" s="18">
        <v>-0.41616589949946287</v>
      </c>
      <c r="Q19" s="18">
        <v>0.10085347672789086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5.5591752390848362E-2</v>
      </c>
      <c r="K20" s="18">
        <v>0.12366581318197378</v>
      </c>
      <c r="L20" s="18">
        <v>0.44953209751708262</v>
      </c>
      <c r="M20" s="18">
        <v>0.65535927176691788</v>
      </c>
      <c r="N20" s="18">
        <v>-0.19397596245585713</v>
      </c>
      <c r="O20" s="18">
        <v>0.30515946723755383</v>
      </c>
      <c r="P20" s="18">
        <v>-0.19397596245585713</v>
      </c>
      <c r="Q20" s="18">
        <v>0.30515946723755383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5.9165152645015873E-2</v>
      </c>
      <c r="K21" s="18">
        <v>4.2889001861751097E-2</v>
      </c>
      <c r="L21" s="18">
        <v>1.3794947440308709</v>
      </c>
      <c r="M21" s="18">
        <v>0.1750433719268582</v>
      </c>
      <c r="N21" s="18">
        <v>-2.7388357264330282E-2</v>
      </c>
      <c r="O21" s="18">
        <v>0.14571866255436203</v>
      </c>
      <c r="P21" s="18">
        <v>-2.7388357264330282E-2</v>
      </c>
      <c r="Q21" s="18">
        <v>0.14571866255436203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3.6818657375860156E-3</v>
      </c>
      <c r="K22" s="18">
        <v>3.2551920884980861E-3</v>
      </c>
      <c r="L22" s="18">
        <v>1.1310747991172443</v>
      </c>
      <c r="M22" s="18">
        <v>0.26444097395338828</v>
      </c>
      <c r="N22" s="18">
        <v>-2.8873778553713358E-3</v>
      </c>
      <c r="O22" s="18">
        <v>1.0251109330543367E-2</v>
      </c>
      <c r="P22" s="18">
        <v>-2.8873778553713358E-3</v>
      </c>
      <c r="Q22" s="18">
        <v>1.0251109330543367E-2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1.3942867574897593E-4</v>
      </c>
      <c r="K23" s="22">
        <v>6.9079942126148086E-5</v>
      </c>
      <c r="L23" s="22">
        <v>2.0183670028901126</v>
      </c>
      <c r="M23" s="22">
        <v>4.9969070652788557E-2</v>
      </c>
      <c r="N23" s="22">
        <v>1.9708512439284374E-8</v>
      </c>
      <c r="O23" s="22">
        <v>2.7883764298551258E-4</v>
      </c>
      <c r="P23" s="22">
        <v>1.9708512439284374E-8</v>
      </c>
      <c r="Q23" s="22">
        <v>2.7883764298551258E-4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0.30894349079031125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9.544608050170314E-2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-1.4511435640991803E-2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1.8716406797645552E-2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1.552450927802233E-3</v>
      </c>
      <c r="L13" s="18">
        <v>3.1049018556044658E-4</v>
      </c>
      <c r="M13" s="18">
        <v>0.88634525696266786</v>
      </c>
      <c r="N13" s="18">
        <v>0.49900699023044359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1.4712763103428008E-2</v>
      </c>
      <c r="L14" s="18">
        <v>3.5030388341495257E-4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-0.17166616012907274</v>
      </c>
      <c r="K19" s="18">
        <v>0.13136737631087059</v>
      </c>
      <c r="L19" s="18">
        <v>-1.3067640151603412</v>
      </c>
      <c r="M19" s="18">
        <v>0.19840309656713484</v>
      </c>
      <c r="N19" s="18">
        <v>-0.43677625860930602</v>
      </c>
      <c r="O19" s="18">
        <v>9.3443938351160577E-2</v>
      </c>
      <c r="P19" s="18">
        <v>-0.43677625860930602</v>
      </c>
      <c r="Q19" s="18">
        <v>9.3443938351160577E-2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3.4534539599215354E-2</v>
      </c>
      <c r="K20" s="18">
        <v>0.12673099883748173</v>
      </c>
      <c r="L20" s="18">
        <v>0.27250270191196097</v>
      </c>
      <c r="M20" s="18">
        <v>0.78657081715956623</v>
      </c>
      <c r="N20" s="18">
        <v>-0.22121897033461232</v>
      </c>
      <c r="O20" s="18">
        <v>0.29028804953304305</v>
      </c>
      <c r="P20" s="18">
        <v>-0.22121897033461232</v>
      </c>
      <c r="Q20" s="18">
        <v>0.29028804953304305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-4.1899832450825224E-3</v>
      </c>
      <c r="K21" s="18">
        <v>6.8432462951296999E-2</v>
      </c>
      <c r="L21" s="18">
        <v>-6.122800589633183E-2</v>
      </c>
      <c r="M21" s="18">
        <v>0.95146806577932763</v>
      </c>
      <c r="N21" s="18">
        <v>-0.14229228460589619</v>
      </c>
      <c r="O21" s="18">
        <v>0.13391231811573115</v>
      </c>
      <c r="P21" s="18">
        <v>-0.14229228460589619</v>
      </c>
      <c r="Q21" s="18">
        <v>0.13391231811573115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-1.7277649531654189E-3</v>
      </c>
      <c r="K22" s="18">
        <v>4.4771811862419969E-3</v>
      </c>
      <c r="L22" s="18">
        <v>-0.38590463090363553</v>
      </c>
      <c r="M22" s="18">
        <v>0.7015152079226844</v>
      </c>
      <c r="N22" s="18">
        <v>-1.0763082385323379E-2</v>
      </c>
      <c r="O22" s="18">
        <v>7.3075524789925411E-3</v>
      </c>
      <c r="P22" s="18">
        <v>-1.0763082385323379E-2</v>
      </c>
      <c r="Q22" s="18">
        <v>7.3075524789925411E-3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9.5623914662759733E-5</v>
      </c>
      <c r="K23" s="22">
        <v>7.0364250521307454E-5</v>
      </c>
      <c r="L23" s="22">
        <v>1.3589843415414939</v>
      </c>
      <c r="M23" s="22">
        <v>0.18140497705753281</v>
      </c>
      <c r="N23" s="22">
        <v>-4.6376891846824139E-5</v>
      </c>
      <c r="O23" s="22">
        <v>2.376247211723436E-4</v>
      </c>
      <c r="P23" s="22">
        <v>-4.6376891846824139E-5</v>
      </c>
      <c r="Q23" s="22">
        <v>2.376247211723436E-4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0.30751459559037675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9.4565226501112945E-2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-1.5476180498781068E-2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1.8725517592361875E-2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1.5381236489523682E-3</v>
      </c>
      <c r="L13" s="18">
        <v>3.0762472979047365E-4</v>
      </c>
      <c r="M13" s="18">
        <v>0.87731101771112308</v>
      </c>
      <c r="N13" s="18">
        <v>0.50480660951414458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1.4727090382277873E-2</v>
      </c>
      <c r="L14" s="18">
        <v>3.5064500910185411E-4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-0.18013547758527415</v>
      </c>
      <c r="K19" s="18">
        <v>0.1323715827516096</v>
      </c>
      <c r="L19" s="18">
        <v>-1.3608319387046368</v>
      </c>
      <c r="M19" s="18">
        <v>0.18082472814882955</v>
      </c>
      <c r="N19" s="18">
        <v>-0.44727214670941529</v>
      </c>
      <c r="O19" s="18">
        <v>8.7001191538866984E-2</v>
      </c>
      <c r="P19" s="18">
        <v>-0.44727214670941529</v>
      </c>
      <c r="Q19" s="18">
        <v>8.7001191538866984E-2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3.7779023287199794E-2</v>
      </c>
      <c r="K20" s="18">
        <v>0.12626048009831914</v>
      </c>
      <c r="L20" s="18">
        <v>0.29921495037703988</v>
      </c>
      <c r="M20" s="18">
        <v>0.76625171345410914</v>
      </c>
      <c r="N20" s="18">
        <v>-0.21702494138829065</v>
      </c>
      <c r="O20" s="18">
        <v>0.29258298796269022</v>
      </c>
      <c r="P20" s="18">
        <v>-0.21702494138829065</v>
      </c>
      <c r="Q20" s="18">
        <v>0.29258298796269022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2.7339637378807919E-2</v>
      </c>
      <c r="K21" s="18">
        <v>0.1479827801535972</v>
      </c>
      <c r="L21" s="18">
        <v>0.18474877516445512</v>
      </c>
      <c r="M21" s="18">
        <v>0.85431531539275074</v>
      </c>
      <c r="N21" s="18">
        <v>-0.27130170358137129</v>
      </c>
      <c r="O21" s="18">
        <v>0.32598097833898709</v>
      </c>
      <c r="P21" s="18">
        <v>-0.27130170358137129</v>
      </c>
      <c r="Q21" s="18">
        <v>0.32598097833898709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-3.5034689294147769E-3</v>
      </c>
      <c r="K22" s="18">
        <v>1.0509927373831995E-2</v>
      </c>
      <c r="L22" s="18">
        <v>-0.33334853846258189</v>
      </c>
      <c r="M22" s="18">
        <v>0.74052969518522138</v>
      </c>
      <c r="N22" s="18">
        <v>-2.4713361060495851E-2</v>
      </c>
      <c r="O22" s="18">
        <v>1.7706423201666297E-2</v>
      </c>
      <c r="P22" s="18">
        <v>-2.4713361060495851E-2</v>
      </c>
      <c r="Q22" s="18">
        <v>1.7706423201666297E-2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9.6841650197100279E-5</v>
      </c>
      <c r="K23" s="22">
        <v>6.8440287851395716E-5</v>
      </c>
      <c r="L23" s="22">
        <v>1.4149801708515954</v>
      </c>
      <c r="M23" s="22">
        <v>0.16444623461134894</v>
      </c>
      <c r="N23" s="22">
        <v>-4.1276442451429013E-5</v>
      </c>
      <c r="O23" s="22">
        <v>2.3495974284562957E-4</v>
      </c>
      <c r="P23" s="22">
        <v>-4.1276442451429013E-5</v>
      </c>
      <c r="Q23" s="22">
        <v>2.3495974284562957E-4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0.36216642687893574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0.13116452075825549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2.4608760830470304E-2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1.8343154313954807E-2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2.1334190034367675E-3</v>
      </c>
      <c r="L13" s="18">
        <v>4.2668380068735352E-4</v>
      </c>
      <c r="M13" s="18">
        <v>1.2681134699182637</v>
      </c>
      <c r="N13" s="18">
        <v>0.29606318983108948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1.4131795027793473E-2</v>
      </c>
      <c r="L14" s="18">
        <v>3.364713101855589E-4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-0.14577832820783887</v>
      </c>
      <c r="K19" s="18">
        <v>0.13013370968865376</v>
      </c>
      <c r="L19" s="18">
        <v>-1.1202195692155017</v>
      </c>
      <c r="M19" s="18">
        <v>0.26898526572970227</v>
      </c>
      <c r="N19" s="18">
        <v>-0.40839878665039858</v>
      </c>
      <c r="O19" s="18">
        <v>0.11684213023472084</v>
      </c>
      <c r="P19" s="18">
        <v>-0.40839878665039858</v>
      </c>
      <c r="Q19" s="18">
        <v>0.11684213023472084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3.2879251287103881E-2</v>
      </c>
      <c r="K20" s="18">
        <v>0.12328906741000425</v>
      </c>
      <c r="L20" s="18">
        <v>0.26668424036141181</v>
      </c>
      <c r="M20" s="18">
        <v>0.79101732030172622</v>
      </c>
      <c r="N20" s="18">
        <v>-0.21592815981057567</v>
      </c>
      <c r="O20" s="18">
        <v>0.28168666238478346</v>
      </c>
      <c r="P20" s="18">
        <v>-0.21592815981057567</v>
      </c>
      <c r="Q20" s="18">
        <v>0.28168666238478346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-1.4843545135168404E-2</v>
      </c>
      <c r="K21" s="18">
        <v>1.0974832717323512E-2</v>
      </c>
      <c r="L21" s="18">
        <v>-1.3525076433956229</v>
      </c>
      <c r="M21" s="18">
        <v>0.18345033104799646</v>
      </c>
      <c r="N21" s="18">
        <v>-3.6991654233492231E-2</v>
      </c>
      <c r="O21" s="18">
        <v>7.3045639631554235E-3</v>
      </c>
      <c r="P21" s="18">
        <v>-3.6991654233492231E-2</v>
      </c>
      <c r="Q21" s="18">
        <v>7.3045639631554235E-3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-3.903149868366062E-4</v>
      </c>
      <c r="K22" s="18">
        <v>8.0017287092719184E-4</v>
      </c>
      <c r="L22" s="18">
        <v>-0.48778832802008498</v>
      </c>
      <c r="M22" s="18">
        <v>0.6282365264951093</v>
      </c>
      <c r="N22" s="18">
        <v>-2.005129216746478E-3</v>
      </c>
      <c r="O22" s="18">
        <v>1.2244992430732657E-3</v>
      </c>
      <c r="P22" s="18">
        <v>-2.005129216746478E-3</v>
      </c>
      <c r="Q22" s="18">
        <v>1.2244992430732657E-3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5.9540951639203985E-5</v>
      </c>
      <c r="K23" s="22">
        <v>7.1876746498980389E-5</v>
      </c>
      <c r="L23" s="22">
        <v>0.82837572009535243</v>
      </c>
      <c r="M23" s="22">
        <v>0.41214048503306056</v>
      </c>
      <c r="N23" s="22">
        <v>-8.551219532850816E-5</v>
      </c>
      <c r="O23" s="22">
        <v>2.0459409860691612E-4</v>
      </c>
      <c r="P23" s="22">
        <v>-8.551219532850816E-5</v>
      </c>
      <c r="Q23" s="22">
        <v>2.0459409860691612E-4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0.38544711294240364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0.14856947687563407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4.3671331816170653E-2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1.8158495120243531E-2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2.4165143398901003E-3</v>
      </c>
      <c r="L13" s="18">
        <v>4.8330286797802004E-4</v>
      </c>
      <c r="M13" s="18">
        <v>1.4657491972166905</v>
      </c>
      <c r="N13" s="18">
        <v>0.22194136959121286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1.384869969134014E-2</v>
      </c>
      <c r="L14" s="18">
        <v>3.2973094503190812E-4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-0.14611862115818722</v>
      </c>
      <c r="K19" s="18">
        <v>0.12852309819794996</v>
      </c>
      <c r="L19" s="18">
        <v>-1.136905530655173</v>
      </c>
      <c r="M19" s="18">
        <v>0.26202282954492562</v>
      </c>
      <c r="N19" s="18">
        <v>-0.40548873402100849</v>
      </c>
      <c r="O19" s="18">
        <v>0.11325149170463403</v>
      </c>
      <c r="P19" s="18">
        <v>-0.40548873402100849</v>
      </c>
      <c r="Q19" s="18">
        <v>0.11325149170463403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5.4930030146132854E-2</v>
      </c>
      <c r="K20" s="18">
        <v>0.12213350903932245</v>
      </c>
      <c r="L20" s="18">
        <v>0.44975396660753786</v>
      </c>
      <c r="M20" s="18">
        <v>0.65520055895723339</v>
      </c>
      <c r="N20" s="18">
        <v>-0.1915453697471351</v>
      </c>
      <c r="O20" s="18">
        <v>0.30140543003940079</v>
      </c>
      <c r="P20" s="18">
        <v>-0.1915453697471351</v>
      </c>
      <c r="Q20" s="18">
        <v>0.30140543003940079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-0.40499457047939541</v>
      </c>
      <c r="K21" s="18">
        <v>0.25442615010257019</v>
      </c>
      <c r="L21" s="18">
        <v>-1.5917961668489051</v>
      </c>
      <c r="M21" s="18">
        <v>0.1189300638809105</v>
      </c>
      <c r="N21" s="18">
        <v>-0.91844732871993173</v>
      </c>
      <c r="O21" s="18">
        <v>0.10845818776114097</v>
      </c>
      <c r="P21" s="18">
        <v>-0.91844732871993173</v>
      </c>
      <c r="Q21" s="18">
        <v>0.10845818776114097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-2.8315396257324991E-2</v>
      </c>
      <c r="K22" s="18">
        <v>2.2465033138436646E-2</v>
      </c>
      <c r="L22" s="18">
        <v>-1.2604208541708599</v>
      </c>
      <c r="M22" s="18">
        <v>0.21447537300752142</v>
      </c>
      <c r="N22" s="18">
        <v>-7.3651668587214045E-2</v>
      </c>
      <c r="O22" s="18">
        <v>1.702087607256406E-2</v>
      </c>
      <c r="P22" s="18">
        <v>-7.3651668587214045E-2</v>
      </c>
      <c r="Q22" s="18">
        <v>1.702087607256406E-2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5.9267963736548471E-5</v>
      </c>
      <c r="K23" s="22">
        <v>6.8224305349168086E-5</v>
      </c>
      <c r="L23" s="22">
        <v>0.86872212818024941</v>
      </c>
      <c r="M23" s="22">
        <v>0.38993638267505915</v>
      </c>
      <c r="N23" s="22">
        <v>-7.8414258576106285E-5</v>
      </c>
      <c r="O23" s="22">
        <v>1.9695018604920321E-4</v>
      </c>
      <c r="P23" s="22">
        <v>-7.8414258576106285E-5</v>
      </c>
      <c r="Q23" s="22">
        <v>1.9695018604920321E-4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0.32659881830721665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0.10666678811967031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-2.2220892022658482E-3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1.8599958968490274E-2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1.7349581387903247E-3</v>
      </c>
      <c r="L13" s="18">
        <v>3.4699162775806493E-4</v>
      </c>
      <c r="M13" s="18">
        <v>1.0029863530085101</v>
      </c>
      <c r="N13" s="18">
        <v>0.42818112089054289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1.4530255892439916E-2</v>
      </c>
      <c r="L14" s="18">
        <v>3.4595847362952183E-4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-0.15595762674045061</v>
      </c>
      <c r="K19" s="18">
        <v>0.13212394437793318</v>
      </c>
      <c r="L19" s="18">
        <v>-1.1803888195643215</v>
      </c>
      <c r="M19" s="18">
        <v>0.24448771812369713</v>
      </c>
      <c r="N19" s="18">
        <v>-0.42259454139375968</v>
      </c>
      <c r="O19" s="18">
        <v>0.11067928791285847</v>
      </c>
      <c r="P19" s="18">
        <v>-0.42259454139375968</v>
      </c>
      <c r="Q19" s="18">
        <v>0.11067928791285847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4.0704928269684769E-2</v>
      </c>
      <c r="K20" s="18">
        <v>0.12769806907326678</v>
      </c>
      <c r="L20" s="18">
        <v>0.31875915246870579</v>
      </c>
      <c r="M20" s="18">
        <v>0.75148901999244844</v>
      </c>
      <c r="N20" s="18">
        <v>-0.21700020841232101</v>
      </c>
      <c r="O20" s="18">
        <v>0.29841006495169053</v>
      </c>
      <c r="P20" s="18">
        <v>-0.21700020841232101</v>
      </c>
      <c r="Q20" s="18">
        <v>0.29841006495169053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-0.3704254557875552</v>
      </c>
      <c r="K21" s="18">
        <v>0.45892360773034441</v>
      </c>
      <c r="L21" s="18">
        <v>-0.807161474258284</v>
      </c>
      <c r="M21" s="18">
        <v>0.42412106511981684</v>
      </c>
      <c r="N21" s="18">
        <v>-1.2965707915395932</v>
      </c>
      <c r="O21" s="18">
        <v>0.55571987996448291</v>
      </c>
      <c r="P21" s="18">
        <v>-1.2965707915395932</v>
      </c>
      <c r="Q21" s="18">
        <v>0.55571987996448291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7.5676177650537075E-3</v>
      </c>
      <c r="K22" s="18">
        <v>3.2676427805485131E-2</v>
      </c>
      <c r="L22" s="18">
        <v>0.23159256605715609</v>
      </c>
      <c r="M22" s="18">
        <v>0.81797912753777724</v>
      </c>
      <c r="N22" s="18">
        <v>-5.8376083302663744E-2</v>
      </c>
      <c r="O22" s="18">
        <v>7.3511318832771164E-2</v>
      </c>
      <c r="P22" s="18">
        <v>-5.8376083302663744E-2</v>
      </c>
      <c r="Q22" s="18">
        <v>7.3511318832771164E-2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9.3318805658730705E-5</v>
      </c>
      <c r="K23" s="22">
        <v>6.5890478804346236E-5</v>
      </c>
      <c r="L23" s="22">
        <v>1.4162714758201949</v>
      </c>
      <c r="M23" s="22">
        <v>0.16407025593859284</v>
      </c>
      <c r="N23" s="22">
        <v>-3.9653564006267072E-5</v>
      </c>
      <c r="O23" s="22">
        <v>2.2629117532372848E-4</v>
      </c>
      <c r="P23" s="22">
        <v>-3.9653564006267072E-5</v>
      </c>
      <c r="Q23" s="22">
        <v>2.2629117532372848E-4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0.38376147387118775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0.14727286882778631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4.2251237287575481E-2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1.8172316267931782E-2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2.3954247324772405E-3</v>
      </c>
      <c r="L13" s="18">
        <v>4.7908494649544811E-4</v>
      </c>
      <c r="M13" s="18">
        <v>1.4507479039078051</v>
      </c>
      <c r="N13" s="18">
        <v>0.22691459034478376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1.3869789298753E-2</v>
      </c>
      <c r="L14" s="18">
        <v>3.3023307854173809E-4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-0.14162052147698054</v>
      </c>
      <c r="K19" s="18">
        <v>0.12956090797347233</v>
      </c>
      <c r="L19" s="18">
        <v>-1.0930806498050896</v>
      </c>
      <c r="M19" s="18">
        <v>0.28058849675052128</v>
      </c>
      <c r="N19" s="18">
        <v>-0.40308501925878959</v>
      </c>
      <c r="O19" s="18">
        <v>0.11984397630482849</v>
      </c>
      <c r="P19" s="18">
        <v>-0.40308501925878959</v>
      </c>
      <c r="Q19" s="18">
        <v>0.11984397630482849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4.7518237837902606E-2</v>
      </c>
      <c r="K20" s="18">
        <v>0.12260851781967197</v>
      </c>
      <c r="L20" s="18">
        <v>0.38756065796171402</v>
      </c>
      <c r="M20" s="18">
        <v>0.70029837374447479</v>
      </c>
      <c r="N20" s="18">
        <v>-0.1999157685836668</v>
      </c>
      <c r="O20" s="18">
        <v>0.29495224425947203</v>
      </c>
      <c r="P20" s="18">
        <v>-0.1999157685836668</v>
      </c>
      <c r="Q20" s="18">
        <v>0.29495224425947203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8.3697387067785511E-2</v>
      </c>
      <c r="K21" s="18">
        <v>7.8940804524148186E-2</v>
      </c>
      <c r="L21" s="18">
        <v>1.0602550553203733</v>
      </c>
      <c r="M21" s="18">
        <v>0.29508792444129989</v>
      </c>
      <c r="N21" s="18">
        <v>-7.5611606148165561E-2</v>
      </c>
      <c r="O21" s="18">
        <v>0.24300638028373658</v>
      </c>
      <c r="P21" s="18">
        <v>-7.5611606148165561E-2</v>
      </c>
      <c r="Q21" s="18">
        <v>0.24300638028373658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1.1231002288477664E-2</v>
      </c>
      <c r="K22" s="18">
        <v>7.3459681617109758E-3</v>
      </c>
      <c r="L22" s="18">
        <v>1.5288661809094761</v>
      </c>
      <c r="M22" s="18">
        <v>0.13379488812415347</v>
      </c>
      <c r="N22" s="18">
        <v>-3.5937616481581131E-3</v>
      </c>
      <c r="O22" s="18">
        <v>2.6055766225113443E-2</v>
      </c>
      <c r="P22" s="18">
        <v>-3.5937616481581131E-3</v>
      </c>
      <c r="Q22" s="18">
        <v>2.6055766225113443E-2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1.3174142572912759E-4</v>
      </c>
      <c r="K23" s="22">
        <v>6.663940880930551E-5</v>
      </c>
      <c r="L23" s="22">
        <v>1.97692968894903</v>
      </c>
      <c r="M23" s="22">
        <v>5.4638953949185873E-2</v>
      </c>
      <c r="N23" s="22">
        <v>-2.7423458755702315E-6</v>
      </c>
      <c r="O23" s="22">
        <v>2.6622519733382542E-4</v>
      </c>
      <c r="P23" s="22">
        <v>-2.7423458755702315E-6</v>
      </c>
      <c r="Q23" s="22">
        <v>2.6622519733382542E-4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0.381351443376584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0.14542892336540397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4.023167797163292E-2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1.8191953654582833E-2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2.365432564869676E-3</v>
      </c>
      <c r="L13" s="18">
        <v>4.730865129739352E-4</v>
      </c>
      <c r="M13" s="18">
        <v>1.4294925134609202</v>
      </c>
      <c r="N13" s="18">
        <v>0.23413564374326959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1.3899781466360565E-2</v>
      </c>
      <c r="L14" s="18">
        <v>3.3094717777048963E-4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-0.15900700591638306</v>
      </c>
      <c r="K19" s="18">
        <v>0.12836280054219495</v>
      </c>
      <c r="L19" s="18">
        <v>-1.2387311997303678</v>
      </c>
      <c r="M19" s="18">
        <v>0.22232365860389555</v>
      </c>
      <c r="N19" s="18">
        <v>-0.41805362501312043</v>
      </c>
      <c r="O19" s="18">
        <v>0.10003961318035431</v>
      </c>
      <c r="P19" s="18">
        <v>-0.41805362501312043</v>
      </c>
      <c r="Q19" s="18">
        <v>0.10003961318035431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2.2019334697004792E-2</v>
      </c>
      <c r="K20" s="18">
        <v>0.12321199193039935</v>
      </c>
      <c r="L20" s="18">
        <v>0.1787109708399422</v>
      </c>
      <c r="M20" s="18">
        <v>0.85902394239797963</v>
      </c>
      <c r="N20" s="18">
        <v>-0.22663253178554818</v>
      </c>
      <c r="O20" s="18">
        <v>0.27067120117955779</v>
      </c>
      <c r="P20" s="18">
        <v>-0.22663253178554818</v>
      </c>
      <c r="Q20" s="18">
        <v>0.27067120117955779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-0.16432557521110311</v>
      </c>
      <c r="K21" s="18">
        <v>0.10937405154797705</v>
      </c>
      <c r="L21" s="18">
        <v>-1.5024182873852991</v>
      </c>
      <c r="M21" s="18">
        <v>0.14047122962636463</v>
      </c>
      <c r="N21" s="18">
        <v>-0.38505134740319713</v>
      </c>
      <c r="O21" s="18">
        <v>5.6400196980990913E-2</v>
      </c>
      <c r="P21" s="18">
        <v>-0.38505134740319713</v>
      </c>
      <c r="Q21" s="18">
        <v>5.6400196980990913E-2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-1.5079957675988697E-3</v>
      </c>
      <c r="K22" s="18">
        <v>8.6555951851028899E-3</v>
      </c>
      <c r="L22" s="18">
        <v>-0.17422207662787595</v>
      </c>
      <c r="M22" s="18">
        <v>0.8625280201482759</v>
      </c>
      <c r="N22" s="18">
        <v>-1.8975694037658454E-2</v>
      </c>
      <c r="O22" s="18">
        <v>1.5959702502460711E-2</v>
      </c>
      <c r="P22" s="18">
        <v>-1.8975694037658454E-2</v>
      </c>
      <c r="Q22" s="18">
        <v>1.5959702502460711E-2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7.8693935064577444E-5</v>
      </c>
      <c r="K23" s="22">
        <v>6.9236939606824813E-5</v>
      </c>
      <c r="L23" s="22">
        <v>1.1365888716551595</v>
      </c>
      <c r="M23" s="22">
        <v>0.26215374787107398</v>
      </c>
      <c r="N23" s="22">
        <v>-6.1031865915101482E-5</v>
      </c>
      <c r="O23" s="22">
        <v>2.1841973604425638E-4</v>
      </c>
      <c r="P23" s="22">
        <v>-6.1031865915101482E-5</v>
      </c>
      <c r="Q23" s="22">
        <v>2.1841973604425638E-4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0.36261009664929356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0.13148608219201002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2.4960947162677653E-2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1.8339759541868426E-2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2.1386492689809741E-3</v>
      </c>
      <c r="L13" s="18">
        <v>4.2772985379619483E-4</v>
      </c>
      <c r="M13" s="18">
        <v>1.2716930238728332</v>
      </c>
      <c r="N13" s="18">
        <v>0.29454629172102781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1.4126564762249267E-2</v>
      </c>
      <c r="L14" s="18">
        <v>3.3634678005355399E-4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-0.16224491091906335</v>
      </c>
      <c r="K19" s="18">
        <v>0.12991490216462606</v>
      </c>
      <c r="L19" s="18">
        <v>-1.2488552753822593</v>
      </c>
      <c r="M19" s="18">
        <v>0.21863418322429409</v>
      </c>
      <c r="N19" s="18">
        <v>-0.42442379790094376</v>
      </c>
      <c r="O19" s="18">
        <v>9.9933976062817065E-2</v>
      </c>
      <c r="P19" s="18">
        <v>-0.42442379790094376</v>
      </c>
      <c r="Q19" s="18">
        <v>9.9933976062817065E-2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1.0100162067525587E-2</v>
      </c>
      <c r="K20" s="18">
        <v>0.12779729440547966</v>
      </c>
      <c r="L20" s="18">
        <v>7.9032675257423246E-2</v>
      </c>
      <c r="M20" s="18">
        <v>0.93738199263384292</v>
      </c>
      <c r="N20" s="18">
        <v>-0.24780521944187509</v>
      </c>
      <c r="O20" s="18">
        <v>0.26800554357692624</v>
      </c>
      <c r="P20" s="18">
        <v>-0.24780521944187509</v>
      </c>
      <c r="Q20" s="18">
        <v>0.26800554357692624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-8.1310376853413538E-2</v>
      </c>
      <c r="K21" s="18">
        <v>6.4179619400673113E-2</v>
      </c>
      <c r="L21" s="18">
        <v>-1.2669189629466822</v>
      </c>
      <c r="M21" s="18">
        <v>0.21216482475908527</v>
      </c>
      <c r="N21" s="18">
        <v>-0.2108300924597637</v>
      </c>
      <c r="O21" s="18">
        <v>4.8209338752936634E-2</v>
      </c>
      <c r="P21" s="18">
        <v>-0.2108300924597637</v>
      </c>
      <c r="Q21" s="18">
        <v>4.8209338752936634E-2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-2.8734622400948245E-3</v>
      </c>
      <c r="K22" s="18">
        <v>5.3018634755570126E-3</v>
      </c>
      <c r="L22" s="18">
        <v>-0.54197212986381904</v>
      </c>
      <c r="M22" s="18">
        <v>0.5907017001530579</v>
      </c>
      <c r="N22" s="18">
        <v>-1.3573055910957846E-2</v>
      </c>
      <c r="O22" s="18">
        <v>7.8261314307681972E-3</v>
      </c>
      <c r="P22" s="18">
        <v>-1.3573055910957846E-2</v>
      </c>
      <c r="Q22" s="18">
        <v>7.8261314307681972E-3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8.2348243505490801E-5</v>
      </c>
      <c r="K23" s="22">
        <v>6.5566397790336195E-5</v>
      </c>
      <c r="L23" s="22">
        <v>1.2559519247773603</v>
      </c>
      <c r="M23" s="22">
        <v>0.21607527547256952</v>
      </c>
      <c r="N23" s="22">
        <v>-4.9970104194902473E-5</v>
      </c>
      <c r="O23" s="22">
        <v>2.1466659120588407E-4</v>
      </c>
      <c r="P23" s="22">
        <v>-4.9970104194902473E-5</v>
      </c>
      <c r="Q23" s="22">
        <v>2.1466659120588407E-4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0.31128720505243579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9.6899724029357204E-2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-1.2919349872608767E-2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1.8701361855379614E-2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1.5760947509046389E-3</v>
      </c>
      <c r="L13" s="18">
        <v>3.1521895018092778E-4</v>
      </c>
      <c r="M13" s="18">
        <v>0.90129269528986389</v>
      </c>
      <c r="N13" s="18">
        <v>0.48950769505526337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1.4689119280325602E-2</v>
      </c>
      <c r="L14" s="18">
        <v>3.4974093524584764E-4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-0.16648462946507694</v>
      </c>
      <c r="K19" s="18">
        <v>0.13244884632010298</v>
      </c>
      <c r="L19" s="18">
        <v>-1.2569730434851514</v>
      </c>
      <c r="M19" s="18">
        <v>0.21570892663050392</v>
      </c>
      <c r="N19" s="18">
        <v>-0.43377722278308906</v>
      </c>
      <c r="O19" s="18">
        <v>0.10080796385293514</v>
      </c>
      <c r="P19" s="18">
        <v>-0.43377722278308906</v>
      </c>
      <c r="Q19" s="18">
        <v>0.10080796385293514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4.378419484760511E-2</v>
      </c>
      <c r="K20" s="18">
        <v>0.12551736525087132</v>
      </c>
      <c r="L20" s="18">
        <v>0.34882977952965888</v>
      </c>
      <c r="M20" s="18">
        <v>0.72895983631975525</v>
      </c>
      <c r="N20" s="18">
        <v>-0.20952010335115817</v>
      </c>
      <c r="O20" s="18">
        <v>0.29708849304636836</v>
      </c>
      <c r="P20" s="18">
        <v>-0.20952010335115817</v>
      </c>
      <c r="Q20" s="18">
        <v>0.29708849304636836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-3.7460289540469059E-2</v>
      </c>
      <c r="K21" s="18">
        <v>8.6162416334580799E-2</v>
      </c>
      <c r="L21" s="18">
        <v>-0.43476368391301234</v>
      </c>
      <c r="M21" s="18">
        <v>0.66595973467445302</v>
      </c>
      <c r="N21" s="18">
        <v>-0.21134308541591179</v>
      </c>
      <c r="O21" s="18">
        <v>0.13642250633497366</v>
      </c>
      <c r="P21" s="18">
        <v>-0.21134308541591179</v>
      </c>
      <c r="Q21" s="18">
        <v>0.13642250633497366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-2.3613061280243972E-3</v>
      </c>
      <c r="K22" s="18">
        <v>6.2443478140926196E-3</v>
      </c>
      <c r="L22" s="18">
        <v>-0.37815096120931307</v>
      </c>
      <c r="M22" s="18">
        <v>0.70722304612806119</v>
      </c>
      <c r="N22" s="18">
        <v>-1.4962910197679072E-2</v>
      </c>
      <c r="O22" s="18">
        <v>1.0240297941630278E-2</v>
      </c>
      <c r="P22" s="18">
        <v>-1.4962910197679072E-2</v>
      </c>
      <c r="Q22" s="18">
        <v>1.0240297941630278E-2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8.6615874055624668E-5</v>
      </c>
      <c r="K23" s="22">
        <v>7.1345123666840551E-5</v>
      </c>
      <c r="L23" s="22">
        <v>1.2140405623248165</v>
      </c>
      <c r="M23" s="22">
        <v>0.23151483161367517</v>
      </c>
      <c r="N23" s="22">
        <v>-5.7364414601745542E-5</v>
      </c>
      <c r="O23" s="22">
        <v>2.3059616271299489E-4</v>
      </c>
      <c r="P23" s="22">
        <v>-5.7364414601745542E-5</v>
      </c>
      <c r="Q23" s="22">
        <v>2.3059616271299489E-4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0.52534862087311385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0.27599117345328267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0.18322842806788101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1.6744692495493131E-2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4.4890555069480326E-3</v>
      </c>
      <c r="L13" s="18">
        <v>8.9781110138960655E-4</v>
      </c>
      <c r="M13" s="18">
        <v>3.2020684997242674</v>
      </c>
      <c r="N13" s="18">
        <v>1.5671625038032076E-2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1.1776158524282208E-2</v>
      </c>
      <c r="L14" s="18">
        <v>2.8038472676862402E-4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-2.7364355984945878E-2</v>
      </c>
      <c r="K19" s="18">
        <v>0.12544958496316377</v>
      </c>
      <c r="L19" s="18">
        <v>-0.21813030304549014</v>
      </c>
      <c r="M19" s="18">
        <v>0.82838397980896106</v>
      </c>
      <c r="N19" s="18">
        <v>-0.28053186802527474</v>
      </c>
      <c r="O19" s="18">
        <v>0.22580315605538301</v>
      </c>
      <c r="P19" s="18">
        <v>-0.28053186802527474</v>
      </c>
      <c r="Q19" s="18">
        <v>0.22580315605538301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1.5336319468907371E-2</v>
      </c>
      <c r="K20" s="18">
        <v>0.11395546197851691</v>
      </c>
      <c r="L20" s="18">
        <v>0.13458169711776169</v>
      </c>
      <c r="M20" s="18">
        <v>0.89358549488723304</v>
      </c>
      <c r="N20" s="18">
        <v>-0.21463511328616072</v>
      </c>
      <c r="O20" s="18">
        <v>0.24530775222397547</v>
      </c>
      <c r="P20" s="18">
        <v>-0.21463511328616072</v>
      </c>
      <c r="Q20" s="18">
        <v>0.24530775222397547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-0.13085507423691495</v>
      </c>
      <c r="K21" s="18">
        <v>4.2439579798167766E-2</v>
      </c>
      <c r="L21" s="18">
        <v>-3.0833263396864341</v>
      </c>
      <c r="M21" s="18">
        <v>3.6099895780694973E-3</v>
      </c>
      <c r="N21" s="18">
        <v>-0.21650161370290066</v>
      </c>
      <c r="O21" s="18">
        <v>-4.5208534770929218E-2</v>
      </c>
      <c r="P21" s="18">
        <v>-0.21650161370290066</v>
      </c>
      <c r="Q21" s="18">
        <v>-4.5208534770929218E-2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-6.3326832404108132E-3</v>
      </c>
      <c r="K22" s="18">
        <v>3.0376448725901468E-3</v>
      </c>
      <c r="L22" s="18">
        <v>-2.0847345578652337</v>
      </c>
      <c r="M22" s="18">
        <v>4.3211237737025655E-2</v>
      </c>
      <c r="N22" s="18">
        <v>-1.2462898777445258E-2</v>
      </c>
      <c r="O22" s="18">
        <v>-2.0246770337636801E-4</v>
      </c>
      <c r="P22" s="18">
        <v>-1.2462898777445258E-2</v>
      </c>
      <c r="Q22" s="18">
        <v>-2.0246770337636801E-4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5.6463591797535791E-6</v>
      </c>
      <c r="K23" s="22">
        <v>6.566723170134746E-5</v>
      </c>
      <c r="L23" s="22">
        <v>8.5984425313268054E-2</v>
      </c>
      <c r="M23" s="22">
        <v>0.93188740453887553</v>
      </c>
      <c r="N23" s="22">
        <v>-1.2687547959147513E-4</v>
      </c>
      <c r="O23" s="22">
        <v>1.381681979509823E-4</v>
      </c>
      <c r="P23" s="22">
        <v>-1.2687547959147513E-4</v>
      </c>
      <c r="Q23" s="22">
        <v>1.381681979509823E-4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0.31818502186919889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0.10124170814190257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-8.1638434636305112E-3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1.8656350877953223E-2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1.6467180518153907E-3</v>
      </c>
      <c r="L13" s="18">
        <v>3.2934361036307812E-4</v>
      </c>
      <c r="M13" s="18">
        <v>0.94622809724937018</v>
      </c>
      <c r="N13" s="18">
        <v>0.46168990349384542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1.461849597941485E-2</v>
      </c>
      <c r="L14" s="18">
        <v>3.4805942808130593E-4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-0.16789643047940619</v>
      </c>
      <c r="K19" s="18">
        <v>0.13095135583983208</v>
      </c>
      <c r="L19" s="18">
        <v>-1.2821282330574875</v>
      </c>
      <c r="M19" s="18">
        <v>0.20682975183232405</v>
      </c>
      <c r="N19" s="18">
        <v>-0.43216696565903878</v>
      </c>
      <c r="O19" s="18">
        <v>9.6374104700226421E-2</v>
      </c>
      <c r="P19" s="18">
        <v>-0.43216696565903878</v>
      </c>
      <c r="Q19" s="18">
        <v>9.6374104700226421E-2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4.2516704662016395E-2</v>
      </c>
      <c r="K20" s="18">
        <v>0.12527386942294721</v>
      </c>
      <c r="L20" s="18">
        <v>0.33939004884148921</v>
      </c>
      <c r="M20" s="18">
        <v>0.73600718009693411</v>
      </c>
      <c r="N20" s="18">
        <v>-0.21029619906170061</v>
      </c>
      <c r="O20" s="18">
        <v>0.29532960838573341</v>
      </c>
      <c r="P20" s="18">
        <v>-0.21029619906170061</v>
      </c>
      <c r="Q20" s="18">
        <v>0.29532960838573341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-2.8681601725588243E-2</v>
      </c>
      <c r="K21" s="18">
        <v>4.4457157646137634E-2</v>
      </c>
      <c r="L21" s="18">
        <v>-0.64515149515142367</v>
      </c>
      <c r="M21" s="18">
        <v>0.52233785278351608</v>
      </c>
      <c r="N21" s="18">
        <v>-0.11839977813057379</v>
      </c>
      <c r="O21" s="18">
        <v>6.1036574679397299E-2</v>
      </c>
      <c r="P21" s="18">
        <v>-0.11839977813057379</v>
      </c>
      <c r="Q21" s="18">
        <v>6.1036574679397299E-2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-1.1458601260112809E-3</v>
      </c>
      <c r="K22" s="18">
        <v>3.299929985928346E-3</v>
      </c>
      <c r="L22" s="18">
        <v>-0.34723770834456785</v>
      </c>
      <c r="M22" s="18">
        <v>0.73014677331855982</v>
      </c>
      <c r="N22" s="18">
        <v>-7.8053884511952078E-3</v>
      </c>
      <c r="O22" s="18">
        <v>5.5136681991726465E-3</v>
      </c>
      <c r="P22" s="18">
        <v>-7.8053884511952078E-3</v>
      </c>
      <c r="Q22" s="18">
        <v>5.5136681991726465E-3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7.9094965260921078E-5</v>
      </c>
      <c r="K23" s="22">
        <v>7.3570968064383825E-5</v>
      </c>
      <c r="L23" s="22">
        <v>1.0750839270145673</v>
      </c>
      <c r="M23" s="22">
        <v>0.28847462006838609</v>
      </c>
      <c r="N23" s="22">
        <v>-6.9377259248452143E-5</v>
      </c>
      <c r="O23" s="22">
        <v>2.2756718977029428E-4</v>
      </c>
      <c r="P23" s="22">
        <v>-6.9377259248452143E-5</v>
      </c>
      <c r="Q23" s="22">
        <v>2.2756718977029428E-4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0.31937697194994585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0.10200165021191648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-7.3315259583771764E-3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1.8648461802387693E-2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1.659078672235503E-3</v>
      </c>
      <c r="L13" s="18">
        <v>3.3181573444710058E-4</v>
      </c>
      <c r="M13" s="18">
        <v>0.95413745691436502</v>
      </c>
      <c r="N13" s="18">
        <v>0.45691036913819616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1.4606135358994738E-2</v>
      </c>
      <c r="L14" s="18">
        <v>3.4776512759511279E-4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-0.17273411765299654</v>
      </c>
      <c r="K19" s="18">
        <v>0.13059432792807626</v>
      </c>
      <c r="L19" s="18">
        <v>-1.3226770288838916</v>
      </c>
      <c r="M19" s="18">
        <v>0.19309993865134248</v>
      </c>
      <c r="N19" s="18">
        <v>-0.43628414133651927</v>
      </c>
      <c r="O19" s="18">
        <v>9.0815906030526167E-2</v>
      </c>
      <c r="P19" s="18">
        <v>-0.43628414133651927</v>
      </c>
      <c r="Q19" s="18">
        <v>9.0815906030526167E-2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3.3934611905223955E-2</v>
      </c>
      <c r="K20" s="18">
        <v>0.12556843920494637</v>
      </c>
      <c r="L20" s="18">
        <v>0.27024793905288269</v>
      </c>
      <c r="M20" s="18">
        <v>0.78829307382170266</v>
      </c>
      <c r="N20" s="18">
        <v>-0.21947275770574876</v>
      </c>
      <c r="O20" s="18">
        <v>0.28734198151619667</v>
      </c>
      <c r="P20" s="18">
        <v>-0.21947275770574876</v>
      </c>
      <c r="Q20" s="18">
        <v>0.28734198151619667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1.4648887554644477E-2</v>
      </c>
      <c r="K21" s="18">
        <v>6.9226113616942572E-2</v>
      </c>
      <c r="L21" s="18">
        <v>0.21160927270456031</v>
      </c>
      <c r="M21" s="18">
        <v>0.83343538436011766</v>
      </c>
      <c r="N21" s="18">
        <v>-0.12505506569293823</v>
      </c>
      <c r="O21" s="18">
        <v>0.15435284080222716</v>
      </c>
      <c r="P21" s="18">
        <v>-0.12505506569293823</v>
      </c>
      <c r="Q21" s="18">
        <v>0.15435284080222716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3.1495036546055019E-3</v>
      </c>
      <c r="K22" s="18">
        <v>4.6471144767160442E-3</v>
      </c>
      <c r="L22" s="18">
        <v>0.6777331762292087</v>
      </c>
      <c r="M22" s="18">
        <v>0.50165758372409219</v>
      </c>
      <c r="N22" s="18">
        <v>-6.2287530417578646E-3</v>
      </c>
      <c r="O22" s="18">
        <v>1.2527760350968867E-2</v>
      </c>
      <c r="P22" s="18">
        <v>-6.2287530417578646E-3</v>
      </c>
      <c r="Q22" s="18">
        <v>1.2527760350968867E-2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1.1003244690817771E-4</v>
      </c>
      <c r="K23" s="22">
        <v>7.0259672456589469E-5</v>
      </c>
      <c r="L23" s="22">
        <v>1.5660825486506813</v>
      </c>
      <c r="M23" s="22">
        <v>0.12483362456655324</v>
      </c>
      <c r="N23" s="22">
        <v>-3.1757312522482652E-5</v>
      </c>
      <c r="O23" s="22">
        <v>2.5182220633883807E-4</v>
      </c>
      <c r="P23" s="22">
        <v>-3.1757312522482652E-5</v>
      </c>
      <c r="Q23" s="22">
        <v>2.5182220633883807E-4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-6.0594726014587784E-3</v>
      </c>
      <c r="C2" s="16">
        <f>'ALL VARS'!G2</f>
        <v>-1.9039796908832632E-3</v>
      </c>
      <c r="D2" s="16">
        <f>'ALL VARS'!H2</f>
        <v>6.0091639750620551E-3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-1.9039796908832632E-3</v>
      </c>
      <c r="C3" s="16">
        <f>'ALL VARS'!G3</f>
        <v>6.0091639750620551E-3</v>
      </c>
      <c r="D3" s="16">
        <f>'ALL VARS'!H3</f>
        <v>1.4292161877538568E-3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6.0091639750620551E-3</v>
      </c>
      <c r="C4" s="16">
        <f>'ALL VARS'!G4</f>
        <v>1.4292161877538568E-3</v>
      </c>
      <c r="D4" s="16">
        <f>'ALL VARS'!H4</f>
        <v>8.5346887683495805E-3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1.4292161877538568E-3</v>
      </c>
      <c r="C5" s="16">
        <f>'ALL VARS'!G5</f>
        <v>8.5346887683495805E-3</v>
      </c>
      <c r="D5" s="16">
        <f>'ALL VARS'!H5</f>
        <v>7.5673609784063381E-3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0.39273275168198557</v>
      </c>
    </row>
    <row r="6" spans="1:14" x14ac:dyDescent="0.25">
      <c r="A6" s="20">
        <f>'ALL VARS'!A6</f>
        <v>43976</v>
      </c>
      <c r="B6" s="16">
        <f>'ALL VARS'!F6</f>
        <v>8.5346887683495805E-3</v>
      </c>
      <c r="C6" s="16">
        <f>'ALL VARS'!G6</f>
        <v>7.5673609784063381E-3</v>
      </c>
      <c r="D6" s="16">
        <f>'ALL VARS'!H6</f>
        <v>3.0284443762936576E-3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0.15423901424370412</v>
      </c>
    </row>
    <row r="7" spans="1:14" x14ac:dyDescent="0.25">
      <c r="A7" s="20">
        <f>'ALL VARS'!A7</f>
        <v>43973</v>
      </c>
      <c r="B7" s="16">
        <f>'ALL VARS'!F7</f>
        <v>7.5673609784063381E-3</v>
      </c>
      <c r="C7" s="16">
        <f>'ALL VARS'!G7</f>
        <v>3.0284443762936576E-3</v>
      </c>
      <c r="D7" s="16">
        <f>'ALL VARS'!H7</f>
        <v>-9.4550977786216402E-3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4.98808251240569E-2</v>
      </c>
    </row>
    <row r="8" spans="1:14" x14ac:dyDescent="0.25">
      <c r="A8" s="20">
        <f>'ALL VARS'!A8</f>
        <v>43972</v>
      </c>
      <c r="B8" s="16">
        <f>'ALL VARS'!F8</f>
        <v>3.0284443762936576E-3</v>
      </c>
      <c r="C8" s="16">
        <f>'ALL VARS'!G8</f>
        <v>-9.4550977786216402E-3</v>
      </c>
      <c r="D8" s="16">
        <f>'ALL VARS'!H8</f>
        <v>1.8722679973695533E-2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1.8097936907276808E-2</v>
      </c>
    </row>
    <row r="9" spans="1:14" ht="15.75" thickBot="1" x14ac:dyDescent="0.3">
      <c r="A9" s="20">
        <f>'ALL VARS'!A9</f>
        <v>43971</v>
      </c>
      <c r="B9" s="16">
        <f>'ALL VARS'!F9</f>
        <v>-9.4550977786216402E-3</v>
      </c>
      <c r="C9" s="16">
        <f>'ALL VARS'!G9</f>
        <v>1.8722679973695533E-2</v>
      </c>
      <c r="D9" s="16">
        <f>'ALL VARS'!H9</f>
        <v>2.9715196176060464E-2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1.8722679973695533E-2</v>
      </c>
      <c r="C10" s="16">
        <f>'ALL VARS'!G10</f>
        <v>2.9715196176060464E-2</v>
      </c>
      <c r="D10" s="16">
        <f>'ALL VARS'!H10</f>
        <v>-7.5624900493551073E-4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2.9715196176060464E-2</v>
      </c>
      <c r="C11" s="16">
        <f>'ALL VARS'!G11</f>
        <v>-7.5624900493551073E-4</v>
      </c>
      <c r="D11" s="16">
        <f>'ALL VARS'!H11</f>
        <v>-1.0203679628097559E-2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-7.5624900493551073E-4</v>
      </c>
      <c r="C12" s="16">
        <f>'ALL VARS'!G12</f>
        <v>-1.0203679628097559E-2</v>
      </c>
      <c r="D12" s="16">
        <f>'ALL VARS'!H12</f>
        <v>-2.1698913127264192E-2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-1.0203679628097559E-2</v>
      </c>
      <c r="C13" s="16">
        <f>'ALL VARS'!G13</f>
        <v>-2.1698913127264192E-2</v>
      </c>
      <c r="D13" s="16">
        <f>'ALL VARS'!H13</f>
        <v>-1.4396961063627808E-2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2.5087305786398173E-3</v>
      </c>
      <c r="L13" s="18">
        <v>5.0174611572796342E-4</v>
      </c>
      <c r="M13" s="18">
        <v>1.5318839973311809</v>
      </c>
      <c r="N13" s="18">
        <v>0.20118957993233524</v>
      </c>
    </row>
    <row r="14" spans="1:14" x14ac:dyDescent="0.25">
      <c r="A14" s="20">
        <f>'ALL VARS'!A14</f>
        <v>43963</v>
      </c>
      <c r="B14" s="16">
        <f>'ALL VARS'!F14</f>
        <v>-2.1698913127264192E-2</v>
      </c>
      <c r="C14" s="16">
        <f>'ALL VARS'!G14</f>
        <v>-1.4396961063627808E-2</v>
      </c>
      <c r="D14" s="16">
        <f>'ALL VARS'!H14</f>
        <v>9.0846366145354365E-3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1.3756483452590423E-2</v>
      </c>
      <c r="L14" s="18">
        <v>3.27535320299772E-4</v>
      </c>
    </row>
    <row r="15" spans="1:14" ht="15.75" thickBot="1" x14ac:dyDescent="0.3">
      <c r="A15" s="20">
        <f>'ALL VARS'!A15</f>
        <v>43962</v>
      </c>
      <c r="B15" s="16">
        <f>'ALL VARS'!F15</f>
        <v>-1.4396961063627808E-2</v>
      </c>
      <c r="C15" s="16">
        <f>'ALL VARS'!G15</f>
        <v>9.0846366145354365E-3</v>
      </c>
      <c r="D15" s="16">
        <f>'ALL VARS'!H15</f>
        <v>7.9202565390411143E-3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1.6265214031230241E-2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9.0846366145354365E-3</v>
      </c>
      <c r="C16" s="16">
        <f>'ALL VARS'!G16</f>
        <v>7.9202565390411143E-3</v>
      </c>
      <c r="D16" s="16">
        <f>'ALL VARS'!H16</f>
        <v>3.9174617950507758E-3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7.9202565390411143E-3</v>
      </c>
      <c r="C17" s="16">
        <f>'ALL VARS'!G17</f>
        <v>3.9174617950507758E-3</v>
      </c>
      <c r="D17" s="16">
        <f>'ALL VARS'!H17</f>
        <v>5.9305501365586486E-3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3.9174617950507758E-3</v>
      </c>
      <c r="C18" s="16">
        <f>'ALL VARS'!G18</f>
        <v>5.9305501365586486E-3</v>
      </c>
      <c r="D18" s="16">
        <f>'ALL VARS'!H18</f>
        <v>3.8776389487290316E-3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5.9305501365586486E-3</v>
      </c>
      <c r="C19" s="16">
        <f>'ALL VARS'!G19</f>
        <v>3.8776389487290316E-3</v>
      </c>
      <c r="D19" s="16">
        <f>'ALL VARS'!H19</f>
        <v>-5.6472970867735969E-3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-0.17284365250815956</v>
      </c>
      <c r="K19" s="18">
        <v>0.12715591720734781</v>
      </c>
      <c r="L19" s="18">
        <v>-1.3593048306695052</v>
      </c>
      <c r="M19" s="18">
        <v>0.18130422303334146</v>
      </c>
      <c r="N19" s="18">
        <v>-0.42945468242940543</v>
      </c>
      <c r="O19" s="18">
        <v>8.3767377413086291E-2</v>
      </c>
      <c r="P19" s="18">
        <v>-0.42945468242940543</v>
      </c>
      <c r="Q19" s="18">
        <v>8.3767377413086291E-2</v>
      </c>
    </row>
    <row r="20" spans="1:17" x14ac:dyDescent="0.25">
      <c r="A20" s="20">
        <f>'ALL VARS'!A20</f>
        <v>43955</v>
      </c>
      <c r="B20" s="16">
        <f>'ALL VARS'!F20</f>
        <v>3.8776389487290316E-3</v>
      </c>
      <c r="C20" s="16">
        <f>'ALL VARS'!G20</f>
        <v>-5.6472970867735969E-3</v>
      </c>
      <c r="D20" s="16">
        <f>'ALL VARS'!H20</f>
        <v>-1.9213873715573662E-2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2.8765445398892541E-2</v>
      </c>
      <c r="K20" s="18">
        <v>0.12238308488561474</v>
      </c>
      <c r="L20" s="18">
        <v>0.23504429084932893</v>
      </c>
      <c r="M20" s="18">
        <v>0.81531658467310619</v>
      </c>
      <c r="N20" s="18">
        <v>-0.21821361894324329</v>
      </c>
      <c r="O20" s="18">
        <v>0.27574450974102838</v>
      </c>
      <c r="P20" s="18">
        <v>-0.21821361894324329</v>
      </c>
      <c r="Q20" s="18">
        <v>0.27574450974102838</v>
      </c>
    </row>
    <row r="21" spans="1:17" x14ac:dyDescent="0.25">
      <c r="A21" s="20">
        <f>'ALL VARS'!A21</f>
        <v>43952</v>
      </c>
      <c r="B21" s="16">
        <f>'ALL VARS'!F21</f>
        <v>-5.6472970867735969E-3</v>
      </c>
      <c r="C21" s="16">
        <f>'ALL VARS'!G21</f>
        <v>-1.9213873715573662E-2</v>
      </c>
      <c r="D21" s="16">
        <f>'ALL VARS'!H21</f>
        <v>-2.0760080795989958E-2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-0.22671302463100534</v>
      </c>
      <c r="K21" s="18">
        <v>0.13519666594491841</v>
      </c>
      <c r="L21" s="18">
        <v>-1.6769128369139841</v>
      </c>
      <c r="M21" s="18">
        <v>0.10098822829938207</v>
      </c>
      <c r="N21" s="18">
        <v>-0.49955094245650294</v>
      </c>
      <c r="O21" s="18">
        <v>4.6124893194492256E-2</v>
      </c>
      <c r="P21" s="18">
        <v>-0.49955094245650294</v>
      </c>
      <c r="Q21" s="18">
        <v>4.6124893194492256E-2</v>
      </c>
    </row>
    <row r="22" spans="1:17" x14ac:dyDescent="0.25">
      <c r="A22" s="20">
        <f>'ALL VARS'!A22</f>
        <v>43951</v>
      </c>
      <c r="B22" s="16">
        <f>'ALL VARS'!F22</f>
        <v>-1.9213873715573662E-2</v>
      </c>
      <c r="C22" s="16">
        <f>'ALL VARS'!G22</f>
        <v>-2.0760080795989958E-2</v>
      </c>
      <c r="D22" s="16">
        <f>'ALL VARS'!H22</f>
        <v>1.9720028988823888E-2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4.8136308226603411E-3</v>
      </c>
      <c r="K22" s="18">
        <v>1.0342036188716283E-2</v>
      </c>
      <c r="L22" s="18">
        <v>0.46544323910916796</v>
      </c>
      <c r="M22" s="18">
        <v>0.64401860552703694</v>
      </c>
      <c r="N22" s="18">
        <v>-1.6057443179674207E-2</v>
      </c>
      <c r="O22" s="18">
        <v>2.5684704824994891E-2</v>
      </c>
      <c r="P22" s="18">
        <v>-1.6057443179674207E-2</v>
      </c>
      <c r="Q22" s="18">
        <v>2.5684704824994891E-2</v>
      </c>
    </row>
    <row r="23" spans="1:17" ht="15.75" thickBot="1" x14ac:dyDescent="0.3">
      <c r="A23" s="20">
        <f>'ALL VARS'!A23</f>
        <v>43950</v>
      </c>
      <c r="B23" s="16">
        <f>'ALL VARS'!F23</f>
        <v>-2.0760080795989958E-2</v>
      </c>
      <c r="C23" s="16">
        <f>'ALL VARS'!G23</f>
        <v>1.9720028988823888E-2</v>
      </c>
      <c r="D23" s="16">
        <f>'ALL VARS'!H23</f>
        <v>7.0679522144971073E-3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7.7351899456330067E-5</v>
      </c>
      <c r="K23" s="22">
        <v>6.6186822362050249E-5</v>
      </c>
      <c r="L23" s="22">
        <v>1.168690332846098</v>
      </c>
      <c r="M23" s="22">
        <v>0.24911918703669836</v>
      </c>
      <c r="N23" s="22">
        <v>-5.6218515720218303E-5</v>
      </c>
      <c r="O23" s="22">
        <v>2.1092231463287845E-4</v>
      </c>
      <c r="P23" s="22">
        <v>-5.6218515720218303E-5</v>
      </c>
      <c r="Q23" s="22">
        <v>2.1092231463287845E-4</v>
      </c>
    </row>
    <row r="24" spans="1:17" x14ac:dyDescent="0.25">
      <c r="A24" s="20">
        <f>'ALL VARS'!A24</f>
        <v>43949</v>
      </c>
      <c r="B24" s="16">
        <f>'ALL VARS'!F24</f>
        <v>1.9720028988823888E-2</v>
      </c>
      <c r="C24" s="16">
        <f>'ALL VARS'!G24</f>
        <v>7.0679522144971073E-3</v>
      </c>
      <c r="D24" s="16">
        <f>'ALL VARS'!H24</f>
        <v>1.5288015288015128E-2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7.0679522144971073E-3</v>
      </c>
      <c r="C25" s="16">
        <f>'ALL VARS'!G25</f>
        <v>1.5288015288015128E-2</v>
      </c>
      <c r="D25" s="16">
        <f>'ALL VARS'!H25</f>
        <v>1.2477788746298223E-2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1.5288015288015128E-2</v>
      </c>
      <c r="C26" s="16">
        <f>'ALL VARS'!G26</f>
        <v>1.2477788746298223E-2</v>
      </c>
      <c r="D26" s="16">
        <f>'ALL VARS'!H26</f>
        <v>-2.7564481197085594E-3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1.2477788746298223E-2</v>
      </c>
      <c r="C27" s="16">
        <f>'ALL VARS'!G27</f>
        <v>-2.7564481197085594E-3</v>
      </c>
      <c r="D27" s="16">
        <f>'ALL VARS'!H27</f>
        <v>2.3496695147509204E-2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-2.7564481197085594E-3</v>
      </c>
      <c r="C28" s="16">
        <f>'ALL VARS'!G28</f>
        <v>2.3496695147509204E-2</v>
      </c>
      <c r="D28" s="16">
        <f>'ALL VARS'!H28</f>
        <v>-2.1531666535215741E-2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2.3496695147509204E-2</v>
      </c>
      <c r="C29" s="16">
        <f>'ALL VARS'!G29</f>
        <v>-2.1531666535215741E-2</v>
      </c>
      <c r="D29" s="16">
        <f>'ALL VARS'!H29</f>
        <v>-6.7760761427284079E-3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-2.1531666535215741E-2</v>
      </c>
      <c r="C30" s="16">
        <f>'ALL VARS'!G30</f>
        <v>-6.7760761427284079E-3</v>
      </c>
      <c r="D30" s="16">
        <f>'ALL VARS'!H30</f>
        <v>2.4929747089522312E-2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-6.7760761427284079E-3</v>
      </c>
      <c r="C31" s="16">
        <f>'ALL VARS'!G31</f>
        <v>2.4929747089522312E-2</v>
      </c>
      <c r="D31" s="16">
        <f>'ALL VARS'!H31</f>
        <v>7.6453217911896217E-3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2.4929747089522312E-2</v>
      </c>
      <c r="C32" s="16">
        <f>'ALL VARS'!G32</f>
        <v>7.6453217911896217E-3</v>
      </c>
      <c r="D32" s="16">
        <f>'ALL VARS'!H32</f>
        <v>-1.9358165734459896E-2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7.6453217911896217E-3</v>
      </c>
      <c r="C33" s="16">
        <f>'ALL VARS'!G33</f>
        <v>-1.9358165734459896E-2</v>
      </c>
      <c r="D33" s="16">
        <f>'ALL VARS'!H33</f>
        <v>1.7805232558139521E-2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-1.9358165734459896E-2</v>
      </c>
      <c r="C34" s="16">
        <f>'ALL VARS'!G34</f>
        <v>1.7805232558139521E-2</v>
      </c>
      <c r="D34" s="16">
        <f>'ALL VARS'!H34</f>
        <v>-2.0446905279810114E-2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1.7805232558139521E-2</v>
      </c>
      <c r="C35" s="16">
        <f>'ALL VARS'!G35</f>
        <v>-2.0446905279810114E-2</v>
      </c>
      <c r="D35" s="16">
        <f>'ALL VARS'!H35</f>
        <v>7.6916945640044913E-3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-2.0446905279810114E-2</v>
      </c>
      <c r="C36" s="16">
        <f>'ALL VARS'!G36</f>
        <v>7.6916945640044913E-3</v>
      </c>
      <c r="D36" s="16">
        <f>'ALL VARS'!H36</f>
        <v>2.6803617465318914E-2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7.6916945640044913E-3</v>
      </c>
      <c r="C37" s="16">
        <f>'ALL VARS'!G37</f>
        <v>2.6803617465318914E-2</v>
      </c>
      <c r="D37" s="16">
        <f>'ALL VARS'!H37</f>
        <v>6.3004447372755771E-3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2.6803617465318914E-2</v>
      </c>
      <c r="C38" s="16">
        <f>'ALL VARS'!G38</f>
        <v>6.3004447372755771E-3</v>
      </c>
      <c r="D38" s="16">
        <f>'ALL VARS'!H38</f>
        <v>4.609287498923071E-2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6.3004447372755771E-3</v>
      </c>
      <c r="C39" s="16">
        <f>'ALL VARS'!G39</f>
        <v>4.609287498923071E-2</v>
      </c>
      <c r="D39" s="16">
        <f>'ALL VARS'!H39</f>
        <v>-1.2968238445512188E-2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4.609287498923071E-2</v>
      </c>
      <c r="C40" s="16">
        <f>'ALL VARS'!G40</f>
        <v>-1.2968238445512188E-2</v>
      </c>
      <c r="D40" s="16">
        <f>'ALL VARS'!H40</f>
        <v>2.0214288812735855E-2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-1.2968238445512188E-2</v>
      </c>
      <c r="C41" s="16">
        <f>'ALL VARS'!G41</f>
        <v>2.0214288812735855E-2</v>
      </c>
      <c r="D41" s="16">
        <f>'ALL VARS'!H41</f>
        <v>-3.5479687042383121E-2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2.0214288812735855E-2</v>
      </c>
      <c r="C42" s="16">
        <f>'ALL VARS'!G42</f>
        <v>-3.5479687042383121E-2</v>
      </c>
      <c r="D42" s="16">
        <f>'ALL VARS'!H42</f>
        <v>1.348428953059398E-2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-3.5479687042383121E-2</v>
      </c>
      <c r="C43" s="16">
        <f>'ALL VARS'!G43</f>
        <v>1.348428953059398E-2</v>
      </c>
      <c r="D43" s="16">
        <f>'ALL VARS'!H43</f>
        <v>3.4659763962620126E-2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1.348428953059398E-2</v>
      </c>
      <c r="C44" s="16">
        <f>'ALL VARS'!G44</f>
        <v>3.4659763962620126E-2</v>
      </c>
      <c r="D44" s="16">
        <f>'ALL VARS'!H44</f>
        <v>-4.3957887672496913E-2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3.4659763962620126E-2</v>
      </c>
      <c r="C45" s="16">
        <f>'ALL VARS'!G45</f>
        <v>-4.3957887672496913E-2</v>
      </c>
      <c r="D45" s="16">
        <f>'ALL VARS'!H45</f>
        <v>3.3151326053042149E-2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-4.3957887672496913E-2</v>
      </c>
      <c r="C46" s="16">
        <f>'ALL VARS'!G46</f>
        <v>3.3151326053042149E-2</v>
      </c>
      <c r="D46" s="16">
        <f>'ALL VARS'!H46</f>
        <v>4.4398015147557313E-3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3.3151326053042149E-2</v>
      </c>
      <c r="C47" s="16">
        <f>'ALL VARS'!G47</f>
        <v>4.4398015147557313E-3</v>
      </c>
      <c r="D47" s="16">
        <f>'ALL VARS'!H47</f>
        <v>9.5826377295492496E-2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4.4398015147557313E-3</v>
      </c>
      <c r="C48" s="16">
        <f>'ALL VARS'!G48</f>
        <v>9.5826377295492496E-2</v>
      </c>
      <c r="D48" s="16">
        <f>'ALL VARS'!H48</f>
        <v>-3.7065956274113507E-2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 t="str">
        <f>IF('Eq4 avec Sent_t__+__1'!M22&lt;0.1,'Eq4 avec Sent_t__+__1'!J22,"-")</f>
        <v>-</v>
      </c>
      <c r="D5" s="7" t="str">
        <f>IF('Eq7 avec Sent_t'!M21&lt;0.1,'Eq7 avec Sent_t'!J21,"-")</f>
        <v>-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>
        <f>IF('Eq4 avec Sent__t_+_1_k, k=0'!M21&lt;0.1,'Eq4 avec Sent__t_+_1_k, k=0'!J21,"-")</f>
        <v>0.40473111670281636</v>
      </c>
      <c r="C6" s="7" t="str">
        <f>IF('Eq4 avec Sent__t_+_1_k, k=0'!M22&lt;0.1,'Eq4 avec Sent__t_+_1_k, k=0'!J22,"-")</f>
        <v>-</v>
      </c>
      <c r="D6" s="7" t="str">
        <f>IF('Eq7 avec Sent__t_k, k=0'!M21&lt;0.1,'Eq7 avec Sent__t_k, k=0'!J21,"-")</f>
        <v>-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 t="str">
        <f>IF('Eq7 avec Sent__t_k, k=1'!M21&lt;0.1,'Eq7 avec Sent__t_k, k=1'!J21,"-")</f>
        <v>-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 t="str">
        <f>IF('Eq7 avec Sent__t_k, k=3'!M21&lt;0.1,'Eq7 avec Sent__t_k, k=3'!J21,"-")</f>
        <v>-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 t="str">
        <f>IF('Eq4 avec Sent__t_+_1_k, k=5'!M22&lt;0.1,'Eq4 avec Sent__t_+_1_k, k=5'!J22,"-")</f>
        <v>-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>
        <f>IF('Eq4 avec Sent__t_+_1_k, k=6'!M21&lt;0.1,'Eq4 avec Sent__t_+_1_k, k=6'!J21,"-")</f>
        <v>0.10481117320139346</v>
      </c>
      <c r="C12" s="7">
        <f>IF('Eq4 avec Sent__t_+_1_k, k=6'!M22&lt;0.1,'Eq4 avec Sent__t_+_1_k, k=6'!J22,"-")</f>
        <v>5.4160852677455767E-3</v>
      </c>
      <c r="D12" s="7">
        <f>IF('Eq7 avec Sent__t_k, k=6'!M21&lt;0.1,'Eq7 avec Sent__t_k, k=6'!J21,"-")</f>
        <v>-0.13085507423691495</v>
      </c>
      <c r="E12" s="7">
        <f>IF('Eq7 avec Sent__t_k, k=6'!M22&lt;0.1,'Eq7 avec Sent__t_k, k=6'!J22,"-")</f>
        <v>-6.3326832404108132E-3</v>
      </c>
      <c r="G12" s="7" t="str">
        <f t="shared" si="0"/>
        <v>No</v>
      </c>
      <c r="H12" s="7" t="str">
        <f t="shared" si="1"/>
        <v>Yes</v>
      </c>
      <c r="I12" s="7" t="str">
        <f t="shared" si="2"/>
        <v>No</v>
      </c>
      <c r="J12" s="7" t="str">
        <f t="shared" si="3"/>
        <v>Yes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 t="str">
        <f>IF('Eq4 avec Sent__t_+_1_k, k=7'!M22&lt;0.1,'Eq4 avec Sent__t_+_1_k, k=7'!J22,"-")</f>
        <v>-</v>
      </c>
      <c r="D13" s="7" t="str">
        <f>IF('Eq7 avec Sent__t_k, k=7'!M21&lt;0.1,'Eq7 avec Sent__t_k, k=7'!J21,"-")</f>
        <v>-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1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